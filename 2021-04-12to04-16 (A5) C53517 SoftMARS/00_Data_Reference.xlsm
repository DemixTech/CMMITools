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pivotCache/pivotCacheDefinition4.xml" ContentType="application/vnd.openxmlformats-officedocument.spreadsheetml.pivotCacheDefinition+xml"/>
  <Override PartName="/xl/pivotCache/pivotCacheRecords4.xml" ContentType="application/vnd.openxmlformats-officedocument.spreadsheetml.pivotCacheRecords+xml"/>
  <Override PartName="/xl/pivotCache/pivotCacheDefinition5.xml" ContentType="application/vnd.openxmlformats-officedocument.spreadsheetml.pivotCacheDefinition+xml"/>
  <Override PartName="/xl/pivotCache/pivotCacheRecords5.xml" ContentType="application/vnd.openxmlformats-officedocument.spreadsheetml.pivotCacheRecords+xml"/>
  <Override PartName="/xl/pivotCache/pivotCacheDefinition6.xml" ContentType="application/vnd.openxmlformats-officedocument.spreadsheetml.pivotCacheDefinition+xml"/>
  <Override PartName="/xl/pivotCache/pivotCacheRecords6.xml" ContentType="application/vnd.openxmlformats-officedocument.spreadsheetml.pivotCacheRecords+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omments3.xml" ContentType="application/vnd.openxmlformats-officedocument.spreadsheetml.comment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929"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PietervanZyl\Documents\GitHub\CMMITools\2021-04-12to04-16 (A5) C53517 SoftMARS\"/>
    </mc:Choice>
  </mc:AlternateContent>
  <xr:revisionPtr revIDLastSave="0" documentId="8_{E5532FB9-874E-4AF4-8D93-44EAF7733AE8}" xr6:coauthVersionLast="46" xr6:coauthVersionMax="46" xr10:uidLastSave="{00000000-0000-0000-0000-000000000000}"/>
  <bookViews>
    <workbookView xWindow="-120" yWindow="-16320" windowWidth="29040" windowHeight="15840" activeTab="1" xr2:uid="{17A60280-7B31-4962-89EB-A14BB501988E}"/>
  </bookViews>
  <sheets>
    <sheet name="Copyright" sheetId="61" r:id="rId1"/>
    <sheet name="Release" sheetId="22" r:id="rId2"/>
    <sheet name="Guide" sheetId="62" r:id="rId3"/>
    <sheet name="Control" sheetId="38" r:id="rId4"/>
    <sheet name="Agreement 3" sheetId="1" r:id="rId5"/>
    <sheet name="Planning" sheetId="19" r:id="rId6"/>
    <sheet name="StartupInfo" sheetId="24" r:id="rId7"/>
    <sheet name="Project&amp;Support" sheetId="25" r:id="rId8"/>
    <sheet name="Staff" sheetId="27" r:id="rId9"/>
    <sheet name="StaffGuide" sheetId="59" r:id="rId10"/>
    <sheet name="PvtProjectFTEs" sheetId="36" r:id="rId11"/>
    <sheet name="PvtStaffDistinct" sheetId="28" r:id="rId12"/>
    <sheet name="PvtPACheck" sheetId="33" r:id="rId13"/>
    <sheet name="P1PA-SS" sheetId="15" r:id="rId14"/>
    <sheet name="P1PA-RSG" sheetId="16" r:id="rId15"/>
    <sheet name="P1PA-R" sheetId="18" r:id="rId16"/>
    <sheet name="P2CA" sheetId="56" r:id="rId17"/>
    <sheet name="P3RF" sheetId="55" r:id="rId18"/>
    <sheet name="Schedule" sheetId="30" r:id="rId19"/>
    <sheet name="PvtCheck1" sheetId="54" r:id="rId20"/>
    <sheet name="Schedule2" sheetId="32" r:id="rId21"/>
    <sheet name="PvtEffort" sheetId="66" r:id="rId22"/>
    <sheet name="Schedule4-1P" sheetId="35" r:id="rId23"/>
    <sheet name="Schedule4-1A" sheetId="52" r:id="rId24"/>
    <sheet name="Schedule4-2" sheetId="76" r:id="rId25"/>
    <sheet name="ATM_PA" sheetId="44" r:id="rId26"/>
    <sheet name="C_Resource_Estimates" sheetId="73" r:id="rId27"/>
    <sheet name="C_Support" sheetId="72" r:id="rId28"/>
    <sheet name="C_Projects" sheetId="71" r:id="rId29"/>
    <sheet name="C_OUParticipants" sheetId="67" r:id="rId30"/>
    <sheet name="C_OUProjects" sheetId="68" r:id="rId31"/>
    <sheet name="C_OUPracticeAreas" sheetId="69" r:id="rId32"/>
    <sheet name="OULC" sheetId="49" r:id="rId33"/>
    <sheet name="PvtPartDistinct" sheetId="60" r:id="rId34"/>
    <sheet name="PvtPart_PA" sheetId="42" r:id="rId35"/>
    <sheet name="PvtPart_PrjSup" sheetId="41" r:id="rId36"/>
    <sheet name="PvtPart_Session" sheetId="39" r:id="rId37"/>
    <sheet name="pptxCertificate" sheetId="46" r:id="rId38"/>
    <sheet name="pptxCover" sheetId="47" r:id="rId39"/>
    <sheet name="pptxLink1" sheetId="74" r:id="rId40"/>
    <sheet name="pptxLink2" sheetId="75" r:id="rId41"/>
    <sheet name="pptxLink3" sheetId="77" r:id="rId42"/>
    <sheet name="pptxLink4" sheetId="78" r:id="rId43"/>
    <sheet name="pptxLink5" sheetId="79" r:id="rId44"/>
    <sheet name="pptxLink6" sheetId="80" r:id="rId45"/>
    <sheet name="pptxLink7" sheetId="81" r:id="rId46"/>
    <sheet name="Tables" sheetId="4" r:id="rId47"/>
    <sheet name="BASE" sheetId="70" r:id="rId48"/>
  </sheets>
  <externalReferences>
    <externalReference r:id="rId49"/>
    <externalReference r:id="rId50"/>
  </externalReferences>
  <definedNames>
    <definedName name="_xlnm._FilterDatabase" localSheetId="8" hidden="1">Staff!$A$2:$Y$30</definedName>
    <definedName name="_xlnm._FilterDatabase" localSheetId="9" hidden="1">StaffGuide!$A$2:$V$2</definedName>
    <definedName name="_xlnm.Print_Area" localSheetId="25">ATM_PA!$A$1:$X$24</definedName>
    <definedName name="_xlnm.Print_Area" localSheetId="7">'Project&amp;Support'!$A$1:$AJ$20</definedName>
    <definedName name="_xlnm.Print_Area" localSheetId="11">PvtStaffDistinct!$A$2:$A$31</definedName>
    <definedName name="_xlnm.Print_Area" localSheetId="20">Schedule2!$A$1:$I$10</definedName>
    <definedName name="_xlnm.Print_Area" localSheetId="23">'Schedule4-1A'!$A$1:$G$110</definedName>
    <definedName name="_xlnm.Print_Area" localSheetId="22">'Schedule4-1P'!$A$1:$G$110</definedName>
    <definedName name="_xlnm.Print_Area" localSheetId="8">Staff!$A$2:$Y$30</definedName>
    <definedName name="_xlnm.Print_Area" localSheetId="9">StaffGuide!$A$2:$V$2</definedName>
    <definedName name="_xlnm.Print_Area" localSheetId="6">StartupInfo!$A$1:$B$58</definedName>
    <definedName name="_xlnm.Print_Titles" localSheetId="8">Staff!$2:$2</definedName>
    <definedName name="_xlnm.Print_Titles" localSheetId="9">StaffGuide!$2:$2</definedName>
    <definedName name="tbl_Affiliation">Tables!$AN$5:$AN$6</definedName>
    <definedName name="tbl_Application_domain">[1]TablesLookup!$A$2:$A$8</definedName>
    <definedName name="tbl_AppraisalArtifacts">Tables!$AL$5:$AL$10</definedName>
    <definedName name="tbl_appraisalrole">Tables!$J$5:$J$8</definedName>
    <definedName name="tbl_Business_Category">[2]TableLookup!$A$11:$A$15</definedName>
    <definedName name="tbl_CMMI_models">[2]TableLookup!$A$22:$A$25</definedName>
    <definedName name="tbl_COI">Tables!$AF$5:$AF$19</definedName>
    <definedName name="tbl_CollectionApproach">Tables!$R$5:$R$7</definedName>
    <definedName name="tbl_collectiontechnique">Tables!$T$5:$T$11</definedName>
    <definedName name="tbl_constraints">Tables!$AB$5:$AB$11</definedName>
    <definedName name="tbl_country">Tables!$B$5:$B$258</definedName>
    <definedName name="tbl_Day_of_week">[2]TableLookup!$C$2:$D$8</definedName>
    <definedName name="tbl_equipment">Tables!$Z$5:$Z$17</definedName>
    <definedName name="tbl_followon">Tables!$AH$5:$AH$9</definedName>
    <definedName name="tbl_isic">Tables!$D$5:$D$92</definedName>
    <definedName name="tbl_logisticalRequirement">Tables!$X$5:$X$9</definedName>
    <definedName name="tbl_modelview">Tables!$H$5:$H$9</definedName>
    <definedName name="tbl_PAcount">Tables!$U$36:$Z$56</definedName>
    <definedName name="tbl_projectNames">'Project&amp;Support'!$A$3:$B$58</definedName>
    <definedName name="tbl_reportingRelationship">Tables!$AJ$5:$AJ$10</definedName>
    <definedName name="tbl_responsibleEntity">Tables!$V$5:$V$9</definedName>
    <definedName name="tbl_riskCategory">Tables!$AD$5:$AD$11</definedName>
    <definedName name="tbl_RolePAlookup">StaffGuide!$A$3:$V$13</definedName>
    <definedName name="tbl_sampling">Tables!$L$5:$L$10</definedName>
    <definedName name="tbl_target">Tables!$F$5:$F$9</definedName>
    <definedName name="tbl_timezone">Tables!$N$5:$N$143</definedName>
  </definedNames>
  <calcPr calcId="191029"/>
  <pivotCaches>
    <pivotCache cacheId="6" r:id="rId51"/>
    <pivotCache cacheId="7" r:id="rId52"/>
    <pivotCache cacheId="8" r:id="rId53"/>
    <pivotCache cacheId="9" r:id="rId54"/>
    <pivotCache cacheId="10" r:id="rId55"/>
    <pivotCache cacheId="11" r:id="rId56"/>
  </pivotCache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18" i="52" l="1"/>
  <c r="L17" i="52"/>
  <c r="L16" i="52"/>
  <c r="L15" i="52"/>
  <c r="L14" i="52"/>
  <c r="L13" i="52"/>
  <c r="L12" i="52"/>
  <c r="M11" i="52"/>
  <c r="L11" i="52"/>
  <c r="M11" i="35"/>
  <c r="L15" i="35"/>
  <c r="L16" i="35"/>
  <c r="L17" i="35"/>
  <c r="L18" i="35"/>
  <c r="E25" i="27"/>
  <c r="B25" i="27"/>
  <c r="B34" i="1"/>
  <c r="B16" i="15"/>
  <c r="G15" i="46"/>
  <c r="G14" i="46"/>
  <c r="G13" i="46"/>
  <c r="F11" i="46"/>
  <c r="B7" i="46"/>
  <c r="B5" i="46"/>
  <c r="B4" i="46"/>
  <c r="B3" i="46"/>
  <c r="B2" i="46"/>
  <c r="F14" i="44" l="1"/>
  <c r="G14" i="44"/>
  <c r="H14" i="44"/>
  <c r="I14" i="44"/>
  <c r="J14" i="44"/>
  <c r="K14" i="44"/>
  <c r="L14" i="44"/>
  <c r="M14" i="44"/>
  <c r="N14" i="44"/>
  <c r="O14" i="44"/>
  <c r="P14" i="44"/>
  <c r="Q14" i="44"/>
  <c r="R14" i="44"/>
  <c r="S14" i="44"/>
  <c r="T14" i="44"/>
  <c r="U14" i="44"/>
  <c r="V14" i="44"/>
  <c r="W14" i="44"/>
  <c r="X14" i="44"/>
  <c r="E14" i="44"/>
  <c r="D6" i="44"/>
  <c r="D7" i="44"/>
  <c r="D8" i="44"/>
  <c r="D9" i="44"/>
  <c r="D10" i="44"/>
  <c r="D11" i="44"/>
  <c r="D12" i="44"/>
  <c r="D13" i="44"/>
  <c r="D5" i="44"/>
  <c r="A12" i="44"/>
  <c r="B12" i="44"/>
  <c r="C12" i="44"/>
  <c r="A13" i="44"/>
  <c r="B13" i="44"/>
  <c r="C13" i="44"/>
  <c r="B26" i="19"/>
  <c r="A2" i="74"/>
  <c r="A3" i="74"/>
  <c r="B3" i="19"/>
  <c r="O5" i="32"/>
  <c r="O6" i="32"/>
  <c r="O7" i="32"/>
  <c r="O8" i="32"/>
  <c r="O9" i="32"/>
  <c r="O10" i="32"/>
  <c r="O11" i="32"/>
  <c r="O12" i="32"/>
  <c r="O13" i="32"/>
  <c r="O14" i="32"/>
  <c r="O15" i="32"/>
  <c r="O16" i="32"/>
  <c r="O17" i="32"/>
  <c r="O18" i="32"/>
  <c r="B27" i="19"/>
  <c r="O3" i="32"/>
  <c r="O4" i="32"/>
  <c r="B39" i="15"/>
  <c r="I20" i="38"/>
  <c r="I21" i="38"/>
  <c r="I22" i="38"/>
  <c r="I23" i="38"/>
  <c r="I24" i="38"/>
  <c r="I25" i="38"/>
  <c r="I26" i="38"/>
  <c r="I27" i="38"/>
  <c r="I28" i="38"/>
  <c r="I29" i="38"/>
  <c r="I30" i="38"/>
  <c r="I31" i="38"/>
  <c r="I32" i="38"/>
  <c r="I33" i="38"/>
  <c r="I34" i="38"/>
  <c r="I35" i="38"/>
  <c r="I36" i="38"/>
  <c r="I37" i="38"/>
  <c r="I38" i="38"/>
  <c r="I39" i="38"/>
  <c r="I40" i="38"/>
  <c r="I41" i="38"/>
  <c r="I42" i="38"/>
  <c r="I43" i="38"/>
  <c r="I44" i="38"/>
  <c r="I45" i="38"/>
  <c r="I46" i="38"/>
  <c r="I47" i="38"/>
  <c r="I48" i="38"/>
  <c r="I49" i="38"/>
  <c r="I50" i="38"/>
  <c r="I51" i="38"/>
  <c r="I52" i="38"/>
  <c r="I53" i="38"/>
  <c r="I54" i="38"/>
  <c r="B4" i="27"/>
  <c r="B5" i="27"/>
  <c r="B6" i="27"/>
  <c r="B7" i="27"/>
  <c r="B8" i="27"/>
  <c r="B9" i="27"/>
  <c r="B10" i="27"/>
  <c r="B11" i="27"/>
  <c r="B12" i="27"/>
  <c r="B13" i="27"/>
  <c r="B14" i="27"/>
  <c r="B15" i="27"/>
  <c r="B16" i="27"/>
  <c r="B17" i="27"/>
  <c r="B18" i="27"/>
  <c r="B19" i="27"/>
  <c r="B20" i="27"/>
  <c r="B21" i="27"/>
  <c r="B22" i="27"/>
  <c r="B23" i="27"/>
  <c r="B24" i="27"/>
  <c r="B26" i="27"/>
  <c r="B27" i="27"/>
  <c r="B3" i="27"/>
  <c r="B16" i="24" l="1"/>
  <c r="B15" i="24"/>
  <c r="A16" i="24"/>
  <c r="A15" i="24"/>
  <c r="F1" i="27" l="1"/>
  <c r="C6" i="80"/>
  <c r="C7" i="80"/>
  <c r="C8" i="80"/>
  <c r="C9" i="80"/>
  <c r="C10" i="80"/>
  <c r="C11" i="80"/>
  <c r="C12" i="80"/>
  <c r="C13" i="80"/>
  <c r="C5" i="80"/>
  <c r="C4" i="80"/>
  <c r="C3" i="80"/>
  <c r="A35" i="75"/>
  <c r="A34" i="75"/>
  <c r="A33" i="75"/>
  <c r="A31" i="75"/>
  <c r="A30" i="75"/>
  <c r="D6" i="74"/>
  <c r="B6" i="74"/>
  <c r="B12" i="78"/>
  <c r="C12" i="78"/>
  <c r="B13" i="78"/>
  <c r="C13" i="78"/>
  <c r="B14" i="78"/>
  <c r="C14" i="78"/>
  <c r="B15" i="78"/>
  <c r="C15" i="78"/>
  <c r="B16" i="78"/>
  <c r="C16" i="78"/>
  <c r="B17" i="78"/>
  <c r="C17" i="78"/>
  <c r="B18" i="78"/>
  <c r="C18" i="78"/>
  <c r="B19" i="78"/>
  <c r="C19" i="78"/>
  <c r="B20" i="78"/>
  <c r="C20" i="78"/>
  <c r="B21" i="78"/>
  <c r="C21" i="78"/>
  <c r="B22" i="78"/>
  <c r="C22" i="78"/>
  <c r="B23" i="78"/>
  <c r="C23" i="78"/>
  <c r="C11" i="78"/>
  <c r="C10" i="78"/>
  <c r="B10" i="78"/>
  <c r="B11" i="78"/>
  <c r="B25" i="78"/>
  <c r="A19" i="75"/>
  <c r="A16" i="75"/>
  <c r="A7" i="75"/>
  <c r="A10" i="75"/>
  <c r="A13" i="75"/>
  <c r="A18" i="75"/>
  <c r="A15" i="75"/>
  <c r="A12" i="75"/>
  <c r="A9" i="75"/>
  <c r="A6" i="75"/>
  <c r="B17" i="79"/>
  <c r="C17" i="79"/>
  <c r="D17" i="79"/>
  <c r="B18" i="79"/>
  <c r="C18" i="79"/>
  <c r="D18" i="79"/>
  <c r="B19" i="79"/>
  <c r="C19" i="79"/>
  <c r="D19" i="79"/>
  <c r="B20" i="79"/>
  <c r="C20" i="79"/>
  <c r="D20" i="79"/>
  <c r="B21" i="79"/>
  <c r="C21" i="79"/>
  <c r="D21" i="79"/>
  <c r="D16" i="79"/>
  <c r="C16" i="79"/>
  <c r="B16" i="79"/>
  <c r="B10" i="79"/>
  <c r="C10" i="79"/>
  <c r="D10" i="79"/>
  <c r="B11" i="79"/>
  <c r="C11" i="79"/>
  <c r="D11" i="79"/>
  <c r="B8" i="79"/>
  <c r="C8" i="79"/>
  <c r="D8" i="79"/>
  <c r="B9" i="79"/>
  <c r="C9" i="79"/>
  <c r="D9" i="79"/>
  <c r="B3" i="79"/>
  <c r="C3" i="79"/>
  <c r="D3" i="79"/>
  <c r="B4" i="79"/>
  <c r="C4" i="79"/>
  <c r="D4" i="79"/>
  <c r="B5" i="79"/>
  <c r="C5" i="79"/>
  <c r="D5" i="79"/>
  <c r="B6" i="79"/>
  <c r="C6" i="79"/>
  <c r="D6" i="79"/>
  <c r="B7" i="79"/>
  <c r="C7" i="79"/>
  <c r="D7" i="79"/>
  <c r="D2" i="79"/>
  <c r="C2" i="79"/>
  <c r="B2" i="79"/>
  <c r="A2" i="79"/>
  <c r="A25" i="78"/>
  <c r="D25" i="78"/>
  <c r="E25" i="78"/>
  <c r="F25" i="78"/>
  <c r="G25" i="78"/>
  <c r="H25" i="78"/>
  <c r="I25" i="78"/>
  <c r="J25" i="78"/>
  <c r="K25" i="78"/>
  <c r="L25" i="78"/>
  <c r="M25" i="78"/>
  <c r="N25" i="78"/>
  <c r="O25" i="78"/>
  <c r="P25" i="78"/>
  <c r="Q25" i="78"/>
  <c r="R25" i="78"/>
  <c r="S25" i="78"/>
  <c r="T25" i="78"/>
  <c r="U25" i="78"/>
  <c r="A12" i="78"/>
  <c r="D12" i="78"/>
  <c r="E12" i="78"/>
  <c r="F12" i="78"/>
  <c r="G12" i="78"/>
  <c r="H12" i="78"/>
  <c r="I12" i="78"/>
  <c r="J12" i="78"/>
  <c r="K12" i="78"/>
  <c r="L12" i="78"/>
  <c r="M12" i="78"/>
  <c r="N12" i="78"/>
  <c r="O12" i="78"/>
  <c r="P12" i="78"/>
  <c r="Q12" i="78"/>
  <c r="R12" i="78"/>
  <c r="S12" i="78"/>
  <c r="T12" i="78"/>
  <c r="U12" i="78"/>
  <c r="A13" i="78"/>
  <c r="D13" i="78"/>
  <c r="E13" i="78"/>
  <c r="F13" i="78"/>
  <c r="G13" i="78"/>
  <c r="H13" i="78"/>
  <c r="I13" i="78"/>
  <c r="J13" i="78"/>
  <c r="K13" i="78"/>
  <c r="L13" i="78"/>
  <c r="M13" i="78"/>
  <c r="N13" i="78"/>
  <c r="O13" i="78"/>
  <c r="P13" i="78"/>
  <c r="Q13" i="78"/>
  <c r="R13" i="78"/>
  <c r="S13" i="78"/>
  <c r="T13" i="78"/>
  <c r="U13" i="78"/>
  <c r="A14" i="78"/>
  <c r="D14" i="78"/>
  <c r="E14" i="78"/>
  <c r="F14" i="78"/>
  <c r="G14" i="78"/>
  <c r="H14" i="78"/>
  <c r="I14" i="78"/>
  <c r="J14" i="78"/>
  <c r="K14" i="78"/>
  <c r="L14" i="78"/>
  <c r="M14" i="78"/>
  <c r="N14" i="78"/>
  <c r="O14" i="78"/>
  <c r="P14" i="78"/>
  <c r="Q14" i="78"/>
  <c r="R14" i="78"/>
  <c r="S14" i="78"/>
  <c r="T14" i="78"/>
  <c r="U14" i="78"/>
  <c r="A15" i="78"/>
  <c r="D15" i="78"/>
  <c r="E15" i="78"/>
  <c r="F15" i="78"/>
  <c r="G15" i="78"/>
  <c r="H15" i="78"/>
  <c r="I15" i="78"/>
  <c r="J15" i="78"/>
  <c r="K15" i="78"/>
  <c r="L15" i="78"/>
  <c r="M15" i="78"/>
  <c r="N15" i="78"/>
  <c r="O15" i="78"/>
  <c r="P15" i="78"/>
  <c r="Q15" i="78"/>
  <c r="R15" i="78"/>
  <c r="S15" i="78"/>
  <c r="T15" i="78"/>
  <c r="U15" i="78"/>
  <c r="A16" i="78"/>
  <c r="D16" i="78"/>
  <c r="E16" i="78"/>
  <c r="F16" i="78"/>
  <c r="G16" i="78"/>
  <c r="H16" i="78"/>
  <c r="I16" i="78"/>
  <c r="J16" i="78"/>
  <c r="K16" i="78"/>
  <c r="L16" i="78"/>
  <c r="M16" i="78"/>
  <c r="N16" i="78"/>
  <c r="O16" i="78"/>
  <c r="P16" i="78"/>
  <c r="Q16" i="78"/>
  <c r="R16" i="78"/>
  <c r="S16" i="78"/>
  <c r="T16" i="78"/>
  <c r="U16" i="78"/>
  <c r="A17" i="78"/>
  <c r="D17" i="78"/>
  <c r="E17" i="78"/>
  <c r="F17" i="78"/>
  <c r="G17" i="78"/>
  <c r="H17" i="78"/>
  <c r="I17" i="78"/>
  <c r="J17" i="78"/>
  <c r="K17" i="78"/>
  <c r="L17" i="78"/>
  <c r="M17" i="78"/>
  <c r="N17" i="78"/>
  <c r="O17" i="78"/>
  <c r="P17" i="78"/>
  <c r="Q17" i="78"/>
  <c r="R17" i="78"/>
  <c r="S17" i="78"/>
  <c r="T17" i="78"/>
  <c r="U17" i="78"/>
  <c r="A18" i="78"/>
  <c r="D18" i="78"/>
  <c r="E18" i="78"/>
  <c r="F18" i="78"/>
  <c r="G18" i="78"/>
  <c r="H18" i="78"/>
  <c r="I18" i="78"/>
  <c r="J18" i="78"/>
  <c r="K18" i="78"/>
  <c r="L18" i="78"/>
  <c r="M18" i="78"/>
  <c r="N18" i="78"/>
  <c r="O18" i="78"/>
  <c r="P18" i="78"/>
  <c r="Q18" i="78"/>
  <c r="R18" i="78"/>
  <c r="S18" i="78"/>
  <c r="T18" i="78"/>
  <c r="U18" i="78"/>
  <c r="A19" i="78"/>
  <c r="D19" i="78"/>
  <c r="E19" i="78"/>
  <c r="F19" i="78"/>
  <c r="G19" i="78"/>
  <c r="H19" i="78"/>
  <c r="I19" i="78"/>
  <c r="J19" i="78"/>
  <c r="K19" i="78"/>
  <c r="L19" i="78"/>
  <c r="M19" i="78"/>
  <c r="N19" i="78"/>
  <c r="O19" i="78"/>
  <c r="P19" i="78"/>
  <c r="Q19" i="78"/>
  <c r="R19" i="78"/>
  <c r="S19" i="78"/>
  <c r="T19" i="78"/>
  <c r="U19" i="78"/>
  <c r="A20" i="78"/>
  <c r="D20" i="78"/>
  <c r="E20" i="78"/>
  <c r="F20" i="78"/>
  <c r="G20" i="78"/>
  <c r="H20" i="78"/>
  <c r="I20" i="78"/>
  <c r="J20" i="78"/>
  <c r="K20" i="78"/>
  <c r="L20" i="78"/>
  <c r="M20" i="78"/>
  <c r="N20" i="78"/>
  <c r="O20" i="78"/>
  <c r="P20" i="78"/>
  <c r="Q20" i="78"/>
  <c r="R20" i="78"/>
  <c r="S20" i="78"/>
  <c r="T20" i="78"/>
  <c r="U20" i="78"/>
  <c r="A21" i="78"/>
  <c r="D21" i="78"/>
  <c r="E21" i="78"/>
  <c r="F21" i="78"/>
  <c r="G21" i="78"/>
  <c r="H21" i="78"/>
  <c r="I21" i="78"/>
  <c r="J21" i="78"/>
  <c r="K21" i="78"/>
  <c r="L21" i="78"/>
  <c r="M21" i="78"/>
  <c r="N21" i="78"/>
  <c r="O21" i="78"/>
  <c r="P21" i="78"/>
  <c r="Q21" i="78"/>
  <c r="R21" i="78"/>
  <c r="S21" i="78"/>
  <c r="T21" i="78"/>
  <c r="U21" i="78"/>
  <c r="A22" i="78"/>
  <c r="D22" i="78"/>
  <c r="E22" i="78"/>
  <c r="F22" i="78"/>
  <c r="G22" i="78"/>
  <c r="H22" i="78"/>
  <c r="I22" i="78"/>
  <c r="J22" i="78"/>
  <c r="K22" i="78"/>
  <c r="L22" i="78"/>
  <c r="M22" i="78"/>
  <c r="N22" i="78"/>
  <c r="O22" i="78"/>
  <c r="P22" i="78"/>
  <c r="Q22" i="78"/>
  <c r="R22" i="78"/>
  <c r="S22" i="78"/>
  <c r="T22" i="78"/>
  <c r="U22" i="78"/>
  <c r="A23" i="78"/>
  <c r="D23" i="78"/>
  <c r="E23" i="78"/>
  <c r="F23" i="78"/>
  <c r="G23" i="78"/>
  <c r="H23" i="78"/>
  <c r="I23" i="78"/>
  <c r="J23" i="78"/>
  <c r="K23" i="78"/>
  <c r="L23" i="78"/>
  <c r="M23" i="78"/>
  <c r="N23" i="78"/>
  <c r="O23" i="78"/>
  <c r="P23" i="78"/>
  <c r="Q23" i="78"/>
  <c r="R23" i="78"/>
  <c r="S23" i="78"/>
  <c r="T23" i="78"/>
  <c r="U23" i="78"/>
  <c r="U11" i="78"/>
  <c r="T11" i="78"/>
  <c r="S11" i="78"/>
  <c r="R11" i="78"/>
  <c r="Q11" i="78"/>
  <c r="P11" i="78"/>
  <c r="O11" i="78"/>
  <c r="N11" i="78"/>
  <c r="M11" i="78"/>
  <c r="L11" i="78"/>
  <c r="K11" i="78"/>
  <c r="J11" i="78"/>
  <c r="I11" i="78"/>
  <c r="H11" i="78"/>
  <c r="G11" i="78"/>
  <c r="F11" i="78"/>
  <c r="E11" i="78"/>
  <c r="D11" i="78"/>
  <c r="A11" i="78"/>
  <c r="U10" i="78"/>
  <c r="T10" i="78"/>
  <c r="S10" i="78"/>
  <c r="R10" i="78"/>
  <c r="Q10" i="78"/>
  <c r="P10" i="78"/>
  <c r="O10" i="78"/>
  <c r="N10" i="78"/>
  <c r="M10" i="78"/>
  <c r="L10" i="78"/>
  <c r="K10" i="78"/>
  <c r="J10" i="78"/>
  <c r="I10" i="78"/>
  <c r="H10" i="78"/>
  <c r="G10" i="78"/>
  <c r="F10" i="78"/>
  <c r="E10" i="78"/>
  <c r="D10" i="78"/>
  <c r="A10" i="78"/>
  <c r="A4" i="78"/>
  <c r="A3" i="78"/>
  <c r="A2" i="78"/>
  <c r="F2" i="77"/>
  <c r="C6" i="77" s="1"/>
  <c r="M6" i="77" s="1"/>
  <c r="H39" i="76"/>
  <c r="H38" i="76"/>
  <c r="H37" i="76"/>
  <c r="H36" i="76"/>
  <c r="H35" i="76"/>
  <c r="H34" i="76"/>
  <c r="H33" i="76"/>
  <c r="H32" i="76"/>
  <c r="H31" i="76"/>
  <c r="H30" i="76"/>
  <c r="H29" i="76"/>
  <c r="H28" i="76"/>
  <c r="H27" i="76"/>
  <c r="H26" i="76"/>
  <c r="H25" i="76"/>
  <c r="H24" i="76"/>
  <c r="H23" i="76"/>
  <c r="H19" i="76"/>
  <c r="H18" i="76"/>
  <c r="H17" i="76"/>
  <c r="H16" i="76"/>
  <c r="H15" i="76"/>
  <c r="H14" i="76"/>
  <c r="H13" i="76"/>
  <c r="H12" i="76"/>
  <c r="H11" i="76"/>
  <c r="H10" i="76"/>
  <c r="H9" i="76"/>
  <c r="H8" i="76"/>
  <c r="H7" i="76"/>
  <c r="H6" i="76"/>
  <c r="H5" i="76"/>
  <c r="H4" i="76"/>
  <c r="H3" i="76"/>
  <c r="K6" i="77" l="1"/>
  <c r="L6" i="77"/>
  <c r="O6" i="77"/>
  <c r="N6" i="77"/>
  <c r="C11" i="77"/>
  <c r="C15" i="77"/>
  <c r="C14" i="77"/>
  <c r="C18" i="77"/>
  <c r="C16" i="77"/>
  <c r="C24" i="77"/>
  <c r="C9" i="77"/>
  <c r="C17" i="77"/>
  <c r="C5" i="77"/>
  <c r="C23" i="77"/>
  <c r="C7" i="77"/>
  <c r="C22" i="77"/>
  <c r="C13" i="77"/>
  <c r="C21" i="77"/>
  <c r="C20" i="77"/>
  <c r="C12" i="77"/>
  <c r="C19" i="77"/>
  <c r="C10" i="77"/>
  <c r="C8" i="77"/>
  <c r="K16" i="77" l="1"/>
  <c r="L16" i="77"/>
  <c r="M16" i="77"/>
  <c r="N16" i="77"/>
  <c r="O16" i="77"/>
  <c r="M22" i="77"/>
  <c r="N22" i="77"/>
  <c r="O22" i="77"/>
  <c r="K22" i="77"/>
  <c r="L22" i="77"/>
  <c r="K18" i="77"/>
  <c r="L18" i="77"/>
  <c r="M18" i="77"/>
  <c r="N18" i="77"/>
  <c r="O18" i="77"/>
  <c r="K8" i="77"/>
  <c r="L8" i="77"/>
  <c r="M8" i="77"/>
  <c r="N8" i="77"/>
  <c r="O8" i="77"/>
  <c r="K7" i="77"/>
  <c r="O7" i="77"/>
  <c r="L7" i="77"/>
  <c r="M7" i="77"/>
  <c r="N7" i="77"/>
  <c r="M14" i="77"/>
  <c r="N14" i="77"/>
  <c r="O14" i="77"/>
  <c r="L14" i="77"/>
  <c r="K14" i="77"/>
  <c r="N9" i="77"/>
  <c r="O9" i="77"/>
  <c r="M9" i="77"/>
  <c r="K9" i="77"/>
  <c r="L9" i="77"/>
  <c r="K24" i="77"/>
  <c r="L24" i="77"/>
  <c r="M24" i="77"/>
  <c r="N24" i="77"/>
  <c r="O24" i="77"/>
  <c r="K13" i="77"/>
  <c r="L13" i="77"/>
  <c r="M13" i="77"/>
  <c r="N13" i="77"/>
  <c r="O13" i="77"/>
  <c r="K15" i="77"/>
  <c r="L15" i="77"/>
  <c r="M15" i="77"/>
  <c r="N15" i="77"/>
  <c r="O15" i="77"/>
  <c r="O20" i="77"/>
  <c r="N20" i="77"/>
  <c r="K20" i="77"/>
  <c r="L20" i="77"/>
  <c r="M20" i="77"/>
  <c r="K21" i="77"/>
  <c r="L21" i="77"/>
  <c r="M21" i="77"/>
  <c r="N21" i="77"/>
  <c r="O21" i="77"/>
  <c r="K10" i="77"/>
  <c r="L10" i="77"/>
  <c r="M10" i="77"/>
  <c r="N10" i="77"/>
  <c r="O10" i="77"/>
  <c r="K23" i="77"/>
  <c r="O23" i="77"/>
  <c r="L23" i="77"/>
  <c r="M23" i="77"/>
  <c r="N23" i="77"/>
  <c r="L19" i="77"/>
  <c r="M19" i="77"/>
  <c r="N19" i="77"/>
  <c r="O19" i="77"/>
  <c r="K19" i="77"/>
  <c r="O5" i="77"/>
  <c r="K5" i="77"/>
  <c r="L5" i="77"/>
  <c r="M5" i="77"/>
  <c r="N5" i="77"/>
  <c r="L11" i="77"/>
  <c r="M11" i="77"/>
  <c r="N11" i="77"/>
  <c r="O11" i="77"/>
  <c r="K11" i="77"/>
  <c r="O12" i="77"/>
  <c r="N12" i="77"/>
  <c r="K12" i="77"/>
  <c r="L12" i="77"/>
  <c r="M12" i="77"/>
  <c r="N17" i="77"/>
  <c r="O17" i="77"/>
  <c r="M17" i="77"/>
  <c r="K17" i="77"/>
  <c r="L17" i="77"/>
  <c r="A4" i="75"/>
  <c r="A3" i="75"/>
  <c r="A1" i="75"/>
  <c r="B28" i="74"/>
  <c r="B27" i="74"/>
  <c r="B26" i="74"/>
  <c r="B25" i="74"/>
  <c r="B24" i="74"/>
  <c r="B23" i="74"/>
  <c r="B22" i="74"/>
  <c r="B21" i="74"/>
  <c r="B20" i="74"/>
  <c r="B19" i="74"/>
  <c r="B17" i="74"/>
  <c r="B16" i="74"/>
  <c r="B15" i="74"/>
  <c r="B14" i="74"/>
  <c r="B13" i="74"/>
  <c r="B11" i="74"/>
  <c r="B10" i="74"/>
  <c r="B9" i="74"/>
  <c r="B5" i="74"/>
  <c r="C18" i="73"/>
  <c r="B19" i="73"/>
  <c r="C19" i="73" s="1"/>
  <c r="B17" i="73"/>
  <c r="C17" i="73" s="1"/>
  <c r="B16" i="73"/>
  <c r="C16" i="73"/>
  <c r="C12" i="73"/>
  <c r="C9" i="73"/>
  <c r="B20" i="73"/>
  <c r="C20" i="73" s="1"/>
  <c r="C14" i="73"/>
  <c r="C13" i="73"/>
  <c r="C10" i="73"/>
  <c r="C15" i="73"/>
  <c r="C5" i="73"/>
  <c r="B25" i="73" s="1"/>
  <c r="C6" i="73"/>
  <c r="C7" i="73"/>
  <c r="C8" i="73"/>
  <c r="C11" i="73"/>
  <c r="C4" i="73"/>
  <c r="E3" i="27"/>
  <c r="E4" i="27"/>
  <c r="E5" i="27"/>
  <c r="E6" i="27"/>
  <c r="E7" i="27"/>
  <c r="E8" i="27"/>
  <c r="E9" i="27"/>
  <c r="E10" i="27"/>
  <c r="E11" i="27"/>
  <c r="E12" i="27"/>
  <c r="E13" i="27"/>
  <c r="E14" i="27"/>
  <c r="E15" i="27"/>
  <c r="E16" i="27"/>
  <c r="E17" i="27"/>
  <c r="E18" i="27"/>
  <c r="E19" i="27"/>
  <c r="E20" i="27"/>
  <c r="E21" i="27"/>
  <c r="E22" i="27"/>
  <c r="E23" i="27"/>
  <c r="E24" i="27"/>
  <c r="E26" i="27"/>
  <c r="E27" i="27"/>
  <c r="B32" i="24"/>
  <c r="B31" i="24"/>
  <c r="B28" i="24"/>
  <c r="B27" i="24"/>
  <c r="B14" i="24"/>
  <c r="A14" i="24"/>
  <c r="B13" i="24"/>
  <c r="B29" i="74"/>
  <c r="O2" i="32"/>
  <c r="E1" i="66"/>
  <c r="F8" i="66" s="1"/>
  <c r="G8" i="66" s="1"/>
  <c r="I8" i="66" s="1"/>
  <c r="J8" i="66" s="1"/>
  <c r="L1" i="32"/>
  <c r="L1" i="27"/>
  <c r="R1" i="27"/>
  <c r="B34" i="73" l="1"/>
  <c r="B33" i="73"/>
  <c r="B26" i="73"/>
  <c r="B24" i="73"/>
  <c r="B31" i="73"/>
  <c r="F6" i="66"/>
  <c r="G6" i="66" s="1"/>
  <c r="I6" i="66" s="1"/>
  <c r="J6" i="66" s="1"/>
  <c r="F5" i="66"/>
  <c r="G5" i="66" s="1"/>
  <c r="I5" i="66" s="1"/>
  <c r="J5" i="66" s="1"/>
  <c r="F4" i="66"/>
  <c r="G4" i="66" s="1"/>
  <c r="I4" i="66" s="1"/>
  <c r="J4" i="66" s="1"/>
  <c r="F9" i="66"/>
  <c r="G9" i="66" s="1"/>
  <c r="I9" i="66" s="1"/>
  <c r="J9" i="66" s="1"/>
  <c r="F7" i="66"/>
  <c r="G7" i="66" s="1"/>
  <c r="I7" i="66" s="1"/>
  <c r="J7" i="66" s="1"/>
  <c r="T1" i="27"/>
  <c r="M1" i="27"/>
  <c r="X1" i="27"/>
  <c r="Y1" i="27"/>
  <c r="U1" i="27"/>
  <c r="Q1" i="27"/>
  <c r="P1" i="27"/>
  <c r="J1" i="27"/>
  <c r="K1" i="27"/>
  <c r="H1" i="27"/>
  <c r="S1" i="27"/>
  <c r="W1" i="27"/>
  <c r="O1" i="27"/>
  <c r="G1" i="27"/>
  <c r="I1" i="27"/>
  <c r="V1" i="27"/>
  <c r="N1" i="27"/>
  <c r="B3" i="15"/>
  <c r="B3" i="24"/>
  <c r="B1" i="74" s="1"/>
  <c r="B27" i="73" l="1"/>
  <c r="B35" i="73"/>
  <c r="B43" i="73"/>
  <c r="B47" i="73"/>
  <c r="B41" i="73"/>
  <c r="B44" i="73"/>
  <c r="B42" i="73"/>
  <c r="B45" i="73"/>
  <c r="B32" i="73"/>
  <c r="B39" i="73"/>
  <c r="B46" i="73"/>
  <c r="B40" i="73"/>
  <c r="B29" i="73"/>
  <c r="B30" i="73"/>
  <c r="B28" i="73"/>
  <c r="B38" i="73"/>
  <c r="B37" i="73"/>
  <c r="B36" i="73"/>
  <c r="C28" i="47"/>
  <c r="B30" i="19"/>
  <c r="V15" i="59"/>
  <c r="U15" i="59"/>
  <c r="T15" i="59"/>
  <c r="S15" i="59"/>
  <c r="R15" i="59"/>
  <c r="Q15" i="59"/>
  <c r="P15" i="59"/>
  <c r="O15" i="59"/>
  <c r="N15" i="59"/>
  <c r="M15" i="59"/>
  <c r="L15" i="59"/>
  <c r="K15" i="59"/>
  <c r="J15" i="59"/>
  <c r="I15" i="59"/>
  <c r="H15" i="59"/>
  <c r="G15" i="59"/>
  <c r="F15" i="59"/>
  <c r="E15" i="59"/>
  <c r="D15" i="59"/>
  <c r="C15" i="59"/>
  <c r="I13" i="35"/>
  <c r="I14" i="35"/>
  <c r="I12" i="35"/>
  <c r="L12" i="35"/>
  <c r="L13" i="35"/>
  <c r="L14" i="35"/>
  <c r="A9" i="44"/>
  <c r="B9" i="44"/>
  <c r="C9" i="44"/>
  <c r="A10" i="44"/>
  <c r="B10" i="44"/>
  <c r="C10" i="44"/>
  <c r="A11" i="44"/>
  <c r="B11" i="44"/>
  <c r="C11" i="44"/>
  <c r="A6" i="44"/>
  <c r="B6" i="44"/>
  <c r="C6" i="44"/>
  <c r="A7" i="44"/>
  <c r="B7" i="44"/>
  <c r="C7" i="44"/>
  <c r="A8" i="44"/>
  <c r="B8" i="44"/>
  <c r="C8" i="44"/>
  <c r="B18" i="15"/>
  <c r="B7" i="24"/>
  <c r="B8" i="24"/>
  <c r="B4" i="24"/>
  <c r="I85" i="15"/>
  <c r="B42" i="19"/>
  <c r="A15" i="52"/>
  <c r="I13" i="52"/>
  <c r="I12" i="52"/>
  <c r="J11" i="52"/>
  <c r="B15" i="47"/>
  <c r="B16" i="47"/>
  <c r="B17" i="47"/>
  <c r="D3" i="44"/>
  <c r="D15" i="44"/>
  <c r="D16" i="44"/>
  <c r="D2" i="44"/>
  <c r="B5" i="44"/>
  <c r="B15" i="44"/>
  <c r="B16" i="44"/>
  <c r="C5" i="44"/>
  <c r="C15" i="44"/>
  <c r="C16" i="44"/>
  <c r="A3" i="44"/>
  <c r="A5" i="44"/>
  <c r="A15" i="44"/>
  <c r="A16" i="44"/>
  <c r="A2" i="44"/>
  <c r="B12" i="47"/>
  <c r="B32" i="47" s="1"/>
  <c r="B11" i="47"/>
  <c r="B10" i="47"/>
  <c r="B7" i="47"/>
  <c r="V87" i="15"/>
  <c r="C19" i="44" s="1"/>
  <c r="J11" i="35"/>
  <c r="G87" i="15"/>
  <c r="F87" i="15"/>
  <c r="E87" i="15"/>
  <c r="B52" i="24"/>
  <c r="D87" i="15" s="1"/>
  <c r="L11" i="35"/>
  <c r="D4" i="35"/>
  <c r="D86" i="15"/>
  <c r="D85" i="15"/>
  <c r="I19" i="38"/>
  <c r="I18" i="38"/>
  <c r="I17" i="38"/>
  <c r="I16" i="38"/>
  <c r="I15" i="38"/>
  <c r="I14" i="38"/>
  <c r="I13" i="38"/>
  <c r="I12" i="38"/>
  <c r="I11" i="38"/>
  <c r="I10" i="38"/>
  <c r="I9" i="38"/>
  <c r="I8" i="38"/>
  <c r="I7" i="38"/>
  <c r="V86" i="15"/>
  <c r="C2" i="44" s="1"/>
  <c r="B86" i="15"/>
  <c r="V85" i="15"/>
  <c r="Y85" i="15" s="1"/>
  <c r="B85" i="15"/>
  <c r="B77" i="15"/>
  <c r="B76" i="15"/>
  <c r="B75" i="15"/>
  <c r="B4" i="15"/>
  <c r="B14" i="19"/>
  <c r="B38" i="15"/>
  <c r="B31" i="15"/>
  <c r="B32" i="15"/>
  <c r="B33" i="15"/>
  <c r="B34" i="15"/>
  <c r="B26" i="15"/>
  <c r="B41" i="19"/>
  <c r="A15" i="35"/>
  <c r="E4" i="35"/>
  <c r="E17" i="35" s="1"/>
  <c r="E36" i="35" s="1"/>
  <c r="E55" i="35" s="1"/>
  <c r="E74" i="35" s="1"/>
  <c r="E93" i="35" s="1"/>
  <c r="B64" i="15"/>
  <c r="B16" i="19"/>
  <c r="C114" i="15" s="1"/>
  <c r="B33" i="19"/>
  <c r="B65" i="15" s="1"/>
  <c r="B24" i="15"/>
  <c r="B23" i="15"/>
  <c r="B19" i="15"/>
  <c r="B22" i="15"/>
  <c r="B57" i="24"/>
  <c r="B56" i="24"/>
  <c r="I87" i="15" s="1"/>
  <c r="B51" i="24"/>
  <c r="B87" i="15" s="1"/>
  <c r="B30" i="74" s="1"/>
  <c r="B48" i="24"/>
  <c r="B47" i="24"/>
  <c r="B45" i="24"/>
  <c r="B42" i="24"/>
  <c r="B41" i="24"/>
  <c r="B38" i="24"/>
  <c r="B37" i="24"/>
  <c r="B36" i="24"/>
  <c r="V56" i="4"/>
  <c r="W56" i="4"/>
  <c r="X56" i="4" s="1"/>
  <c r="Y56" i="4" s="1"/>
  <c r="Z56" i="4" s="1"/>
  <c r="V55" i="4"/>
  <c r="W55" i="4"/>
  <c r="X55" i="4" s="1"/>
  <c r="Y55" i="4" s="1"/>
  <c r="Z55" i="4" s="1"/>
  <c r="V54" i="4"/>
  <c r="W54" i="4"/>
  <c r="X54" i="4" s="1"/>
  <c r="Y54" i="4" s="1"/>
  <c r="Z54" i="4" s="1"/>
  <c r="V53" i="4"/>
  <c r="W53" i="4" s="1"/>
  <c r="X53" i="4" s="1"/>
  <c r="Y53" i="4" s="1"/>
  <c r="Z53" i="4" s="1"/>
  <c r="V52" i="4"/>
  <c r="W52" i="4"/>
  <c r="X52" i="4"/>
  <c r="Y52" i="4" s="1"/>
  <c r="Z52" i="4" s="1"/>
  <c r="W51" i="4"/>
  <c r="X51" i="4" s="1"/>
  <c r="Y51" i="4" s="1"/>
  <c r="Z51" i="4" s="1"/>
  <c r="V51" i="4"/>
  <c r="V50" i="4"/>
  <c r="W50" i="4" s="1"/>
  <c r="X50" i="4" s="1"/>
  <c r="Y50" i="4" s="1"/>
  <c r="Z50" i="4" s="1"/>
  <c r="W49" i="4"/>
  <c r="X49" i="4" s="1"/>
  <c r="Y49" i="4" s="1"/>
  <c r="Z49" i="4" s="1"/>
  <c r="V49" i="4"/>
  <c r="V48" i="4"/>
  <c r="W48" i="4"/>
  <c r="X48" i="4" s="1"/>
  <c r="Y48" i="4" s="1"/>
  <c r="Z48" i="4" s="1"/>
  <c r="V47" i="4"/>
  <c r="W47" i="4"/>
  <c r="X47" i="4" s="1"/>
  <c r="Y47" i="4" s="1"/>
  <c r="Z47" i="4" s="1"/>
  <c r="V46" i="4"/>
  <c r="W46" i="4"/>
  <c r="X46" i="4" s="1"/>
  <c r="Y46" i="4" s="1"/>
  <c r="Z46" i="4" s="1"/>
  <c r="V45" i="4"/>
  <c r="W45" i="4" s="1"/>
  <c r="X45" i="4" s="1"/>
  <c r="Y45" i="4" s="1"/>
  <c r="Z45" i="4" s="1"/>
  <c r="V44" i="4"/>
  <c r="W44" i="4"/>
  <c r="X44" i="4"/>
  <c r="Y44" i="4" s="1"/>
  <c r="Z44" i="4" s="1"/>
  <c r="W43" i="4"/>
  <c r="X43" i="4" s="1"/>
  <c r="Y43" i="4" s="1"/>
  <c r="Z43" i="4" s="1"/>
  <c r="V43" i="4"/>
  <c r="V42" i="4"/>
  <c r="W42" i="4" s="1"/>
  <c r="X42" i="4" s="1"/>
  <c r="Y42" i="4" s="1"/>
  <c r="Z42" i="4" s="1"/>
  <c r="W41" i="4"/>
  <c r="X41" i="4" s="1"/>
  <c r="Y41" i="4" s="1"/>
  <c r="Z41" i="4" s="1"/>
  <c r="V41" i="4"/>
  <c r="V40" i="4"/>
  <c r="W40" i="4"/>
  <c r="X40" i="4" s="1"/>
  <c r="Y40" i="4" s="1"/>
  <c r="Z40" i="4" s="1"/>
  <c r="V39" i="4"/>
  <c r="W39" i="4"/>
  <c r="X39" i="4" s="1"/>
  <c r="Y39" i="4" s="1"/>
  <c r="Z39" i="4" s="1"/>
  <c r="V38" i="4"/>
  <c r="W38" i="4"/>
  <c r="X38" i="4" s="1"/>
  <c r="Y38" i="4" s="1"/>
  <c r="Z38" i="4" s="1"/>
  <c r="V37" i="4"/>
  <c r="W37" i="4" s="1"/>
  <c r="X37" i="4" s="1"/>
  <c r="Y37" i="4" s="1"/>
  <c r="Z37" i="4" s="1"/>
  <c r="C4" i="35"/>
  <c r="C17" i="35"/>
  <c r="C36" i="35" s="1"/>
  <c r="C55" i="35" s="1"/>
  <c r="C74" i="35" s="1"/>
  <c r="C93" i="35" s="1"/>
  <c r="C4" i="52"/>
  <c r="C17" i="52" s="1"/>
  <c r="C36" i="52" s="1"/>
  <c r="C55" i="52" s="1"/>
  <c r="C74" i="52" s="1"/>
  <c r="C93" i="52" s="1"/>
  <c r="B133" i="15"/>
  <c r="B47" i="15"/>
  <c r="B88" i="18"/>
  <c r="B78" i="18"/>
  <c r="B5" i="15"/>
  <c r="B24" i="19" l="1"/>
  <c r="B6" i="15"/>
  <c r="A2" i="75"/>
  <c r="C73" i="15"/>
  <c r="A3" i="77"/>
  <c r="J3" i="77"/>
  <c r="B5" i="47"/>
  <c r="A2" i="77"/>
  <c r="J2" i="77"/>
  <c r="B22" i="76"/>
  <c r="C22" i="76" s="1"/>
  <c r="D22" i="76" s="1"/>
  <c r="E22" i="76" s="1"/>
  <c r="F22" i="76" s="1"/>
  <c r="G22" i="76" s="1"/>
  <c r="B2" i="76"/>
  <c r="C2" i="76" s="1"/>
  <c r="D2" i="76" s="1"/>
  <c r="E2" i="76" s="1"/>
  <c r="F2" i="76" s="1"/>
  <c r="G2" i="76" s="1"/>
  <c r="I4" i="35"/>
  <c r="I5" i="35" s="1"/>
  <c r="I6" i="35" s="1"/>
  <c r="B2" i="74"/>
  <c r="B21" i="15"/>
  <c r="B30" i="24"/>
  <c r="E2" i="79"/>
  <c r="B29" i="24"/>
  <c r="B33" i="24" s="1"/>
  <c r="B7" i="74" s="1"/>
  <c r="B28" i="47"/>
  <c r="D17" i="35"/>
  <c r="D36" i="35" s="1"/>
  <c r="D55" i="35" s="1"/>
  <c r="D74" i="35" s="1"/>
  <c r="D93" i="35" s="1"/>
  <c r="D4" i="52"/>
  <c r="D17" i="52" s="1"/>
  <c r="D36" i="52" s="1"/>
  <c r="D55" i="52" s="1"/>
  <c r="D74" i="52" s="1"/>
  <c r="D93" i="52" s="1"/>
  <c r="B6" i="47"/>
  <c r="B20" i="15"/>
  <c r="C44" i="15"/>
  <c r="C83" i="15"/>
  <c r="C89" i="15"/>
  <c r="C108" i="15"/>
  <c r="C3" i="44"/>
  <c r="B2" i="44"/>
  <c r="B19" i="47"/>
  <c r="I4" i="52"/>
  <c r="C16" i="52" s="1"/>
  <c r="B17" i="15"/>
  <c r="E4" i="52"/>
  <c r="E17" i="52" s="1"/>
  <c r="E36" i="52" s="1"/>
  <c r="E55" i="52" s="1"/>
  <c r="E74" i="52" s="1"/>
  <c r="E93" i="52" s="1"/>
  <c r="B3" i="44"/>
  <c r="A19" i="44"/>
  <c r="B32" i="19"/>
  <c r="C105" i="15"/>
  <c r="B21" i="47"/>
  <c r="G23" i="47" s="1"/>
  <c r="G26" i="47" s="1"/>
  <c r="C2" i="15"/>
  <c r="C15" i="15"/>
  <c r="C111" i="15"/>
  <c r="C117" i="15"/>
  <c r="C30" i="15"/>
  <c r="K3" i="52"/>
  <c r="K3" i="35"/>
  <c r="B63" i="15"/>
  <c r="B48" i="15" s="1"/>
  <c r="B34" i="19"/>
  <c r="B66" i="15" s="1"/>
  <c r="I3" i="52"/>
  <c r="I3" i="35"/>
  <c r="B11" i="24"/>
  <c r="B35" i="15"/>
  <c r="B21" i="19" l="1"/>
  <c r="B20" i="19" s="1"/>
  <c r="B23" i="19"/>
  <c r="B68" i="18" s="1"/>
  <c r="C35" i="35"/>
  <c r="C16" i="35"/>
  <c r="C3" i="52"/>
  <c r="E16" i="79"/>
  <c r="B3" i="74"/>
  <c r="I5" i="52"/>
  <c r="C35" i="52" s="1"/>
  <c r="G22" i="47"/>
  <c r="B20" i="47"/>
  <c r="B36" i="19"/>
  <c r="B38" i="19" s="1"/>
  <c r="L3" i="35"/>
  <c r="L4" i="35" s="1"/>
  <c r="L3" i="52"/>
  <c r="I7" i="35"/>
  <c r="C54" i="35"/>
  <c r="A2" i="52"/>
  <c r="B23" i="47"/>
  <c r="A2" i="35"/>
  <c r="C3" i="35"/>
  <c r="B40" i="24"/>
  <c r="J3" i="35" l="1"/>
  <c r="A3" i="35" s="1"/>
  <c r="F3" i="35" s="1"/>
  <c r="I6" i="52"/>
  <c r="I7" i="52" s="1"/>
  <c r="B69" i="15"/>
  <c r="E3" i="80" s="1"/>
  <c r="E4" i="80" s="1"/>
  <c r="E5" i="80" s="1"/>
  <c r="E6" i="80" s="1"/>
  <c r="E7" i="80" s="1"/>
  <c r="E8" i="80" s="1"/>
  <c r="E9" i="80" s="1"/>
  <c r="E10" i="80" s="1"/>
  <c r="E11" i="80" s="1"/>
  <c r="E12" i="80" s="1"/>
  <c r="E13" i="80" s="1"/>
  <c r="B70" i="15"/>
  <c r="D26" i="47" s="1"/>
  <c r="D27" i="47" s="1"/>
  <c r="D28" i="47" s="1"/>
  <c r="B6" i="19"/>
  <c r="C54" i="52"/>
  <c r="B89" i="18"/>
  <c r="B90" i="18" s="1"/>
  <c r="B56" i="15"/>
  <c r="B57" i="15" s="1"/>
  <c r="B64" i="18"/>
  <c r="L5" i="35"/>
  <c r="J4" i="35"/>
  <c r="A16" i="35" s="1"/>
  <c r="F16" i="35" s="1"/>
  <c r="C73" i="35"/>
  <c r="I8" i="35"/>
  <c r="L4" i="52"/>
  <c r="J3" i="52"/>
  <c r="A3" i="52" s="1"/>
  <c r="F3" i="52" s="1"/>
  <c r="J4" i="52" l="1"/>
  <c r="A16" i="52" s="1"/>
  <c r="F16" i="52" s="1"/>
  <c r="L5" i="52"/>
  <c r="J5" i="35"/>
  <c r="A35" i="35" s="1"/>
  <c r="F35" i="35" s="1"/>
  <c r="L6" i="35"/>
  <c r="I9" i="35"/>
  <c r="C92" i="35"/>
  <c r="C73" i="52"/>
  <c r="I8" i="52"/>
  <c r="B52" i="15"/>
  <c r="B53" i="15" s="1"/>
  <c r="B79" i="18"/>
  <c r="B80" i="18" s="1"/>
  <c r="L6" i="52" l="1"/>
  <c r="J5" i="52"/>
  <c r="A35" i="52" s="1"/>
  <c r="F35" i="52" s="1"/>
  <c r="C92" i="52"/>
  <c r="I9" i="52"/>
  <c r="L7" i="35"/>
  <c r="J6" i="35"/>
  <c r="A54" i="35" s="1"/>
  <c r="F54" i="35" s="1"/>
  <c r="L8" i="35" l="1"/>
  <c r="J7" i="35"/>
  <c r="A73" i="35" s="1"/>
  <c r="F73" i="35" s="1"/>
  <c r="J6" i="52"/>
  <c r="A54" i="52" s="1"/>
  <c r="F54" i="52" s="1"/>
  <c r="L7" i="52"/>
  <c r="J7" i="52" l="1"/>
  <c r="A73" i="52" s="1"/>
  <c r="F73" i="52" s="1"/>
  <c r="L8" i="52"/>
  <c r="J8" i="35"/>
  <c r="A92" i="35" s="1"/>
  <c r="F92" i="35" s="1"/>
  <c r="L9" i="35"/>
  <c r="J9" i="35" s="1"/>
  <c r="J8" i="52" l="1"/>
  <c r="A92" i="52" s="1"/>
  <c r="F92" i="52" s="1"/>
  <c r="L9" i="52"/>
  <c r="J9" i="5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9" authorId="0" shapeId="0" xr:uid="{7F624AC1-533C-44CC-83D2-BC7EAF5E5210}">
      <text>
        <r>
          <rPr>
            <b/>
            <sz val="9"/>
            <color indexed="81"/>
            <rFont val="Tahoma"/>
            <family val="2"/>
          </rPr>
          <t>Pieter van Zyl:</t>
        </r>
        <r>
          <rPr>
            <sz val="9"/>
            <color indexed="81"/>
            <rFont val="Tahoma"/>
            <family val="2"/>
          </rPr>
          <t xml:space="preserve">
Time zone of the primary location where the appraisal is being conducted.</t>
        </r>
      </text>
    </comment>
    <comment ref="A10" authorId="0" shapeId="0" xr:uid="{83B235FA-52AA-43D7-91A5-5253BF75C45A}">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11" authorId="0" shapeId="0" xr:uid="{2A74D8F7-DC63-450E-B5F8-A5E1DF07E93C}">
      <text>
        <r>
          <rPr>
            <b/>
            <sz val="9"/>
            <color indexed="81"/>
            <rFont val="Tahoma"/>
            <family val="2"/>
          </rPr>
          <t>Pieter van Zyl:</t>
        </r>
        <r>
          <rPr>
            <sz val="9"/>
            <color indexed="81"/>
            <rFont val="Tahoma"/>
            <family val="2"/>
          </rPr>
          <t xml:space="preserve">
Please select the Model View that will be used to measure the selected Maturity Level.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5" authorId="0" shapeId="0" xr:uid="{1509055D-53D3-4860-8B83-7DFCA08F137E}">
      <text>
        <r>
          <rPr>
            <b/>
            <sz val="9"/>
            <color indexed="81"/>
            <rFont val="Tahoma"/>
            <family val="2"/>
          </rPr>
          <t>Pieter van Zyl:</t>
        </r>
        <r>
          <rPr>
            <sz val="9"/>
            <color indexed="81"/>
            <rFont val="Tahoma"/>
            <family val="2"/>
          </rPr>
          <t xml:space="preserve">
Street address, P.O. box, company name, c/o</t>
        </r>
      </text>
    </comment>
    <comment ref="A6" authorId="0" shapeId="0" xr:uid="{F3D5F56B-D10E-4B49-A330-2B1DE9C752C2}">
      <text>
        <r>
          <rPr>
            <b/>
            <sz val="9"/>
            <color indexed="81"/>
            <rFont val="Tahoma"/>
            <family val="2"/>
          </rPr>
          <t>Pieter van Zyl:</t>
        </r>
        <r>
          <rPr>
            <sz val="9"/>
            <color indexed="81"/>
            <rFont val="Tahoma"/>
            <family val="2"/>
          </rPr>
          <t xml:space="preserve">
Apartment, suite, unit, building, floor, etc.</t>
        </r>
      </text>
    </comment>
    <comment ref="A27" authorId="0" shapeId="0" xr:uid="{7502286F-A1DA-4F63-82EF-C3193A73272E}">
      <text>
        <r>
          <rPr>
            <b/>
            <sz val="9"/>
            <color indexed="81"/>
            <rFont val="Tahoma"/>
            <family val="2"/>
          </rPr>
          <t>Pieter van Zyl:</t>
        </r>
        <r>
          <rPr>
            <sz val="9"/>
            <color indexed="81"/>
            <rFont val="Tahoma"/>
            <family val="2"/>
          </rPr>
          <t xml:space="preserve">
Street address, P.O. box, company name, c/o</t>
        </r>
      </text>
    </comment>
    <comment ref="A28" authorId="0" shapeId="0" xr:uid="{8F9E6E30-74C0-4ADB-85CB-99F6A146D960}">
      <text>
        <r>
          <rPr>
            <b/>
            <sz val="9"/>
            <color indexed="81"/>
            <rFont val="Tahoma"/>
            <family val="2"/>
          </rPr>
          <t>Pieter van Zyl:</t>
        </r>
        <r>
          <rPr>
            <sz val="9"/>
            <color indexed="81"/>
            <rFont val="Tahoma"/>
            <family val="2"/>
          </rPr>
          <t xml:space="preserve">
Apartment, suite, unit, building, floor, etc.</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B1" authorId="0" shapeId="0" xr:uid="{34960280-B507-4787-9273-AA05383D0A89}">
      <text>
        <r>
          <rPr>
            <b/>
            <sz val="9"/>
            <color indexed="81"/>
            <rFont val="Tahoma"/>
            <family val="2"/>
          </rPr>
          <t>Pieter van Zyl:</t>
        </r>
        <r>
          <rPr>
            <sz val="9"/>
            <color indexed="81"/>
            <rFont val="Tahoma"/>
            <family val="2"/>
          </rPr>
          <t xml:space="preserve">
Get from Tab:PvtProjectFTEs</t>
        </r>
      </text>
    </comment>
    <comment ref="I2" authorId="0" shapeId="0" xr:uid="{E1EFFDF3-0C3D-4F87-9BB1-5E6A45532C8D}">
      <text>
        <r>
          <rPr>
            <b/>
            <sz val="9"/>
            <color indexed="81"/>
            <rFont val="Tahoma"/>
            <family val="2"/>
          </rPr>
          <t>What projects should be included in the sample</t>
        </r>
        <r>
          <rPr>
            <sz val="9"/>
            <color indexed="81"/>
            <rFont val="Tahoma"/>
            <family val="2"/>
          </rPr>
          <t xml:space="preserve">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7AFF878C-C6A7-4502-9E46-909BFC4574AE}">
      <text>
        <r>
          <rPr>
            <b/>
            <sz val="9"/>
            <color indexed="81"/>
            <rFont val="Tahoma"/>
            <family val="2"/>
          </rPr>
          <t>Pieter van Zyl:</t>
        </r>
        <r>
          <rPr>
            <sz val="9"/>
            <color indexed="81"/>
            <rFont val="Tahoma"/>
            <family val="2"/>
          </rPr>
          <t xml:space="preserve">
Time zone of the primary location where the appraisal is being conducted.</t>
        </r>
      </text>
    </comment>
    <comment ref="A7" authorId="0" shapeId="0" xr:uid="{82D454B4-2E6E-4517-AB63-71E0BAC44A92}">
      <text>
        <r>
          <rPr>
            <b/>
            <sz val="9"/>
            <color indexed="81"/>
            <rFont val="Tahoma"/>
            <family val="2"/>
          </rPr>
          <t>Pieter van Zyl:</t>
        </r>
        <r>
          <rPr>
            <sz val="9"/>
            <color indexed="81"/>
            <rFont val="Tahoma"/>
            <family val="2"/>
          </rPr>
          <t xml:space="preserve">
As the Appraisal Team Leader, you may decide on the tailoring option of whether Appraisal Team Members will sign the Appraisal Plan, or only review it.</t>
        </r>
      </text>
    </comment>
    <comment ref="A9" authorId="0" shapeId="0" xr:uid="{394A210F-E34D-4A99-9605-60DB02A32D68}">
      <text>
        <r>
          <rPr>
            <b/>
            <sz val="9"/>
            <color indexed="81"/>
            <rFont val="Tahoma"/>
            <family val="2"/>
          </rPr>
          <t>Pieter van Zyl:</t>
        </r>
        <r>
          <rPr>
            <sz val="9"/>
            <color indexed="81"/>
            <rFont val="Tahoma"/>
            <family val="2"/>
          </rPr>
          <t xml:space="preserve">
If yes, ignore question 2, and continue to question 3.</t>
        </r>
      </text>
    </comment>
    <comment ref="A11" authorId="0" shapeId="0" xr:uid="{A2E02940-B270-4D9A-8B2D-FAAC8288C6FE}">
      <text>
        <r>
          <rPr>
            <b/>
            <sz val="9"/>
            <color indexed="81"/>
            <rFont val="Tahoma"/>
            <family val="2"/>
          </rPr>
          <t>Pieter van Zyl:</t>
        </r>
        <r>
          <rPr>
            <sz val="9"/>
            <color indexed="81"/>
            <rFont val="Tahoma"/>
            <family val="2"/>
          </rPr>
          <t xml:space="preserve">
Select the virtual data collection technique.</t>
        </r>
      </text>
    </comment>
    <comment ref="A16" authorId="0" shapeId="0" xr:uid="{C0481340-D655-4156-9410-A28951DB6822}">
      <text>
        <r>
          <rPr>
            <b/>
            <sz val="9"/>
            <color indexed="81"/>
            <rFont val="Tahoma"/>
            <family val="2"/>
          </rPr>
          <t>Pieter van Zyl:</t>
        </r>
        <r>
          <rPr>
            <sz val="9"/>
            <color indexed="81"/>
            <rFont val="Tahoma"/>
            <family val="2"/>
          </rPr>
          <t xml:space="preserve">
Enter legal name of company being appraised.</t>
        </r>
      </text>
    </comment>
    <comment ref="A17" authorId="0" shapeId="0" xr:uid="{86F493A2-3EA7-4882-9874-DF08B49198B4}">
      <text>
        <r>
          <rPr>
            <b/>
            <sz val="9"/>
            <color indexed="81"/>
            <rFont val="Tahoma"/>
            <family val="2"/>
          </rPr>
          <t>Pieter van Zyl:</t>
        </r>
        <r>
          <rPr>
            <sz val="9"/>
            <color indexed="81"/>
            <rFont val="Tahoma"/>
            <family val="2"/>
          </rPr>
          <t xml:space="preserve">
Enter legal name in native language. If English leave blank.</t>
        </r>
      </text>
    </comment>
    <comment ref="A18" authorId="0" shapeId="0" xr:uid="{EE3BFD2C-8DD6-4E51-BD88-98355C8190F8}">
      <text>
        <r>
          <rPr>
            <b/>
            <sz val="9"/>
            <color indexed="81"/>
            <rFont val="Tahoma"/>
            <family val="2"/>
          </rPr>
          <t>Pieter van Zyl:</t>
        </r>
        <r>
          <rPr>
            <sz val="9"/>
            <color indexed="81"/>
            <rFont val="Tahoma"/>
            <family val="2"/>
          </rPr>
          <t xml:space="preserve">
Street address, P.O. box, company name, c/o</t>
        </r>
      </text>
    </comment>
    <comment ref="A19" authorId="0" shapeId="0" xr:uid="{EE8EEFE8-F89B-415A-B12D-F2D5A5C005E7}">
      <text>
        <r>
          <rPr>
            <b/>
            <sz val="9"/>
            <color indexed="81"/>
            <rFont val="Tahoma"/>
            <family val="2"/>
          </rPr>
          <t>Pieter van Zyl:</t>
        </r>
        <r>
          <rPr>
            <sz val="9"/>
            <color indexed="81"/>
            <rFont val="Tahoma"/>
            <family val="2"/>
          </rPr>
          <t xml:space="preserve">
Apartment, suite, unit, building, floor, etc.</t>
        </r>
      </text>
    </comment>
    <comment ref="A26" authorId="0" shapeId="0" xr:uid="{EF2F638F-2E04-4F8A-A136-8E44F8C1C02A}">
      <text>
        <r>
          <rPr>
            <b/>
            <sz val="9"/>
            <color indexed="81"/>
            <rFont val="Tahoma"/>
            <family val="2"/>
          </rPr>
          <t>Pieter van Zyl:</t>
        </r>
        <r>
          <rPr>
            <sz val="9"/>
            <color indexed="81"/>
            <rFont val="Tahoma"/>
            <family val="2"/>
          </rPr>
          <t xml:space="preserve">
Pick the classification that best identifies the activity the organization performs.</t>
        </r>
      </text>
    </comment>
    <comment ref="A31" authorId="0" shapeId="0" xr:uid="{DDD8F6AE-E09A-4DDB-A7BB-D64F406662C2}">
      <text>
        <r>
          <rPr>
            <b/>
            <sz val="9"/>
            <color indexed="81"/>
            <rFont val="Tahoma"/>
            <family val="2"/>
          </rPr>
          <t>Pieter van Zyl:</t>
        </r>
        <r>
          <rPr>
            <sz val="9"/>
            <color indexed="81"/>
            <rFont val="Tahoma"/>
            <family val="2"/>
          </rPr>
          <t xml:space="preserve">
Enter a name for the OU. It cannot be the same as the organization's name.</t>
        </r>
      </text>
    </comment>
    <comment ref="A35" authorId="0" shapeId="0" xr:uid="{D05E3AF0-609F-44B3-A26E-76C605AAC7F9}">
      <text>
        <r>
          <rPr>
            <b/>
            <sz val="9"/>
            <color indexed="81"/>
            <rFont val="Tahoma"/>
            <family val="2"/>
          </rPr>
          <t>Pieter van Zyl:</t>
        </r>
        <r>
          <rPr>
            <sz val="9"/>
            <color indexed="81"/>
            <rFont val="Tahoma"/>
            <family val="2"/>
          </rPr>
          <t xml:space="preserve">
If more than one organisation, insert into Organization: Organization Info above, and list all applicable here</t>
        </r>
      </text>
    </comment>
    <comment ref="A39" authorId="0" shapeId="0" xr:uid="{38105F1C-E1DF-49AE-BB1C-2AC9479961D6}">
      <text>
        <r>
          <rPr>
            <b/>
            <sz val="9"/>
            <color indexed="81"/>
            <rFont val="Tahoma"/>
            <family val="2"/>
          </rPr>
          <t>Pieter van Zyl:</t>
        </r>
        <r>
          <rPr>
            <sz val="9"/>
            <color indexed="81"/>
            <rFont val="Tahoma"/>
            <family val="2"/>
          </rPr>
          <t xml:space="preserve">
If this Organizational Unit has multiple prior appraisals, enter numbers separated by commas (e.g. 1001, 2140).</t>
        </r>
      </text>
    </comment>
    <comment ref="A47" authorId="0" shapeId="0" xr:uid="{D15CD596-A0D4-4BE4-9B75-41AD41C28794}">
      <text>
        <r>
          <rPr>
            <b/>
            <sz val="9"/>
            <color indexed="81"/>
            <rFont val="Tahoma"/>
            <family val="2"/>
          </rPr>
          <t>Pieter van Zyl:</t>
        </r>
        <r>
          <rPr>
            <sz val="9"/>
            <color indexed="81"/>
            <rFont val="Tahoma"/>
            <family val="2"/>
          </rPr>
          <t xml:space="preserve">
Date for the start of the plan appraisal phase.</t>
        </r>
      </text>
    </comment>
    <comment ref="A48" authorId="0" shapeId="0" xr:uid="{4A53852E-EB19-4AEE-AD96-5D5B3AC7F9EC}">
      <text>
        <r>
          <rPr>
            <b/>
            <sz val="9"/>
            <color indexed="81"/>
            <rFont val="Tahoma"/>
            <family val="2"/>
          </rPr>
          <t>Pieter van Zyl:</t>
        </r>
        <r>
          <rPr>
            <sz val="9"/>
            <color indexed="81"/>
            <rFont val="Tahoma"/>
            <family val="2"/>
          </rPr>
          <t xml:space="preserve">
Date for the end of the plan appraisal phase.</t>
        </r>
      </text>
    </comment>
    <comment ref="A50" authorId="0" shapeId="0" xr:uid="{C3BBBD00-4984-4862-A0BE-3CB65537C2D4}">
      <text>
        <r>
          <rPr>
            <b/>
            <sz val="9"/>
            <color indexed="81"/>
            <rFont val="Tahoma"/>
            <family val="2"/>
          </rPr>
          <t>Pieter van Zyl:</t>
        </r>
        <r>
          <rPr>
            <sz val="9"/>
            <color indexed="81"/>
            <rFont val="Tahoma"/>
            <family val="2"/>
          </rPr>
          <t xml:space="preserve">
For each readiness review planned, specify the following information. Readiness reviews can also be viewed in the Appraisal Timeline in Phase 1: Plan Appraisal - Sample Scope.</t>
        </r>
      </text>
    </comment>
    <comment ref="A75" authorId="0" shapeId="0" xr:uid="{FBE16F8C-29D0-4CDC-8EF6-8586F145C041}">
      <text>
        <r>
          <rPr>
            <b/>
            <sz val="9"/>
            <color indexed="81"/>
            <rFont val="Tahoma"/>
            <family val="2"/>
          </rPr>
          <t>Pieter van Zyl:</t>
        </r>
        <r>
          <rPr>
            <sz val="9"/>
            <color indexed="81"/>
            <rFont val="Tahoma"/>
            <family val="2"/>
          </rPr>
          <t xml:space="preserve">
Select the target Maturity Level, or select the Capability Level option and define a target level per Practice Area (PA) in the Target Level Detail step. If performing a Capability Level appraisal and the PAs in scope equal or exceed those in a defined Maturity Level, pick the Maturity Level first and then add the additional PAs being appraised.</t>
        </r>
      </text>
    </comment>
    <comment ref="A76" authorId="0" shapeId="0" xr:uid="{38583DFA-F3A5-4D4E-9E80-81D18DDD2C8D}">
      <text>
        <r>
          <rPr>
            <b/>
            <sz val="9"/>
            <color indexed="81"/>
            <rFont val="Tahoma"/>
            <family val="2"/>
          </rPr>
          <t>Pieter van Zyl:</t>
        </r>
        <r>
          <rPr>
            <sz val="9"/>
            <color indexed="81"/>
            <rFont val="Tahoma"/>
            <family val="2"/>
          </rPr>
          <t xml:space="preserve">
Please select the Model View that will be used to measure the selected Maturity Level.</t>
        </r>
      </text>
    </comment>
    <comment ref="A85" authorId="0" shapeId="0" xr:uid="{C1036AA2-07E3-4EFD-8FA9-5753731A76CE}">
      <text>
        <r>
          <rPr>
            <b/>
            <sz val="9"/>
            <color indexed="81"/>
            <rFont val="Tahoma"/>
            <family val="2"/>
          </rPr>
          <t>Pieter van Zyl:</t>
        </r>
        <r>
          <rPr>
            <sz val="9"/>
            <color indexed="81"/>
            <rFont val="Tahoma"/>
            <family val="2"/>
          </rPr>
          <t xml:space="preserve">
Search for the individual who will be assigned as Appraisal Sponsor. For more accurate search results, use the full name of the individual.
NOTE: If not in dashboard, use Go to Community Search</t>
        </r>
      </text>
    </comment>
    <comment ref="B85" authorId="0" shapeId="0" xr:uid="{53859778-4D3C-4D19-9818-18DFCBBC84FA}">
      <text>
        <r>
          <rPr>
            <b/>
            <sz val="9"/>
            <color indexed="81"/>
            <rFont val="Tahoma"/>
            <family val="2"/>
          </rPr>
          <t>Pieter van Zyl:</t>
        </r>
        <r>
          <rPr>
            <sz val="9"/>
            <color indexed="81"/>
            <rFont val="Tahoma"/>
            <family val="2"/>
          </rPr>
          <t xml:space="preserve">
Need to be registered in CAS</t>
        </r>
      </text>
    </comment>
    <comment ref="A86" authorId="0" shapeId="0" xr:uid="{821F7CC7-5E83-4F5E-8130-9E799E23CFEB}">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6" authorId="0" shapeId="0" xr:uid="{AAA90BFA-FF06-4E8E-BF65-3DCB234E6A86}">
      <text>
        <r>
          <rPr>
            <b/>
            <sz val="9"/>
            <color indexed="81"/>
            <rFont val="Tahoma"/>
            <family val="2"/>
          </rPr>
          <t>Pieter van Zyl:</t>
        </r>
        <r>
          <rPr>
            <sz val="9"/>
            <color indexed="81"/>
            <rFont val="Tahoma"/>
            <family val="2"/>
          </rPr>
          <t xml:space="preserve">
Need to be registered in CAS</t>
        </r>
      </text>
    </comment>
    <comment ref="A87" authorId="0" shapeId="0" xr:uid="{9D102702-A9C2-4CAF-BE7A-355283FB74F3}">
      <text>
        <r>
          <rPr>
            <b/>
            <sz val="9"/>
            <color indexed="81"/>
            <rFont val="Tahoma"/>
            <family val="2"/>
          </rPr>
          <t>Pieter van Zyl:</t>
        </r>
        <r>
          <rPr>
            <sz val="9"/>
            <color indexed="81"/>
            <rFont val="Tahoma"/>
            <family val="2"/>
          </rPr>
          <t xml:space="preserve">
Select appraisal team members, including observers or translators if applicable. All team members must have created an account before they can be included on an Appraisal Team.</t>
        </r>
      </text>
    </comment>
    <comment ref="B87" authorId="0" shapeId="0" xr:uid="{99C58194-E8C0-490F-84C3-7A17B118238D}">
      <text>
        <r>
          <rPr>
            <b/>
            <sz val="9"/>
            <color indexed="81"/>
            <rFont val="Tahoma"/>
            <family val="2"/>
          </rPr>
          <t>Pieter van Zyl:</t>
        </r>
        <r>
          <rPr>
            <sz val="9"/>
            <color indexed="81"/>
            <rFont val="Tahoma"/>
            <family val="2"/>
          </rPr>
          <t xml:space="preserve">
Need to be registered in CAS</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B15" authorId="0" shapeId="0" xr:uid="{BB4824C9-A8C7-4B62-817D-2409615E5A66}">
      <text>
        <r>
          <rPr>
            <b/>
            <sz val="9"/>
            <color indexed="81"/>
            <rFont val="Tahoma"/>
            <family val="2"/>
          </rPr>
          <t>Pieter van Zyl:</t>
        </r>
        <r>
          <rPr>
            <sz val="9"/>
            <color indexed="81"/>
            <rFont val="Tahoma"/>
            <family val="2"/>
          </rPr>
          <t xml:space="preserve">
There is no real benefit to double up on PAs, except if you triple up (or more). 
The characterisatoin rule states that for any given practice, if 50% or more of the sampled projects and organizational support functions are characterized as DM or PM, then the OU must be characterized as DM ro PM for that practice. And therefore doubling up on a PA will not help if one of them is rated PM or DM.
See table 22 of MDD: OU-Level Practice Characterization Requirements for Benchmark Appraisals and Sustainment Appraisals.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Pieter van Zyl</author>
  </authors>
  <commentList>
    <comment ref="A4" authorId="0" shapeId="0" xr:uid="{9A4D48AB-8C53-48C5-B159-BA0F5D105DF2}">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5" authorId="0" shapeId="0" xr:uid="{C0651B4E-3FCB-4980-BEB3-8AD28DB7D2ED}">
      <text>
        <r>
          <rPr>
            <b/>
            <sz val="9"/>
            <color indexed="81"/>
            <rFont val="Tahoma"/>
            <family val="2"/>
          </rPr>
          <t>Pieter van Zyl:</t>
        </r>
        <r>
          <rPr>
            <sz val="9"/>
            <color indexed="81"/>
            <rFont val="Tahoma"/>
            <family val="2"/>
          </rPr>
          <t xml:space="preserve">
Specity the owner of each output</t>
        </r>
      </text>
    </comment>
    <comment ref="A9" authorId="0" shapeId="0" xr:uid="{3FB228FF-C605-465A-A31D-1D8B895C0CAF}">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0" authorId="0" shapeId="0" xr:uid="{4D891FF4-CA6F-44EC-82B4-6FFA17BCC9BB}">
      <text>
        <r>
          <rPr>
            <b/>
            <sz val="9"/>
            <color indexed="81"/>
            <rFont val="Tahoma"/>
            <family val="2"/>
          </rPr>
          <t>Pieter van Zyl:</t>
        </r>
        <r>
          <rPr>
            <sz val="9"/>
            <color indexed="81"/>
            <rFont val="Tahoma"/>
            <family val="2"/>
          </rPr>
          <t xml:space="preserve">
Specity the owner of each output</t>
        </r>
      </text>
    </comment>
    <comment ref="A14" authorId="0" shapeId="0" xr:uid="{7E4142D3-AF0A-41F2-AF7A-B94D2E6AF830}">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15" authorId="0" shapeId="0" xr:uid="{D02D0901-519C-47EA-ADF9-B86620C6C752}">
      <text>
        <r>
          <rPr>
            <b/>
            <sz val="9"/>
            <color indexed="81"/>
            <rFont val="Tahoma"/>
            <family val="2"/>
          </rPr>
          <t>Pieter van Zyl:</t>
        </r>
        <r>
          <rPr>
            <sz val="9"/>
            <color indexed="81"/>
            <rFont val="Tahoma"/>
            <family val="2"/>
          </rPr>
          <t xml:space="preserve">
Specity the owner of each output</t>
        </r>
      </text>
    </comment>
    <comment ref="A18" authorId="0" shapeId="0" xr:uid="{71E1E05C-983E-40E8-9A3C-3E574BB7B3ED}">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19" authorId="0" shapeId="0" xr:uid="{BCD7E2F4-CED8-48FE-BB14-A96E414800BA}">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0" authorId="0" shapeId="0" xr:uid="{66957C20-74C2-46AB-9388-AAB7BF20CDA0}">
      <text>
        <r>
          <rPr>
            <b/>
            <sz val="9"/>
            <color indexed="81"/>
            <rFont val="Tahoma"/>
            <family val="2"/>
          </rPr>
          <t>Pieter van Zyl:</t>
        </r>
        <r>
          <rPr>
            <sz val="9"/>
            <color indexed="81"/>
            <rFont val="Tahoma"/>
            <family val="2"/>
          </rPr>
          <t xml:space="preserve">
Specity the owner of each output</t>
        </r>
      </text>
    </comment>
    <comment ref="A23" authorId="0" shapeId="0" xr:uid="{A9BF4444-026D-47AD-9BCF-2C77E06BC77A}">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24" authorId="0" shapeId="0" xr:uid="{DCD4CCEE-9667-42BB-99FE-86863366D479}">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26" authorId="0" shapeId="0" xr:uid="{19BCBE56-1491-42D4-933C-3AC1B810077A}">
      <text>
        <r>
          <rPr>
            <b/>
            <sz val="9"/>
            <color indexed="81"/>
            <rFont val="Tahoma"/>
            <family val="2"/>
          </rPr>
          <t>Pieter van Zyl:</t>
        </r>
        <r>
          <rPr>
            <sz val="9"/>
            <color indexed="81"/>
            <rFont val="Tahoma"/>
            <family val="2"/>
          </rPr>
          <t xml:space="preserve">
Identify any optional appraisal outputs.</t>
        </r>
      </text>
    </comment>
    <comment ref="A28" authorId="0" shapeId="0" xr:uid="{6A289C44-7D91-400D-AFFC-4222BE651414}">
      <text>
        <r>
          <rPr>
            <b/>
            <sz val="9"/>
            <color indexed="81"/>
            <rFont val="Tahoma"/>
            <family val="2"/>
          </rPr>
          <t>Pieter van Zyl:</t>
        </r>
        <r>
          <rPr>
            <sz val="9"/>
            <color indexed="81"/>
            <rFont val="Tahoma"/>
            <family val="2"/>
          </rPr>
          <t xml:space="preserve">
Name the optional output if "other" was selected from the dropdown.</t>
        </r>
      </text>
    </comment>
    <comment ref="A29" authorId="0" shapeId="0" xr:uid="{1D8EF21F-344D-486F-A3D4-BAC12862992B}">
      <text>
        <r>
          <rPr>
            <b/>
            <sz val="9"/>
            <color indexed="81"/>
            <rFont val="Tahoma"/>
            <family val="2"/>
          </rPr>
          <t>Pieter van Zyl:</t>
        </r>
        <r>
          <rPr>
            <sz val="9"/>
            <color indexed="81"/>
            <rFont val="Tahoma"/>
            <family val="2"/>
          </rPr>
          <t xml:space="preserve">
Provide a detailed description of how this output will be delivered to the sponsor.</t>
        </r>
      </text>
    </comment>
    <comment ref="A30" authorId="0" shapeId="0" xr:uid="{F5754796-08FE-4599-9638-00183EBAFEEE}">
      <text>
        <r>
          <rPr>
            <b/>
            <sz val="9"/>
            <color indexed="81"/>
            <rFont val="Tahoma"/>
            <family val="2"/>
          </rPr>
          <t>Pieter van Zyl:</t>
        </r>
        <r>
          <rPr>
            <sz val="9"/>
            <color indexed="81"/>
            <rFont val="Tahoma"/>
            <family val="2"/>
          </rPr>
          <t xml:space="preserve">
Specity the owner of each output</t>
        </r>
      </text>
    </comment>
    <comment ref="A37" authorId="0" shapeId="0" xr:uid="{FFB444C7-EA8A-46FC-B005-A3C8A7B81852}">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38" authorId="0" shapeId="0" xr:uid="{91A65FFA-8E75-4E22-ABCF-E20A349B9287}">
      <text>
        <r>
          <rPr>
            <b/>
            <sz val="9"/>
            <color indexed="81"/>
            <rFont val="Tahoma"/>
            <family val="2"/>
          </rPr>
          <t>Pieter van Zyl:</t>
        </r>
        <r>
          <rPr>
            <sz val="9"/>
            <color indexed="81"/>
            <rFont val="Tahoma"/>
            <family val="2"/>
          </rPr>
          <t xml:space="preserve">
Select the OE Collection Approach.</t>
        </r>
      </text>
    </comment>
    <comment ref="A39" authorId="0" shapeId="0" xr:uid="{A543C257-CFFA-40BD-9FDE-91BDD214F8BE}">
      <text>
        <r>
          <rPr>
            <b/>
            <sz val="9"/>
            <color indexed="81"/>
            <rFont val="Tahoma"/>
            <family val="2"/>
          </rPr>
          <t>Pieter van Zyl:</t>
        </r>
        <r>
          <rPr>
            <sz val="9"/>
            <color indexed="81"/>
            <rFont val="Tahoma"/>
            <family val="2"/>
          </rPr>
          <t xml:space="preserve">
Describe the reasoning for using this approach.</t>
        </r>
      </text>
    </comment>
    <comment ref="A41" authorId="0" shapeId="0" xr:uid="{D2C17A3C-B4CF-491B-BAF5-EF022D97A7F3}">
      <text>
        <r>
          <rPr>
            <b/>
            <sz val="9"/>
            <color indexed="81"/>
            <rFont val="Tahoma"/>
            <family val="2"/>
          </rPr>
          <t>Pieter van Zyl:</t>
        </r>
        <r>
          <rPr>
            <sz val="9"/>
            <color indexed="81"/>
            <rFont val="Tahoma"/>
            <family val="2"/>
          </rPr>
          <t xml:space="preserve">
List logistical requirements for the appraisal. Identify roles responsible for ensuring these needs are met.</t>
        </r>
      </text>
    </comment>
    <comment ref="A42" authorId="0" shapeId="0" xr:uid="{BB50C129-1C79-4E4E-AE55-BDAB482E685B}">
      <text>
        <r>
          <rPr>
            <b/>
            <sz val="9"/>
            <color indexed="81"/>
            <rFont val="Tahoma"/>
            <family val="2"/>
          </rPr>
          <t>Pieter van Zyl:</t>
        </r>
        <r>
          <rPr>
            <sz val="9"/>
            <color indexed="81"/>
            <rFont val="Tahoma"/>
            <family val="2"/>
          </rPr>
          <t xml:space="preserve">
Select the technique used for collecting the OE.</t>
        </r>
      </text>
    </comment>
    <comment ref="A43" authorId="0" shapeId="0" xr:uid="{9CAC2A68-FF82-470F-9985-50E4318F2FEC}">
      <text>
        <r>
          <rPr>
            <b/>
            <sz val="9"/>
            <color indexed="81"/>
            <rFont val="Tahoma"/>
            <family val="2"/>
          </rPr>
          <t>Pieter van Zyl:</t>
        </r>
        <r>
          <rPr>
            <sz val="9"/>
            <color indexed="81"/>
            <rFont val="Tahoma"/>
            <family val="2"/>
          </rPr>
          <t xml:space="preserve">
Name the technique if "other" was selected from the dropdown.</t>
        </r>
      </text>
    </comment>
    <comment ref="A45" authorId="0" shapeId="0" xr:uid="{5A8D79F9-2209-4AFC-A5E7-A4A2173EC86C}">
      <text>
        <r>
          <rPr>
            <b/>
            <sz val="9"/>
            <color indexed="81"/>
            <rFont val="Tahoma"/>
            <family val="2"/>
          </rPr>
          <t>Pieter van Zyl:</t>
        </r>
        <r>
          <rPr>
            <sz val="9"/>
            <color indexed="81"/>
            <rFont val="Tahoma"/>
            <family val="2"/>
          </rPr>
          <t xml:space="preserve">
Describe how this technique will be used for collecting OE.</t>
        </r>
      </text>
    </comment>
    <comment ref="A50" authorId="0" shapeId="0" xr:uid="{760A0186-0BFA-431C-B27A-EFA004A74884}">
      <text>
        <r>
          <rPr>
            <b/>
            <sz val="9"/>
            <color indexed="81"/>
            <rFont val="Tahoma"/>
            <family val="2"/>
          </rPr>
          <t>Pieter van Zyl:</t>
        </r>
        <r>
          <rPr>
            <sz val="9"/>
            <color indexed="81"/>
            <rFont val="Tahoma"/>
            <family val="2"/>
          </rPr>
          <t xml:space="preserve">
Select the entity responsible for collecting OE for the appraisal team to review.
</t>
        </r>
      </text>
    </comment>
    <comment ref="A51" authorId="0" shapeId="0" xr:uid="{33A1CF86-C7B3-4FFE-8FE4-631B181BA38A}">
      <text>
        <r>
          <rPr>
            <b/>
            <sz val="9"/>
            <color indexed="81"/>
            <rFont val="Tahoma"/>
            <family val="2"/>
          </rPr>
          <t>Pieter van Zyl:</t>
        </r>
        <r>
          <rPr>
            <sz val="9"/>
            <color indexed="81"/>
            <rFont val="Tahoma"/>
            <family val="2"/>
          </rPr>
          <t xml:space="preserve">
Name the entity if "other" was selected from the dropdown.</t>
        </r>
      </text>
    </comment>
    <comment ref="A52" authorId="0" shapeId="0" xr:uid="{66D4CAB3-1EC6-475E-A47F-F3358522EF86}">
      <text>
        <r>
          <rPr>
            <b/>
            <sz val="9"/>
            <color indexed="81"/>
            <rFont val="Tahoma"/>
            <family val="2"/>
          </rPr>
          <t>Pieter van Zyl:</t>
        </r>
        <r>
          <rPr>
            <sz val="9"/>
            <color indexed="81"/>
            <rFont val="Tahoma"/>
            <family val="2"/>
          </rPr>
          <t xml:space="preserve">
Describe the roles played by individuals from this entity responsible for OE collection.</t>
        </r>
      </text>
    </comment>
    <comment ref="A55" authorId="0" shapeId="0" xr:uid="{05DBB86B-D755-4EF5-9C7E-5DC58C4B5B0B}">
      <text>
        <r>
          <rPr>
            <b/>
            <sz val="9"/>
            <color indexed="81"/>
            <rFont val="Tahoma"/>
            <family val="2"/>
          </rPr>
          <t>Pieter van Zyl:</t>
        </r>
        <r>
          <rPr>
            <sz val="9"/>
            <color indexed="81"/>
            <rFont val="Tahoma"/>
            <family val="2"/>
          </rPr>
          <t xml:space="preserve">
Select the individual or team responsible for collecting information for the Performance Report.</t>
        </r>
      </text>
    </comment>
    <comment ref="A56" authorId="0" shapeId="0" xr:uid="{034DFF64-6135-4D7A-A647-DAAA784D3FAD}">
      <text>
        <r>
          <rPr>
            <b/>
            <sz val="9"/>
            <color indexed="81"/>
            <rFont val="Tahoma"/>
            <family val="2"/>
          </rPr>
          <t>Pieter van Zyl:</t>
        </r>
        <r>
          <rPr>
            <sz val="9"/>
            <color indexed="81"/>
            <rFont val="Tahoma"/>
            <family val="2"/>
          </rPr>
          <t xml:space="preserve">
Name the approach if "other" was selected from the dropdown.</t>
        </r>
      </text>
    </comment>
    <comment ref="A57" authorId="0" shapeId="0" xr:uid="{2427D631-FAAD-49A9-BF64-7AD633974D06}">
      <text>
        <r>
          <rPr>
            <b/>
            <sz val="9"/>
            <color indexed="81"/>
            <rFont val="Tahoma"/>
            <family val="2"/>
          </rPr>
          <t>Pieter van Zyl:</t>
        </r>
        <r>
          <rPr>
            <sz val="9"/>
            <color indexed="81"/>
            <rFont val="Tahoma"/>
            <family val="2"/>
          </rPr>
          <t xml:space="preserve">
Describe how the information needed to complete the Performance Report will be collected.</t>
        </r>
      </text>
    </comment>
    <comment ref="A60" authorId="0" shapeId="0" xr:uid="{CD4C7829-A59D-4E9C-9FB3-724108A39840}">
      <text>
        <r>
          <rPr>
            <b/>
            <sz val="9"/>
            <color indexed="81"/>
            <rFont val="Tahoma"/>
            <family val="2"/>
          </rPr>
          <t>Pieter van Zyl:</t>
        </r>
        <r>
          <rPr>
            <sz val="9"/>
            <color indexed="81"/>
            <rFont val="Tahoma"/>
            <family val="2"/>
          </rPr>
          <t xml:space="preserve">
Summarize any additional project for which OE was requested, or any additional needs that remain after the performance of readiness reviews.</t>
        </r>
      </text>
    </comment>
    <comment ref="A73" authorId="0" shapeId="0" xr:uid="{CF362F55-A4BD-46BD-BFFF-02D84A344471}">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77" authorId="0" shapeId="0" xr:uid="{37CAD6B1-A1A9-477A-BADE-29031B4AD356}">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1" authorId="0" shapeId="0" xr:uid="{85A292DF-CCD3-4796-AD7B-7DC4714FC290}">
      <text>
        <r>
          <rPr>
            <b/>
            <sz val="9"/>
            <color indexed="81"/>
            <rFont val="Tahoma"/>
            <family val="2"/>
          </rPr>
          <t>Pieter van Zyl:</t>
        </r>
        <r>
          <rPr>
            <sz val="9"/>
            <color indexed="81"/>
            <rFont val="Tahoma"/>
            <family val="2"/>
          </rPr>
          <t xml:space="preserve">
If the appraisal team will be seeking additional information, describe the kinds of information to be sought. If no additional information is being collected, write 'none'.</t>
        </r>
      </text>
    </comment>
    <comment ref="A106" authorId="0" shapeId="0" xr:uid="{D1D9D337-23D5-4637-BA9F-0D894E03B78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07" authorId="0" shapeId="0" xr:uid="{58C87188-8565-4778-A1A4-8C314334B76C}">
      <text>
        <r>
          <rPr>
            <b/>
            <sz val="9"/>
            <color indexed="81"/>
            <rFont val="Tahoma"/>
            <family val="2"/>
          </rPr>
          <t>Pieter van Zyl:</t>
        </r>
        <r>
          <rPr>
            <sz val="9"/>
            <color indexed="81"/>
            <rFont val="Tahoma"/>
            <family val="2"/>
          </rPr>
          <t xml:space="preserve">
Name the logistical requirement if "other" was selected from the dropdown</t>
        </r>
      </text>
    </comment>
    <comment ref="A112" authorId="0" shapeId="0" xr:uid="{B47C3C47-AAB5-440B-BE28-6304A0595EB3}">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3" authorId="0" shapeId="0" xr:uid="{C6F0F39E-0E3F-421F-98F0-69236459441E}">
      <text>
        <r>
          <rPr>
            <b/>
            <sz val="9"/>
            <color indexed="81"/>
            <rFont val="Tahoma"/>
            <family val="2"/>
          </rPr>
          <t>Pieter van Zyl:</t>
        </r>
        <r>
          <rPr>
            <sz val="9"/>
            <color indexed="81"/>
            <rFont val="Tahoma"/>
            <family val="2"/>
          </rPr>
          <t xml:space="preserve">
Name the logistical requirement if "other" was selected from the dropdown</t>
        </r>
      </text>
    </comment>
    <comment ref="A118" authorId="0" shapeId="0" xr:uid="{A2CAB7CD-D2C9-4923-9267-2F39C6C5A5D1}">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19" authorId="0" shapeId="0" xr:uid="{C05F4D61-5E62-4C4F-BC01-A58EDA7C9213}">
      <text>
        <r>
          <rPr>
            <b/>
            <sz val="9"/>
            <color indexed="81"/>
            <rFont val="Tahoma"/>
            <family val="2"/>
          </rPr>
          <t>Pieter van Zyl:</t>
        </r>
        <r>
          <rPr>
            <sz val="9"/>
            <color indexed="81"/>
            <rFont val="Tahoma"/>
            <family val="2"/>
          </rPr>
          <t xml:space="preserve">
Name the logistical requirement if "other" was selected from the dropdown</t>
        </r>
      </text>
    </comment>
    <comment ref="A124" authorId="0" shapeId="0" xr:uid="{813D7472-D1F2-4B4A-8681-6CCE2A03644E}">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25" authorId="0" shapeId="0" xr:uid="{CAAA6F43-1E6F-49DA-871A-53426861FBF3}">
      <text>
        <r>
          <rPr>
            <b/>
            <sz val="9"/>
            <color indexed="81"/>
            <rFont val="Tahoma"/>
            <family val="2"/>
          </rPr>
          <t>Pieter van Zyl:</t>
        </r>
        <r>
          <rPr>
            <sz val="9"/>
            <color indexed="81"/>
            <rFont val="Tahoma"/>
            <family val="2"/>
          </rPr>
          <t xml:space="preserve">
Name the logistical requirement if "other" was selected from the dropdown</t>
        </r>
      </text>
    </comment>
    <comment ref="A130" authorId="0" shapeId="0" xr:uid="{ABAB004D-0C7A-4798-A415-121A3C7E901B}">
      <text>
        <r>
          <rPr>
            <b/>
            <sz val="9"/>
            <color indexed="81"/>
            <rFont val="Tahoma"/>
            <family val="2"/>
          </rPr>
          <t>Pieter van Zyl:</t>
        </r>
        <r>
          <rPr>
            <sz val="9"/>
            <color indexed="81"/>
            <rFont val="Tahoma"/>
            <family val="2"/>
          </rPr>
          <t xml:space="preserve">
Specify the required equipment if "Equipment and material requirements for ATMs." was selected from the dropdown
</t>
        </r>
      </text>
    </comment>
    <comment ref="A131" authorId="0" shapeId="0" xr:uid="{2E95239A-219A-4D49-B2A9-015690E1B329}">
      <text>
        <r>
          <rPr>
            <b/>
            <sz val="9"/>
            <color indexed="81"/>
            <rFont val="Tahoma"/>
            <family val="2"/>
          </rPr>
          <t>Pieter van Zyl:</t>
        </r>
        <r>
          <rPr>
            <sz val="9"/>
            <color indexed="81"/>
            <rFont val="Tahoma"/>
            <family val="2"/>
          </rPr>
          <t xml:space="preserve">
Name the logistical requirement if "other" was selected from the dropdown</t>
        </r>
      </text>
    </comment>
    <comment ref="A137" authorId="0" shapeId="0" xr:uid="{DD0363E2-14DD-4B78-A1FB-C96C45E2A836}">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39" authorId="0" shapeId="0" xr:uid="{E2B5EEC5-2E83-4B85-A19E-FD2450DA5A32}">
      <text>
        <r>
          <rPr>
            <b/>
            <sz val="9"/>
            <color indexed="81"/>
            <rFont val="Tahoma"/>
            <family val="2"/>
          </rPr>
          <t>Pieter van Zyl:</t>
        </r>
        <r>
          <rPr>
            <sz val="9"/>
            <color indexed="81"/>
            <rFont val="Tahoma"/>
            <family val="2"/>
          </rPr>
          <t xml:space="preserve">
Name the constraint if "other" was selected from the dropdown</t>
        </r>
      </text>
    </comment>
    <comment ref="A144" authorId="0" shapeId="0" xr:uid="{676C53B6-7B68-4E22-8D5F-6ED02D854264}">
      <text>
        <r>
          <rPr>
            <b/>
            <sz val="9"/>
            <color indexed="81"/>
            <rFont val="Tahoma"/>
            <family val="2"/>
          </rPr>
          <t>Pieter van Zyl:</t>
        </r>
        <r>
          <rPr>
            <sz val="9"/>
            <color indexed="81"/>
            <rFont val="Tahoma"/>
            <family val="2"/>
          </rPr>
          <t xml:space="preserve">
Identify constraints that have an impact on conducting the appraisal. Provide sufficient detail to facilitate and support decisions made during planning and to provide enough information to develop appropriate risk management plans.</t>
        </r>
      </text>
    </comment>
    <comment ref="A147" authorId="0" shapeId="0" xr:uid="{964D688C-92EB-4BF3-A4D1-9C2BA3017979}">
      <text>
        <r>
          <rPr>
            <b/>
            <sz val="9"/>
            <color indexed="81"/>
            <rFont val="Tahoma"/>
            <family val="2"/>
          </rPr>
          <t>Pieter van Zyl:</t>
        </r>
        <r>
          <rPr>
            <sz val="9"/>
            <color indexed="81"/>
            <rFont val="Tahoma"/>
            <family val="2"/>
          </rPr>
          <t xml:space="preserve">
Only necessary if the Risk Category selected was "Other"</t>
        </r>
      </text>
    </comment>
    <comment ref="A155" authorId="0" shapeId="0" xr:uid="{331B675E-0FC0-4D87-98EA-9B3F1E8C2921}">
      <text>
        <r>
          <rPr>
            <b/>
            <sz val="9"/>
            <color indexed="81"/>
            <rFont val="Tahoma"/>
            <family val="2"/>
          </rPr>
          <t>Pieter van Zyl:</t>
        </r>
        <r>
          <rPr>
            <sz val="9"/>
            <color indexed="81"/>
            <rFont val="Tahoma"/>
            <family val="2"/>
          </rPr>
          <t xml:space="preserve">
Only necessary if the Risk Category selected was "Other"</t>
        </r>
      </text>
    </comment>
    <comment ref="A163" authorId="0" shapeId="0" xr:uid="{E664CF90-22AF-41A7-AE23-8AEC691175EC}">
      <text>
        <r>
          <rPr>
            <b/>
            <sz val="9"/>
            <color indexed="81"/>
            <rFont val="Tahoma"/>
            <family val="2"/>
          </rPr>
          <t>Pieter van Zyl:</t>
        </r>
        <r>
          <rPr>
            <sz val="9"/>
            <color indexed="81"/>
            <rFont val="Tahoma"/>
            <family val="2"/>
          </rPr>
          <t xml:space="preserve">
Only necessary if the Risk Category selected was "Other"</t>
        </r>
      </text>
    </comment>
    <comment ref="A171" authorId="0" shapeId="0" xr:uid="{4883A94A-772B-4509-B1BD-F398824A840F}">
      <text>
        <r>
          <rPr>
            <b/>
            <sz val="9"/>
            <color indexed="81"/>
            <rFont val="Tahoma"/>
            <family val="2"/>
          </rPr>
          <t>Pieter van Zyl:</t>
        </r>
        <r>
          <rPr>
            <sz val="9"/>
            <color indexed="81"/>
            <rFont val="Tahoma"/>
            <family val="2"/>
          </rPr>
          <t xml:space="preserve">
Only necessary if the Risk Category selected was "Other"</t>
        </r>
      </text>
    </comment>
    <comment ref="A179" authorId="0" shapeId="0" xr:uid="{EC1043E2-3321-4DCE-B428-AB4B99DF04CD}">
      <text>
        <r>
          <rPr>
            <b/>
            <sz val="9"/>
            <color indexed="81"/>
            <rFont val="Tahoma"/>
            <family val="2"/>
          </rPr>
          <t>Pieter van Zyl:</t>
        </r>
        <r>
          <rPr>
            <sz val="9"/>
            <color indexed="81"/>
            <rFont val="Tahoma"/>
            <family val="2"/>
          </rPr>
          <t xml:space="preserve">
Only necessary if the Risk Category selected was "Other"</t>
        </r>
      </text>
    </comment>
    <comment ref="A187" authorId="0" shapeId="0" xr:uid="{18DBAC30-77F7-4CD9-B011-4AF96734E93D}">
      <text>
        <r>
          <rPr>
            <b/>
            <sz val="9"/>
            <color indexed="81"/>
            <rFont val="Tahoma"/>
            <family val="2"/>
          </rPr>
          <t>Pieter van Zyl:</t>
        </r>
        <r>
          <rPr>
            <sz val="9"/>
            <color indexed="81"/>
            <rFont val="Tahoma"/>
            <family val="2"/>
          </rPr>
          <t xml:space="preserve">
Only necessary if the Risk Category selected was "Other"</t>
        </r>
      </text>
    </comment>
    <comment ref="A196" authorId="0" shapeId="0" xr:uid="{8D4AADC6-4475-4C8D-9F3D-511CF6898006}">
      <text>
        <r>
          <rPr>
            <b/>
            <sz val="9"/>
            <color indexed="81"/>
            <rFont val="Tahoma"/>
            <family val="2"/>
          </rPr>
          <t>Pieter van Zyl:</t>
        </r>
        <r>
          <rPr>
            <sz val="9"/>
            <color indexed="81"/>
            <rFont val="Tahoma"/>
            <family val="2"/>
          </rPr>
          <t xml:space="preserve">
Only necessary if the Risk Category selected was "Other"</t>
        </r>
      </text>
    </comment>
    <comment ref="A204" authorId="0" shapeId="0" xr:uid="{4B6D28AC-DCCA-4D90-B21E-EF101A2E72AC}">
      <text>
        <r>
          <rPr>
            <b/>
            <sz val="9"/>
            <color indexed="81"/>
            <rFont val="Tahoma"/>
            <family val="2"/>
          </rPr>
          <t>Pieter van Zyl:</t>
        </r>
        <r>
          <rPr>
            <sz val="9"/>
            <color indexed="81"/>
            <rFont val="Tahoma"/>
            <family val="2"/>
          </rPr>
          <t xml:space="preserve">
Only necessary if the Risk Category selected was "Other"</t>
        </r>
      </text>
    </comment>
    <comment ref="A212" authorId="0" shapeId="0" xr:uid="{3D9435D1-11CF-4851-888E-51613B285EFE}">
      <text>
        <r>
          <rPr>
            <b/>
            <sz val="9"/>
            <color indexed="81"/>
            <rFont val="Tahoma"/>
            <family val="2"/>
          </rPr>
          <t>Pieter van Zyl:</t>
        </r>
        <r>
          <rPr>
            <sz val="9"/>
            <color indexed="81"/>
            <rFont val="Tahoma"/>
            <family val="2"/>
          </rPr>
          <t xml:space="preserve">
Only necessary if the Risk Category selected was "Other"</t>
        </r>
      </text>
    </comment>
    <comment ref="A220" authorId="0" shapeId="0" xr:uid="{E8623550-4380-4DC6-AC6D-DB776A835D88}">
      <text>
        <r>
          <rPr>
            <b/>
            <sz val="9"/>
            <color indexed="81"/>
            <rFont val="Tahoma"/>
            <family val="2"/>
          </rPr>
          <t>Pieter van Zyl:</t>
        </r>
        <r>
          <rPr>
            <sz val="9"/>
            <color indexed="81"/>
            <rFont val="Tahoma"/>
            <family val="2"/>
          </rPr>
          <t xml:space="preserve">
Only necessary if the Risk Category selected was "Other"</t>
        </r>
      </text>
    </comment>
    <comment ref="A228" authorId="0" shapeId="0" xr:uid="{64A95900-0C8C-4418-8720-8EC07A92FCED}">
      <text>
        <r>
          <rPr>
            <b/>
            <sz val="9"/>
            <color indexed="81"/>
            <rFont val="Tahoma"/>
            <family val="2"/>
          </rPr>
          <t>Pieter van Zyl:</t>
        </r>
        <r>
          <rPr>
            <sz val="9"/>
            <color indexed="81"/>
            <rFont val="Tahoma"/>
            <family val="2"/>
          </rPr>
          <t xml:space="preserve">
Only necessary if the Risk Category selected was "Other"</t>
        </r>
      </text>
    </comment>
    <comment ref="A236" authorId="0" shapeId="0" xr:uid="{99B37D5C-DB5C-43D3-B7C2-30505B8B120B}">
      <text>
        <r>
          <rPr>
            <b/>
            <sz val="9"/>
            <color indexed="81"/>
            <rFont val="Tahoma"/>
            <family val="2"/>
          </rPr>
          <t>Pieter van Zyl:</t>
        </r>
        <r>
          <rPr>
            <sz val="9"/>
            <color indexed="81"/>
            <rFont val="Tahoma"/>
            <family val="2"/>
          </rPr>
          <t xml:space="preserve">
Only necessary if the Risk Category selected was "Other"</t>
        </r>
      </text>
    </comment>
    <comment ref="A246" authorId="0" shapeId="0" xr:uid="{D81C3E16-AAF3-4F82-BAED-E67791243FA0}">
      <text>
        <r>
          <rPr>
            <b/>
            <sz val="9"/>
            <color indexed="81"/>
            <rFont val="Tahoma"/>
            <family val="2"/>
          </rPr>
          <t>Pieter van Zyl:</t>
        </r>
        <r>
          <rPr>
            <sz val="9"/>
            <color indexed="81"/>
            <rFont val="Tahoma"/>
            <family val="2"/>
          </rPr>
          <t xml:space="preserve">
Name the conflict of interest if "other" was selected from the dropdown.</t>
        </r>
      </text>
    </comment>
    <comment ref="A256" authorId="0" shapeId="0" xr:uid="{EF4B96E2-61CB-464E-89A7-1181B067540F}">
      <text>
        <r>
          <rPr>
            <b/>
            <sz val="9"/>
            <color indexed="81"/>
            <rFont val="Tahoma"/>
            <family val="2"/>
          </rPr>
          <t>Pieter van Zyl:</t>
        </r>
        <r>
          <rPr>
            <sz val="9"/>
            <color indexed="81"/>
            <rFont val="Tahoma"/>
            <family val="2"/>
          </rPr>
          <t xml:space="preserve">
Name the follow-on activity if "Other" was selected from the dropdown</t>
        </r>
      </text>
    </comment>
    <comment ref="A261" authorId="0" shapeId="0" xr:uid="{B56AA0AE-37F7-4AD8-AEDD-BEEE359D6DEB}">
      <text>
        <r>
          <rPr>
            <b/>
            <sz val="9"/>
            <color indexed="81"/>
            <rFont val="Tahoma"/>
            <family val="2"/>
          </rPr>
          <t>Pieter van Zyl:</t>
        </r>
        <r>
          <rPr>
            <sz val="9"/>
            <color indexed="81"/>
            <rFont val="Tahoma"/>
            <family val="2"/>
          </rPr>
          <t xml:space="preserve">
As a starting point for creating the Confidentiality and Non-Attribution agreement, a template has been provided. This file may be downloaded, edited to fit the context of this appraisal, and then imported. The file imported and submitted to the CMMI Institute represents the version of the agreement that the appraisal team, ATL, and sponsor have agreed upon.</t>
        </r>
      </text>
    </comment>
  </commentList>
</comments>
</file>

<file path=xl/sharedStrings.xml><?xml version="1.0" encoding="utf-8"?>
<sst xmlns="http://schemas.openxmlformats.org/spreadsheetml/2006/main" count="4336" uniqueCount="1677">
  <si>
    <t>AGREEMENT 3 - LEAD APPRAISER and DEMIX</t>
  </si>
  <si>
    <t>Access record number</t>
  </si>
  <si>
    <t>Access version number</t>
  </si>
  <si>
    <t>Lead appraiser</t>
  </si>
  <si>
    <t>Surname, Name</t>
  </si>
  <si>
    <t>Organisational affiliation</t>
  </si>
  <si>
    <t>Demix (Pty) Ltd</t>
  </si>
  <si>
    <t>Title/designation</t>
  </si>
  <si>
    <t>Full title / designation</t>
  </si>
  <si>
    <t>Phone</t>
  </si>
  <si>
    <t>Email</t>
  </si>
  <si>
    <t>Dropbox</t>
  </si>
  <si>
    <t>Company to be appraised detail</t>
  </si>
  <si>
    <t>Name</t>
  </si>
  <si>
    <t>Indigenous name</t>
  </si>
  <si>
    <t>Destination city</t>
  </si>
  <si>
    <t>Province</t>
  </si>
  <si>
    <t>Country</t>
  </si>
  <si>
    <t>China</t>
  </si>
  <si>
    <t>Appraisal requirements information</t>
  </si>
  <si>
    <t>Date of request</t>
  </si>
  <si>
    <t>Initial requirements and objectives</t>
  </si>
  <si>
    <t>Initial expected final findings date</t>
  </si>
  <si>
    <t>On-site from date</t>
  </si>
  <si>
    <t>On-site to date</t>
  </si>
  <si>
    <t>Sponsor detail</t>
  </si>
  <si>
    <t>Site co-ordinator</t>
  </si>
  <si>
    <t>Translator</t>
  </si>
  <si>
    <t>CMMI Institute Business Point of Contact (BPOC)</t>
  </si>
  <si>
    <t>None</t>
  </si>
  <si>
    <t>Native Language Name</t>
  </si>
  <si>
    <t>Address Line 1</t>
  </si>
  <si>
    <t>Address Line 2</t>
  </si>
  <si>
    <t>City</t>
  </si>
  <si>
    <t>State/Province/Region</t>
  </si>
  <si>
    <t>ZIP/Postal Code</t>
  </si>
  <si>
    <t>Afghanistan</t>
  </si>
  <si>
    <t>Albania</t>
  </si>
  <si>
    <t>Algeria</t>
  </si>
  <si>
    <t>American Samoa</t>
  </si>
  <si>
    <t>Andorra</t>
  </si>
  <si>
    <t>Angola</t>
  </si>
  <si>
    <t>Anguilla</t>
  </si>
  <si>
    <t>Antarctica</t>
  </si>
  <si>
    <t>Argentina</t>
  </si>
  <si>
    <t>Armenia</t>
  </si>
  <si>
    <t>Aruba</t>
  </si>
  <si>
    <t>Ascension Island</t>
  </si>
  <si>
    <t>Australia</t>
  </si>
  <si>
    <t>Austria</t>
  </si>
  <si>
    <t>Azerbaijan</t>
  </si>
  <si>
    <t>Bahamas</t>
  </si>
  <si>
    <t>Bahrain</t>
  </si>
  <si>
    <t>Bangladesh</t>
  </si>
  <si>
    <t>Barbados</t>
  </si>
  <si>
    <t>Belarus</t>
  </si>
  <si>
    <t>Belgium</t>
  </si>
  <si>
    <t>Belize</t>
  </si>
  <si>
    <t>Benin</t>
  </si>
  <si>
    <t>Bermuda</t>
  </si>
  <si>
    <t>Bhutan</t>
  </si>
  <si>
    <t>Bolivia</t>
  </si>
  <si>
    <t>Botswana</t>
  </si>
  <si>
    <t>Brazil</t>
  </si>
  <si>
    <t>British Indian Ocean Territory</t>
  </si>
  <si>
    <t>British Virgin Islands</t>
  </si>
  <si>
    <t>Brunei</t>
  </si>
  <si>
    <t>Bulgaria</t>
  </si>
  <si>
    <t>Burkina Faso</t>
  </si>
  <si>
    <t>Burundi</t>
  </si>
  <si>
    <t>Cambodia</t>
  </si>
  <si>
    <t>Cameroon</t>
  </si>
  <si>
    <t>Canada</t>
  </si>
  <si>
    <t>Canary Islands</t>
  </si>
  <si>
    <t>Cape Verde</t>
  </si>
  <si>
    <t>Caribbean Netherlands</t>
  </si>
  <si>
    <t>Cayman Islands</t>
  </si>
  <si>
    <t>Central African Republic</t>
  </si>
  <si>
    <t>Chad</t>
  </si>
  <si>
    <t>Chile</t>
  </si>
  <si>
    <t>Christmas Island</t>
  </si>
  <si>
    <t>Cocos (Keeling) Islands</t>
  </si>
  <si>
    <t>Colombia</t>
  </si>
  <si>
    <t>Comoros</t>
  </si>
  <si>
    <t>Congo - Brazzaville</t>
  </si>
  <si>
    <t>Congo - Kinshasa</t>
  </si>
  <si>
    <t>Cook Islands</t>
  </si>
  <si>
    <t>Costa Rica</t>
  </si>
  <si>
    <t>Croatia</t>
  </si>
  <si>
    <t>Cuba</t>
  </si>
  <si>
    <t>Cyprus</t>
  </si>
  <si>
    <t>Czechia</t>
  </si>
  <si>
    <t>Denmark</t>
  </si>
  <si>
    <t>Diego Garcia</t>
  </si>
  <si>
    <t>Djibouti</t>
  </si>
  <si>
    <t>Dominica</t>
  </si>
  <si>
    <t>Dominican Republic</t>
  </si>
  <si>
    <t>Ecuador</t>
  </si>
  <si>
    <t>Egypt</t>
  </si>
  <si>
    <t>El Salvador</t>
  </si>
  <si>
    <t>Equatorial Guinea</t>
  </si>
  <si>
    <t>Eritrea</t>
  </si>
  <si>
    <t>Estonia</t>
  </si>
  <si>
    <t>Ethiopia</t>
  </si>
  <si>
    <t>Eurozone</t>
  </si>
  <si>
    <t>Falkland Islands</t>
  </si>
  <si>
    <t>Faroe Islands</t>
  </si>
  <si>
    <t>Fiji</t>
  </si>
  <si>
    <t>Finland</t>
  </si>
  <si>
    <t>France</t>
  </si>
  <si>
    <t>French Guiana</t>
  </si>
  <si>
    <t>French Polynesia</t>
  </si>
  <si>
    <t>French Southern Territories</t>
  </si>
  <si>
    <t>Gabon</t>
  </si>
  <si>
    <t>Gambia</t>
  </si>
  <si>
    <t>Georgia</t>
  </si>
  <si>
    <t>Germany</t>
  </si>
  <si>
    <t>Ghana</t>
  </si>
  <si>
    <t>Gibraltar</t>
  </si>
  <si>
    <t>Greece</t>
  </si>
  <si>
    <t>Greenland</t>
  </si>
  <si>
    <t>Grenada</t>
  </si>
  <si>
    <t>Guadeloupe</t>
  </si>
  <si>
    <t>Guam</t>
  </si>
  <si>
    <t>Guatemala</t>
  </si>
  <si>
    <t>Guernsey</t>
  </si>
  <si>
    <t>Guinea</t>
  </si>
  <si>
    <t>Guinea-Bissau</t>
  </si>
  <si>
    <t>Guyana</t>
  </si>
  <si>
    <t>Haiti</t>
  </si>
  <si>
    <t>Honduras</t>
  </si>
  <si>
    <t>Hong Kong SAR China</t>
  </si>
  <si>
    <t>Hungary</t>
  </si>
  <si>
    <t>Iceland</t>
  </si>
  <si>
    <t>India</t>
  </si>
  <si>
    <t>Indonesia</t>
  </si>
  <si>
    <t>Iran</t>
  </si>
  <si>
    <t>Iraq</t>
  </si>
  <si>
    <t>Ireland</t>
  </si>
  <si>
    <t>Isle of Man</t>
  </si>
  <si>
    <t>Israel</t>
  </si>
  <si>
    <t>Italy</t>
  </si>
  <si>
    <t>Jamaica</t>
  </si>
  <si>
    <t>Japan</t>
  </si>
  <si>
    <t>Jersey</t>
  </si>
  <si>
    <t>Jordan</t>
  </si>
  <si>
    <t>Kazakhstan</t>
  </si>
  <si>
    <t>Kenya</t>
  </si>
  <si>
    <t>Kiribati</t>
  </si>
  <si>
    <t>Kosovo</t>
  </si>
  <si>
    <t>Kuwait</t>
  </si>
  <si>
    <t>Kyrgyzstan</t>
  </si>
  <si>
    <t>Laos</t>
  </si>
  <si>
    <t>Latvia</t>
  </si>
  <si>
    <t>Lebanon</t>
  </si>
  <si>
    <t>Lesotho</t>
  </si>
  <si>
    <t>Liberia</t>
  </si>
  <si>
    <t>Libya</t>
  </si>
  <si>
    <t>Liechtenstein</t>
  </si>
  <si>
    <t>Lithuania</t>
  </si>
  <si>
    <t>Luxembourg</t>
  </si>
  <si>
    <t>Macau SAR China</t>
  </si>
  <si>
    <t>Macedonia</t>
  </si>
  <si>
    <t>Madagascar</t>
  </si>
  <si>
    <t>Malawi</t>
  </si>
  <si>
    <t>Malaysia</t>
  </si>
  <si>
    <t>Maldives</t>
  </si>
  <si>
    <t>Mali</t>
  </si>
  <si>
    <t>Malta</t>
  </si>
  <si>
    <t>Marshall Islands</t>
  </si>
  <si>
    <t>Martinique</t>
  </si>
  <si>
    <t>Mauritania</t>
  </si>
  <si>
    <t>Mauritius</t>
  </si>
  <si>
    <t>Mayotte</t>
  </si>
  <si>
    <t>Mexico</t>
  </si>
  <si>
    <t>Micronesia</t>
  </si>
  <si>
    <t>Moldova</t>
  </si>
  <si>
    <t>Monaco</t>
  </si>
  <si>
    <t>Mongolia</t>
  </si>
  <si>
    <t>Montenegro</t>
  </si>
  <si>
    <t>Montserrat</t>
  </si>
  <si>
    <t>Morocco</t>
  </si>
  <si>
    <t>Mozambique</t>
  </si>
  <si>
    <t>Myanmar (Burma)</t>
  </si>
  <si>
    <t>Namibia</t>
  </si>
  <si>
    <t>Nauru</t>
  </si>
  <si>
    <t>Nepal</t>
  </si>
  <si>
    <t>Netherlands</t>
  </si>
  <si>
    <t>New Caledonia</t>
  </si>
  <si>
    <t>New Zealand</t>
  </si>
  <si>
    <t>Nicaragua</t>
  </si>
  <si>
    <t>Niger</t>
  </si>
  <si>
    <t>Nigeria</t>
  </si>
  <si>
    <t>Niue</t>
  </si>
  <si>
    <t>Norfolk Island</t>
  </si>
  <si>
    <t>North Korea</t>
  </si>
  <si>
    <t>Northern Mariana Islands</t>
  </si>
  <si>
    <t>Norway</t>
  </si>
  <si>
    <t>Oman</t>
  </si>
  <si>
    <t>Pakistan</t>
  </si>
  <si>
    <t>Palau</t>
  </si>
  <si>
    <t>Palestinian Territories</t>
  </si>
  <si>
    <t>Panama</t>
  </si>
  <si>
    <t>Papua New Guinea</t>
  </si>
  <si>
    <t>Paraguay</t>
  </si>
  <si>
    <t>Peru</t>
  </si>
  <si>
    <t>Philippines</t>
  </si>
  <si>
    <t>Pitcairn Islands</t>
  </si>
  <si>
    <t>Poland</t>
  </si>
  <si>
    <t>Portugal</t>
  </si>
  <si>
    <t>Puerto Rico</t>
  </si>
  <si>
    <t>Qatar</t>
  </si>
  <si>
    <t>Romania</t>
  </si>
  <si>
    <t>Russia</t>
  </si>
  <si>
    <t>Rwanda</t>
  </si>
  <si>
    <t>Samoa</t>
  </si>
  <si>
    <t>San Marino</t>
  </si>
  <si>
    <t>Saudi Arabia</t>
  </si>
  <si>
    <t>Senegal</t>
  </si>
  <si>
    <t>Serbia</t>
  </si>
  <si>
    <t>Seychelles</t>
  </si>
  <si>
    <t>Sierra Leone</t>
  </si>
  <si>
    <t>Singapore</t>
  </si>
  <si>
    <t>Sint Maarten</t>
  </si>
  <si>
    <t>Slovakia</t>
  </si>
  <si>
    <t>Slovenia</t>
  </si>
  <si>
    <t>Solomon Islands</t>
  </si>
  <si>
    <t>Somalia</t>
  </si>
  <si>
    <t>South Africa</t>
  </si>
  <si>
    <t>South Korea</t>
  </si>
  <si>
    <t>South Sudan</t>
  </si>
  <si>
    <t>Spain</t>
  </si>
  <si>
    <t>Sri Lanka</t>
  </si>
  <si>
    <t>St. Helena</t>
  </si>
  <si>
    <t>St. Lucia</t>
  </si>
  <si>
    <t>St. Martin</t>
  </si>
  <si>
    <t>Sudan</t>
  </si>
  <si>
    <t>Suriname</t>
  </si>
  <si>
    <t>Swaziland</t>
  </si>
  <si>
    <t>Sweden</t>
  </si>
  <si>
    <t>Switzerland</t>
  </si>
  <si>
    <t>Syria</t>
  </si>
  <si>
    <t>Taiwan</t>
  </si>
  <si>
    <t>Tajikistan</t>
  </si>
  <si>
    <t>Tanzania</t>
  </si>
  <si>
    <t>Thailand</t>
  </si>
  <si>
    <t>Timor,-Leste</t>
  </si>
  <si>
    <t>Togo</t>
  </si>
  <si>
    <t>Tokelau</t>
  </si>
  <si>
    <t>Tonga</t>
  </si>
  <si>
    <t>Tristan da Cunha</t>
  </si>
  <si>
    <t>Tunisia</t>
  </si>
  <si>
    <t>Turkey</t>
  </si>
  <si>
    <t>Turkmenistan</t>
  </si>
  <si>
    <t>Tuvalu</t>
  </si>
  <si>
    <t>U.S. Outlying Islands</t>
  </si>
  <si>
    <t>U.S. Virgin Islands</t>
  </si>
  <si>
    <t>Uganda</t>
  </si>
  <si>
    <t>Ukraine</t>
  </si>
  <si>
    <t>United Arab Emirates</t>
  </si>
  <si>
    <t>United Kingdom</t>
  </si>
  <si>
    <t>United States</t>
  </si>
  <si>
    <t>Uruguay</t>
  </si>
  <si>
    <t>Uzbekistan</t>
  </si>
  <si>
    <t>Vanuatu</t>
  </si>
  <si>
    <t>Vatican City</t>
  </si>
  <si>
    <t>Venezuela</t>
  </si>
  <si>
    <t>Vietnam</t>
  </si>
  <si>
    <t>Western Sahara</t>
  </si>
  <si>
    <t>Yemen</t>
  </si>
  <si>
    <t>Zambia</t>
  </si>
  <si>
    <t xml:space="preserve">Zimbabwe </t>
  </si>
  <si>
    <t>Åland Islands</t>
  </si>
  <si>
    <t>Antigua &amp; Barbuda</t>
  </si>
  <si>
    <t>Bosnia &amp; Herzegovina</t>
  </si>
  <si>
    <t>Ceuta &amp; Melilla</t>
  </si>
  <si>
    <t>South Georgia &amp; South Sandwich Islands</t>
  </si>
  <si>
    <t>St. Kitts &amp; Nevis</t>
  </si>
  <si>
    <t>St. Pierre &amp; Miquelon</t>
  </si>
  <si>
    <t>St. Vincent &amp; Grenadines</t>
  </si>
  <si>
    <t>Svalbard &amp; Jan Mayen</t>
  </si>
  <si>
    <t>Trinidad &amp; Tobago</t>
  </si>
  <si>
    <t>Turks &amp; Caicos Islands</t>
  </si>
  <si>
    <t>Wallis &amp; Futuna</t>
  </si>
  <si>
    <t>Curaçao</t>
  </si>
  <si>
    <t>Côte d’Ivoire</t>
  </si>
  <si>
    <t>Réunion</t>
  </si>
  <si>
    <t>São Tomé &amp; Príncipe</t>
  </si>
  <si>
    <t>St. Barthélemy</t>
  </si>
  <si>
    <t>Special characters lookup</t>
  </si>
  <si>
    <t>Website Address/URL</t>
  </si>
  <si>
    <t>Rationale for Projects Excluded from OU</t>
  </si>
  <si>
    <t>ISIC Section - Division</t>
  </si>
  <si>
    <t>(A-01) Agriculture, forestry and fishing - Crop and animal production, hunting and related service activities</t>
  </si>
  <si>
    <t>(A-02) Agriculture, forestry and fishing - Forestry and logging</t>
  </si>
  <si>
    <t>(A-03) Agriculture, forestry and fishing - Fishing and aquaculter</t>
  </si>
  <si>
    <t>(B-05) Mining and quarrying - Mining of coal and lignite</t>
  </si>
  <si>
    <t>(B-06) Mining and quarrying - Extraction of crude petroleum and natural gas</t>
  </si>
  <si>
    <t>(B-07) Mining and quarrying - Mining of metal ores</t>
  </si>
  <si>
    <t>(B-08) Mining and quarrying - Other mining and quarrying</t>
  </si>
  <si>
    <t>(B-09) Mining and quarrying - Mining support service activities</t>
  </si>
  <si>
    <t>(C-10) Manufacturing - Manufacture of food products</t>
  </si>
  <si>
    <t>(C-11) Manufacturing - Manufacture of beverages</t>
  </si>
  <si>
    <t>(C-12) Manufacturing - Manufacture of tobacco products</t>
  </si>
  <si>
    <t>(C-13) Manufacturing - Manufacture of textiles</t>
  </si>
  <si>
    <t>(C-14) Manufacturing - Manufacture of wearing apparel</t>
  </si>
  <si>
    <t>(C-15) Manufacturing - Manufacture of leather and related products</t>
  </si>
  <si>
    <t>(C-16) Manufacturing - Manufacture of wood and of products of wood and cork, except furniture; manufacture of articles of straw and plaiting materials</t>
  </si>
  <si>
    <t>(C-17) Manufacturing - Manufacture of paper and paper products</t>
  </si>
  <si>
    <t>(C-18) Manufacturing - Printing and reproduction of recorded media</t>
  </si>
  <si>
    <t>(C-19) Manufacturing - Manufacture of coke and refined petroleum products</t>
  </si>
  <si>
    <t>(C-20) Manufacturing - Manufacture of chemicals and chemical products</t>
  </si>
  <si>
    <t>(C-21) Manufacturing - Manufacture of basic pharmaceutical products and pharmaceutical preparations</t>
  </si>
  <si>
    <t>(C-22) Manufacturing - Manufacture of rubber and plastics products</t>
  </si>
  <si>
    <t>(C-23) Manufacturing - Manufacture of other non-metallic mineral products</t>
  </si>
  <si>
    <t>(C-24) Manufacturing - Manufacture of basic metals</t>
  </si>
  <si>
    <t>(C-25) Manufacturing - Manufacture of fabricated metal products, except machinery and equipment</t>
  </si>
  <si>
    <t>(C-26) Manufacturing - Manufacture of computer, electronic and optical products</t>
  </si>
  <si>
    <t>(C-27) Manufacturing - Manufacture of electrical equipment</t>
  </si>
  <si>
    <t>(C-28) Manufacturing - Manufacture of machinery and equipment n.e.c.</t>
  </si>
  <si>
    <t>(C-29) Manufacturing - Manufacture of motor vehicles, trailers and semi-trailers</t>
  </si>
  <si>
    <t>(C-30) Manufacturing - Manufacture of other transport equipment</t>
  </si>
  <si>
    <t>(C-31) Manufacturing - Manufacture of furniture</t>
  </si>
  <si>
    <t>(C-32) Manufacturing - Other manufacturing</t>
  </si>
  <si>
    <t>(C-33) Manufacturing - Repair and installation of machinery and equipment</t>
  </si>
  <si>
    <t>(D-35) Electricity, gas, steam and air conditioning supply</t>
  </si>
  <si>
    <t>(E-36) Water supply; sewerage, waste management and remediation activities - Water collection, treatment and supply</t>
  </si>
  <si>
    <t>(E-37) Water supply; sewerage, waste management and remediation activities - Sewerage</t>
  </si>
  <si>
    <t>(E-38) Water supply; sewerage, waste management and remediation activities - Waste collection, treatment and disposal activities; materials recovery</t>
  </si>
  <si>
    <t>(E-39) Water supply; sewerage, waste management and remediation activities - Remediation activities and other waste management services</t>
  </si>
  <si>
    <t>(F-41) Construction - Construction of buildings</t>
  </si>
  <si>
    <t>(F-42) Construction - Civil engineering</t>
  </si>
  <si>
    <t>(F-43) Construction - Specialized construction activities</t>
  </si>
  <si>
    <t>(G-45) Wholesale and retail trade; repair of motor vehicles and motorcycles - Wholesale and retail trade and repair of motor vehicles and motorcycles</t>
  </si>
  <si>
    <t>(G-46) Wholesale and retail trade; repair of motor vehicles and motorcycles - Wholesale trade, except of motor vehicles and motorcycles</t>
  </si>
  <si>
    <t>(G-47) Wholesale and retail trade; repair of motor vehicles and motorcycles - Retail trade, except of motor vehicles and motorcycles</t>
  </si>
  <si>
    <t>(H-49) Transportation and storage - Land transport and transport via pipelines</t>
  </si>
  <si>
    <t>(H-50) Transportation and storage - Water transport</t>
  </si>
  <si>
    <t>(H-51) Transportation and storage - Air transport</t>
  </si>
  <si>
    <t>(H-52) Transportation and storage - Warehousing and support activities for transportation</t>
  </si>
  <si>
    <t>(H-53) Transportation and storage - Postal and courier activities</t>
  </si>
  <si>
    <t>(I-55) Accommodation and food service activities - Accommodation</t>
  </si>
  <si>
    <t>(I-56) Accommodation and food service activities - Food and beverage service activities</t>
  </si>
  <si>
    <t>(J-58) Information and communication - Publishing activities</t>
  </si>
  <si>
    <t>(J-59) Information and communication - Motion picture, video and television programme production, sound recording and music publishing activities</t>
  </si>
  <si>
    <t>(J-60) Information and communication - Programming and broadcasting activities</t>
  </si>
  <si>
    <t>(J-61) Information and communication - Telecommunications</t>
  </si>
  <si>
    <t>(J-62) Information and communication - Computer programming, consultancy and related activities</t>
  </si>
  <si>
    <t>(J-63) Information and communication - Information service activities</t>
  </si>
  <si>
    <t>(K-64) Financial and insurance activities - Financial service activities, except insurance and pension funding</t>
  </si>
  <si>
    <t>(K-65) Financial and insurance activities - Insurance, reinsurance and pension funding, except compulsory social security</t>
  </si>
  <si>
    <t>(K-66) Financial and insurance activities - Activities auxiliary to financial service and insurance activities</t>
  </si>
  <si>
    <t>(L-68) Real estate activities</t>
  </si>
  <si>
    <t>(M-69) Professional, scientific and technical activities - Legal and accounting activities</t>
  </si>
  <si>
    <t>(M-70) Professional, scientific and technical activities - Activities of head offices; management consultancy activities</t>
  </si>
  <si>
    <t>(M-71) Professional, scientific and technical activities - Architectural and engineering activities; technical testing and analysis</t>
  </si>
  <si>
    <t>(M-72) Professional, scientific and technical activities - Scientific research and development</t>
  </si>
  <si>
    <t>(M-73) Professional, scientific and technical activities - Advertising and market research</t>
  </si>
  <si>
    <t>(M-74) Professional, scientific and technical activities - Other professional, scientific and technical activities</t>
  </si>
  <si>
    <t>(M-75) Professional, scientific and technical activities - Veterinary activities</t>
  </si>
  <si>
    <t>(N-77) Administrative and support service activities - Rental and leasing activities</t>
  </si>
  <si>
    <t>(N-78) Administrative and support service activities - Employment activities</t>
  </si>
  <si>
    <t>(N-79) Administrative and support service activities - Travel agency, tour operator, reservation service and related activities</t>
  </si>
  <si>
    <t>(N-80) Administrative and support service activities - Security and investigation activities</t>
  </si>
  <si>
    <t>(N-81) Administrative and support service activities - Services to buildings and landscape activities</t>
  </si>
  <si>
    <t>(N-82) Administrative and support service activities - Office administrative, office support and other business support activities</t>
  </si>
  <si>
    <t>(O-84) Public administration and defence; compulsory social security</t>
  </si>
  <si>
    <t>(P-85) Education</t>
  </si>
  <si>
    <t>(Q-86) Human health and social work activities - Human health activities</t>
  </si>
  <si>
    <t>(Q-87) Human health and social work activities - Residential care activities</t>
  </si>
  <si>
    <t>(Q-88) Human health and social work activities - Social work activities without accommodation</t>
  </si>
  <si>
    <t>(R-90) Arts, entertainment and recreation - Creative, arts and entertainment activities</t>
  </si>
  <si>
    <t>(R-91) Arts, entertainment and recreation - Libraries, archives, museums and other cultural activities</t>
  </si>
  <si>
    <t>(R-92) Arts, entertainment and recreation - Gambling and betting activities</t>
  </si>
  <si>
    <t>(R-93) Arts, entertainment and recreation - Sports activities and amusement and recreation activities</t>
  </si>
  <si>
    <t>(S-94) Other service activities - Activities of membership organizations</t>
  </si>
  <si>
    <t>(S-95) Other service activities - Repair of computers and personal and household goods</t>
  </si>
  <si>
    <t>(S-96) Other service activities - Other personal service activities</t>
  </si>
  <si>
    <t>(T-97) Activities of households as employers; undifferentiated goods- and services-producing activities of households for own use - Activities of households as employers of domestic personnel</t>
  </si>
  <si>
    <t>(T-98) Activities of households as employers; undifferentiated goods- and services-producing activities of households for own use - Undifferentiated goods- and services-producing activities of private households for own use</t>
  </si>
  <si>
    <t>(U-99) Activities of extraterritorial organizations and bodies</t>
  </si>
  <si>
    <t>Organizational Structure Description</t>
  </si>
  <si>
    <t>Description</t>
  </si>
  <si>
    <t>Organizations</t>
  </si>
  <si>
    <t>Drop down</t>
  </si>
  <si>
    <t>Number of Sr. Management (FTEs)</t>
  </si>
  <si>
    <t>Number of Sr. Management Talked To</t>
  </si>
  <si>
    <t>Has this Organizational Unit been in any prior appraisals?</t>
  </si>
  <si>
    <t>No</t>
  </si>
  <si>
    <t>Organization</t>
  </si>
  <si>
    <t>Phase 1: Plan Appraisal</t>
  </si>
  <si>
    <t>Plan Appraisal Start Date</t>
  </si>
  <si>
    <t>Plan Appraisal End Date</t>
  </si>
  <si>
    <t>Readiness Review</t>
  </si>
  <si>
    <t>Readiness Review Name</t>
  </si>
  <si>
    <t>Readiness Review Start Date</t>
  </si>
  <si>
    <t>Readiness Review End Date</t>
  </si>
  <si>
    <t>Phase 2: Conduct Appraisal</t>
  </si>
  <si>
    <t>Conduct Appraisal Start Date</t>
  </si>
  <si>
    <t>Conduct Appraisal End Date</t>
  </si>
  <si>
    <t>Days On Site</t>
  </si>
  <si>
    <t>Phase 3: Report Results</t>
  </si>
  <si>
    <t>Report Results Start Date</t>
  </si>
  <si>
    <t>Report Results End Date</t>
  </si>
  <si>
    <t>Development</t>
  </si>
  <si>
    <t>Maturity Level</t>
  </si>
  <si>
    <t>Maturity Level 2</t>
  </si>
  <si>
    <t>Maturity Level 3</t>
  </si>
  <si>
    <t>Maturity Level 4</t>
  </si>
  <si>
    <t>Maturity Level 5</t>
  </si>
  <si>
    <t>Capability Level</t>
  </si>
  <si>
    <t>x</t>
  </si>
  <si>
    <t>Maturity Level/ Capability Level</t>
  </si>
  <si>
    <t>Model View</t>
  </si>
  <si>
    <t>CMMI Development V2.0 (CMMI-DEV) with SAM</t>
  </si>
  <si>
    <t>CMMI Development V2.0 (CMMI-DEV) without SAM</t>
  </si>
  <si>
    <t>CMMI Services V2.0 (CMMI-SVC) with SAM</t>
  </si>
  <si>
    <t>CMMI Services V2.0 (CMMI-SVC) without SAM</t>
  </si>
  <si>
    <t>CMMI Supplier Management V2.0 (CMMI-SPM)</t>
  </si>
  <si>
    <t>If you are selecting a Model View which excludes one or more Practice Areas, please explain why</t>
  </si>
  <si>
    <t>Personnel</t>
  </si>
  <si>
    <t>Appraisal Role</t>
  </si>
  <si>
    <t>Appraisal Team Member</t>
  </si>
  <si>
    <t>Observer</t>
  </si>
  <si>
    <t>Registered Interpreter</t>
  </si>
  <si>
    <t>OU Coordinator</t>
  </si>
  <si>
    <t>na</t>
  </si>
  <si>
    <t>Organizational Support Functions In Scope</t>
  </si>
  <si>
    <t>Sampling Factor</t>
  </si>
  <si>
    <t>Location</t>
  </si>
  <si>
    <t>Customer</t>
  </si>
  <si>
    <t>Size</t>
  </si>
  <si>
    <t>Organizational Structure</t>
  </si>
  <si>
    <t>Type of Work</t>
  </si>
  <si>
    <t>Other</t>
  </si>
  <si>
    <t>Sampling Factor Name</t>
  </si>
  <si>
    <t>Other Sampling Factor</t>
  </si>
  <si>
    <t>Definition</t>
  </si>
  <si>
    <t>Time Zone</t>
  </si>
  <si>
    <t>Partner</t>
  </si>
  <si>
    <t>Business and Appraisal Objectives</t>
  </si>
  <si>
    <t>ATM Signatures Required</t>
  </si>
  <si>
    <t>Appraisal Delivered Virtually</t>
  </si>
  <si>
    <t>UTC</t>
  </si>
  <si>
    <t>(UTC-12:00) International Date Line West</t>
  </si>
  <si>
    <t>(UTC-11:00) Coordinated Universal Time-11</t>
  </si>
  <si>
    <t>(UTC-10:00) Hawaii</t>
  </si>
  <si>
    <t>(UTC-10:00) Aleutian Islands</t>
  </si>
  <si>
    <t>(UTC-09:30) Marquesas Islands</t>
  </si>
  <si>
    <t>(UTC-09:00) Coordinated Universal Time-09</t>
  </si>
  <si>
    <t>(UTC-09:00) Alaska</t>
  </si>
  <si>
    <t>(UTC-08:00) Pacific Time (US &amp; Canada)</t>
  </si>
  <si>
    <t>(UTC-08:00) Coordinated Universal Time-08</t>
  </si>
  <si>
    <t>(UTC-08:00) Baja California</t>
  </si>
  <si>
    <t>(UTC-07:00) Mountain Time (US &amp; Canada)</t>
  </si>
  <si>
    <t>(UTC-07:00) Chihuahua, La Paz, Mazatlan</t>
  </si>
  <si>
    <t>(UTC-07:00) Arizona</t>
  </si>
  <si>
    <t>(UTC-06:00) Saskatchewan</t>
  </si>
  <si>
    <t>(UTC-06:00) Guadalajara, Mexico City, Monterrey</t>
  </si>
  <si>
    <t>(UTC-06:00) Easter Island</t>
  </si>
  <si>
    <t>(UTC-06:00) Central Time (US &amp; Canada)</t>
  </si>
  <si>
    <t>(UTC-06:00) Central America</t>
  </si>
  <si>
    <t>(UTC-05:00) Turks and Caicos</t>
  </si>
  <si>
    <t>(UTC-05:00) Indiana (East)</t>
  </si>
  <si>
    <t>(UTC-05:00) Havana</t>
  </si>
  <si>
    <t>(UTC-05:00) Haiti</t>
  </si>
  <si>
    <t>(UTC-05:00) Eastern Time (US &amp; Canada)</t>
  </si>
  <si>
    <t>(UTC-05:00) Chetumal</t>
  </si>
  <si>
    <t>(UTC-05:00) Bogota, Lima, Quito, Rio Branco</t>
  </si>
  <si>
    <t>(UTC-04:00) Santiago</t>
  </si>
  <si>
    <t>(UTC-04:00) Georgetown, La Paz, Manaus, San Juan</t>
  </si>
  <si>
    <t>(UTC-04:00) Cuiaba</t>
  </si>
  <si>
    <t>(UTC-04:00) Caracas</t>
  </si>
  <si>
    <t>(UTC-04:00) Atlantic Time (Canada)</t>
  </si>
  <si>
    <t>(UTC-04:00) Asuncion</t>
  </si>
  <si>
    <t>(UTC-03:30) Newfoundland</t>
  </si>
  <si>
    <t>(UTC-03:00) Salvador</t>
  </si>
  <si>
    <t>(UTC-03:00) Saint Pierre and Miquelon</t>
  </si>
  <si>
    <t>(UTC-03:00) Punta Arenas</t>
  </si>
  <si>
    <t>(UTC-03:00) Montevideo</t>
  </si>
  <si>
    <t>(UTC-03:00) Greenland</t>
  </si>
  <si>
    <t>(UTC-03:00) City of Buenos Aires</t>
  </si>
  <si>
    <t>(UTC-03:00) Cayenne, Fortaleza</t>
  </si>
  <si>
    <t>(UTC-03:00) Brasilia</t>
  </si>
  <si>
    <t>(UTC-03:00) Araguaina</t>
  </si>
  <si>
    <t>(UTC-02:00) Mid-Atlantic - Old</t>
  </si>
  <si>
    <t>(UTC-02:00) Coordinated Universal Time-02</t>
  </si>
  <si>
    <t>(UTC-01:00) Cabo Verde Is.</t>
  </si>
  <si>
    <t>(UTC-01:00) Azores</t>
  </si>
  <si>
    <t>(UTC+14:00) Kiritimati Island</t>
  </si>
  <si>
    <t>(UTC+13:00) Samoa</t>
  </si>
  <si>
    <t>(UTC+13:00) Nuku'alofa</t>
  </si>
  <si>
    <t>(UTC+13:00) Coordinated Universal Time+13</t>
  </si>
  <si>
    <t>(UTC+12:45) Chatham Islands</t>
  </si>
  <si>
    <t>(UTC+12:00) Petropavlovsk-Kamchatsky - Old</t>
  </si>
  <si>
    <t>(UTC+12:00) Fiji</t>
  </si>
  <si>
    <t>(UTC+12:00) Coordinated Universal Time+12</t>
  </si>
  <si>
    <t>(UTC+12:00) Auckland, Wellington</t>
  </si>
  <si>
    <t>(UTC+12:00) Anadyr, Petropavlovsk-Kamchatsky</t>
  </si>
  <si>
    <t>(UTC+11:00) Solomon Is., New Caledonia</t>
  </si>
  <si>
    <t>(UTC+11:00) Sakhalin</t>
  </si>
  <si>
    <t>(UTC+11:00) Norfolk Island</t>
  </si>
  <si>
    <t>(UTC+11:00) Magadan</t>
  </si>
  <si>
    <t>(UTC+11:00) Chokurdakh</t>
  </si>
  <si>
    <t>(UTC+11:00) Bougainville Island</t>
  </si>
  <si>
    <t>(UTC+10:30) Lord Howe Island</t>
  </si>
  <si>
    <t>(UTC+10:00) Vladivostok</t>
  </si>
  <si>
    <t>(UTC+10:00) Hobart</t>
  </si>
  <si>
    <t>(UTC+10:00) Guam, Port Moresby</t>
  </si>
  <si>
    <t>(UTC+10:00) Canberra, Melbourne, Sydney</t>
  </si>
  <si>
    <t>(UTC+10:00) Brisbane</t>
  </si>
  <si>
    <t>(UTC+09:30) Darwin</t>
  </si>
  <si>
    <t>(UTC+09:30) Adelaide</t>
  </si>
  <si>
    <t>(UTC+09:00) Yakutsk</t>
  </si>
  <si>
    <t>(UTC+09:00) Seoul</t>
  </si>
  <si>
    <t>(UTC+09:00) Pyongyang</t>
  </si>
  <si>
    <t>(UTC+09:00) Osaka, Sapporo, Tokyo</t>
  </si>
  <si>
    <t>(UTC+09:00) Chita</t>
  </si>
  <si>
    <t>(UTC+08:45) Eucla</t>
  </si>
  <si>
    <t>(UTC+08:00) Ulaanbaatar</t>
  </si>
  <si>
    <t>(UTC+08:00) Taipei</t>
  </si>
  <si>
    <t>(UTC+08:00) Perth</t>
  </si>
  <si>
    <t>(UTC+08:00) Kuala Lumpur, Singapore</t>
  </si>
  <si>
    <t>(UTC+08:00) Irkutsk</t>
  </si>
  <si>
    <t>(UTC+08:00) Beijing, Chongqing, Hong Kong, Urumqi</t>
  </si>
  <si>
    <t>(UTC+07:00) Tomsk</t>
  </si>
  <si>
    <t>(UTC+07:00) Novosibirsk</t>
  </si>
  <si>
    <t>(UTC+07:00) Krasnoyarsk</t>
  </si>
  <si>
    <t>(UTC+07:00) Hovd</t>
  </si>
  <si>
    <t>(UTC+07:00) Barnaul, Gorno-Altaysk</t>
  </si>
  <si>
    <t>(UTC+07:00) Bangkok, Hanoi, Jakarta</t>
  </si>
  <si>
    <t>(UTC+06:30) Yangon (Rangoon)</t>
  </si>
  <si>
    <t>(UTC+06:00) Omsk</t>
  </si>
  <si>
    <t>(UTC+06:00) Dhaka</t>
  </si>
  <si>
    <t>(UTC+06:00) Astana</t>
  </si>
  <si>
    <t>(UTC+05:45) Kathmandu</t>
  </si>
  <si>
    <t>(UTC+05:30) Sri Jayawardenepura</t>
  </si>
  <si>
    <t>(UTC+05:30) Chennai, Kolkata, Mumbai, New Delhi</t>
  </si>
  <si>
    <t>(UTC+05:00) Qyzylorda</t>
  </si>
  <si>
    <t>(UTC+05:00) Islamabad, Karachi</t>
  </si>
  <si>
    <t>(UTC+05:00) Ekaterinburg</t>
  </si>
  <si>
    <t>(UTC+05:00) Ashgabat, Tashkent</t>
  </si>
  <si>
    <t>(UTC+04:30) Kabul</t>
  </si>
  <si>
    <t>(UTC+04:00) Yerevan</t>
  </si>
  <si>
    <t>(UTC+04:00) Volgograd</t>
  </si>
  <si>
    <t>(UTC+04:00) Tbilisi</t>
  </si>
  <si>
    <t>(UTC+04:00) Saratov</t>
  </si>
  <si>
    <t>(UTC+04:00) Port Louis</t>
  </si>
  <si>
    <t>(UTC+04:00) Izhevsk, Samara</t>
  </si>
  <si>
    <t>(UTC+04:00) Baku</t>
  </si>
  <si>
    <t>(UTC+04:00) Astrakhan, Ulyanovsk</t>
  </si>
  <si>
    <t>(UTC+04:00) Abu Dhabi, Muscat</t>
  </si>
  <si>
    <t>(UTC+03:30) Tehran</t>
  </si>
  <si>
    <t>(UTC+03:00) Nairobi</t>
  </si>
  <si>
    <t>(UTC+03:00) Moscow, St. Petersburg</t>
  </si>
  <si>
    <t>(UTC+03:00) Minsk</t>
  </si>
  <si>
    <t>(UTC+03:00) Kuwait, Riyadh</t>
  </si>
  <si>
    <t>(UTC+03:00) Istanbul</t>
  </si>
  <si>
    <t>(UTC+03:00) Baghdad</t>
  </si>
  <si>
    <t>(UTC+02:00) Windhoek</t>
  </si>
  <si>
    <t>(UTC+02:00) Tripoli</t>
  </si>
  <si>
    <t>(UTC+02:00) Khartoum</t>
  </si>
  <si>
    <t>(UTC+02:00) Kaliningrad</t>
  </si>
  <si>
    <t>(UTC+02:00) Jerusalem</t>
  </si>
  <si>
    <t>(UTC+02:00) Helsinki, Kyiv, Riga, Sofia, Tallinn, Vilnius</t>
  </si>
  <si>
    <t>(UTC+02:00) Harare, Pretoria</t>
  </si>
  <si>
    <t>(UTC+02:00) Gaza, Hebron</t>
  </si>
  <si>
    <t>(UTC+02:00) Damascus</t>
  </si>
  <si>
    <t>(UTC+02:00) Chisinau</t>
  </si>
  <si>
    <t>(UTC+02:00) Cairo</t>
  </si>
  <si>
    <t>(UTC+02:00) Beirut</t>
  </si>
  <si>
    <t>(UTC+02:00) Athens, Bucharest</t>
  </si>
  <si>
    <t>(UTC+02:00) Amman</t>
  </si>
  <si>
    <t>(UTC+01:00) West Central Africa</t>
  </si>
  <si>
    <t>(UTC+01:00) Sarajevo, Skopje, Warsaw, Zagreb</t>
  </si>
  <si>
    <t>(UTC+01:00) Casablanca</t>
  </si>
  <si>
    <t>(UTC+01:00) Brussels, Copenhagen, Madrid, Paris</t>
  </si>
  <si>
    <t>(UTC+01:00) Belgrade, Bratislava, Budapest, Ljubljana, Prague</t>
  </si>
  <si>
    <t>(UTC+01:00) Amsterdam, Berlin, Bern, Rome, Stockholm, Vienna</t>
  </si>
  <si>
    <t>(UTC+00:00) Sao Tome</t>
  </si>
  <si>
    <t>(UTC+00:00) Monrovia, Reykjavik</t>
  </si>
  <si>
    <t>(UTC+00:00) Dublin, Edinburgh, Lisbon, London</t>
  </si>
  <si>
    <t>Appraisal Type</t>
  </si>
  <si>
    <t>Benchmark</t>
  </si>
  <si>
    <t>Sustainment</t>
  </si>
  <si>
    <t>Evaluation</t>
  </si>
  <si>
    <t>Phase1: Plan Appraisal - Random Generated Sample</t>
  </si>
  <si>
    <t>Additional Information</t>
  </si>
  <si>
    <t>Description of output delivery</t>
  </si>
  <si>
    <t>Owner</t>
  </si>
  <si>
    <t>Final findings - Sponsor</t>
  </si>
  <si>
    <t>Controls or Restrictions On Use</t>
  </si>
  <si>
    <t>For the sponsor to decide.</t>
  </si>
  <si>
    <t>Sponsor</t>
  </si>
  <si>
    <t>Business Objective Title</t>
  </si>
  <si>
    <t>Business Objective Description</t>
  </si>
  <si>
    <t>Type of work</t>
  </si>
  <si>
    <t>QPPO Target Measurement/KPI</t>
  </si>
  <si>
    <t>QPPO Actual Measurement/KPI</t>
  </si>
  <si>
    <t>Tracking Interval</t>
  </si>
  <si>
    <t>QPPO Met</t>
  </si>
  <si>
    <t>PPB Description</t>
  </si>
  <si>
    <t>PPM Description</t>
  </si>
  <si>
    <t>COPY AND REPEAT ABOVE FOR ADDITIONAL</t>
  </si>
  <si>
    <t>Optional Output</t>
  </si>
  <si>
    <t>Other Optional Output</t>
  </si>
  <si>
    <t>Collection Approach</t>
  </si>
  <si>
    <t>Discovery</t>
  </si>
  <si>
    <t>Managed Discovery</t>
  </si>
  <si>
    <t>Verification</t>
  </si>
  <si>
    <t>Collection Technique</t>
  </si>
  <si>
    <t>Other Technique</t>
  </si>
  <si>
    <t>Demonstration</t>
  </si>
  <si>
    <t>OE Database</t>
  </si>
  <si>
    <t>Data Call</t>
  </si>
  <si>
    <t>Interview</t>
  </si>
  <si>
    <t>Presentation</t>
  </si>
  <si>
    <t>Written</t>
  </si>
  <si>
    <t>OE Type</t>
  </si>
  <si>
    <t>Artifacts and Affirmations</t>
  </si>
  <si>
    <t>The team members will review the OE Database beforehand, from there creating the questions and during the appraisal use affirmations to corroborate the evidence with the affirmations.</t>
  </si>
  <si>
    <t>Yes</t>
  </si>
  <si>
    <t>Responsible Entity</t>
  </si>
  <si>
    <t>Consultants</t>
  </si>
  <si>
    <t>Project Team Members</t>
  </si>
  <si>
    <t>ATL</t>
  </si>
  <si>
    <t>OU</t>
  </si>
  <si>
    <t>Other Entity</t>
  </si>
  <si>
    <t>EPG member</t>
  </si>
  <si>
    <t>Other Approach</t>
  </si>
  <si>
    <t>Summary</t>
  </si>
  <si>
    <t>Name of timeline milestones</t>
  </si>
  <si>
    <t>Date that OE collection is completed</t>
  </si>
  <si>
    <t>List of participants in the OE collection activities</t>
  </si>
  <si>
    <t>Opening briefing</t>
  </si>
  <si>
    <t>Logistical requirement</t>
  </si>
  <si>
    <t>Description of the location(s) within the OU where appraisal activities will take place</t>
  </si>
  <si>
    <t>Accommodations and travel support for ATMs, as needed</t>
  </si>
  <si>
    <t>Meals, snacks, beverages, etc. for the appraisal team and participants</t>
  </si>
  <si>
    <t>Equipment and material requirements for ATMs.</t>
  </si>
  <si>
    <t>Logistical requirement Equipment</t>
  </si>
  <si>
    <t>Access to the storage of OE on the OU network</t>
  </si>
  <si>
    <t>Appropriate computer equipment for the appraisal team to use throughout the appraisal</t>
  </si>
  <si>
    <t>Required tools and software</t>
  </si>
  <si>
    <t>Security and access needs (e.g., badges, escorts, etc.)</t>
  </si>
  <si>
    <t>A room or rooms that can be used for performing interviews and delivering presentations</t>
  </si>
  <si>
    <t>Appropriate telecommunications equipment and rooms to accommodate interviews conducted using virtual techniques</t>
  </si>
  <si>
    <t>A facility with a projector available for performing the opening presentation findings briefings</t>
  </si>
  <si>
    <t>Access to a copier</t>
  </si>
  <si>
    <t>Access to a printer that can be used to print potentially appraisal-confidential information</t>
  </si>
  <si>
    <t>Office supplies (e.g., self-sticking flip chart paper, notepads or other paper, white board pens, magic markers, writing pens)</t>
  </si>
  <si>
    <t>Projector(s) for use throughout the appraisal, as needed</t>
  </si>
  <si>
    <t>Document storage boxes (if necessary)</t>
  </si>
  <si>
    <t>A mechanism for use by the appraisal team to securely dispose of notes and intermediate work products to protect confidentiality and non-attribution.</t>
  </si>
  <si>
    <t>Other logistical requirement</t>
  </si>
  <si>
    <t>Description of the requirement</t>
  </si>
  <si>
    <t>Role responsible for requirement</t>
  </si>
  <si>
    <t>No travel is required, the appraisal is conducted using virtual methods.</t>
  </si>
  <si>
    <t>Lunch is scheduled during on-site and each participant is responsible for their own.</t>
  </si>
  <si>
    <t>Constraint</t>
  </si>
  <si>
    <t>Duration</t>
  </si>
  <si>
    <t>Funding</t>
  </si>
  <si>
    <t>Schedule Constraints</t>
  </si>
  <si>
    <t>Security and Information Management</t>
  </si>
  <si>
    <t>Specific Sample Size</t>
  </si>
  <si>
    <t>Staffing</t>
  </si>
  <si>
    <t>Constraints</t>
  </si>
  <si>
    <t>Other Constraint</t>
  </si>
  <si>
    <t>Constraint Description</t>
  </si>
  <si>
    <t>Risk Category</t>
  </si>
  <si>
    <t>Logistics</t>
  </si>
  <si>
    <t>Facilities</t>
  </si>
  <si>
    <t>Schedule</t>
  </si>
  <si>
    <t>Cost</t>
  </si>
  <si>
    <t>Data</t>
  </si>
  <si>
    <t>Other Risk Category Name</t>
  </si>
  <si>
    <t>Risk Description</t>
  </si>
  <si>
    <t>Risk Impact</t>
  </si>
  <si>
    <t>Risk Mitigation</t>
  </si>
  <si>
    <t>Risk Status</t>
  </si>
  <si>
    <t xml:space="preserve">One of the appraisal team members may become ill or unavailable during the appraisal. </t>
  </si>
  <si>
    <t>Low</t>
  </si>
  <si>
    <t>1) Excluding the LA, plan for 4+ ATMs.
2) LA will work as an ATM if required.
3) Setup the schedule so that all appraisal team members are in all affirmation interviews.</t>
  </si>
  <si>
    <t>Closed</t>
  </si>
  <si>
    <t>High</t>
  </si>
  <si>
    <t>Conflict of Interest</t>
  </si>
  <si>
    <t>COI</t>
  </si>
  <si>
    <t>Team member authors one or more processes</t>
  </si>
  <si>
    <t>Team member is a process owner</t>
  </si>
  <si>
    <t>Team member has a supervisory authority over one or more parts of the OU</t>
  </si>
  <si>
    <t>Team member has served on previous appraisals in the same OU</t>
  </si>
  <si>
    <t>Team member has been interviewed or provided evidence</t>
  </si>
  <si>
    <t>Team member is involved in process or product quality audits</t>
  </si>
  <si>
    <t>Team member provided coaching, consulting, or labor for the OU in support of this appraisal</t>
  </si>
  <si>
    <t>Team member is internal to the organization being appraised</t>
  </si>
  <si>
    <t>Translator is an ATM</t>
  </si>
  <si>
    <t>Translator works for appraised organization</t>
  </si>
  <si>
    <t>Translator works within the OU</t>
  </si>
  <si>
    <t>Translator works for a consulting company that has supported the OU with process development or implementation</t>
  </si>
  <si>
    <t>Appraisal Team Leader is internal to the OU (only applies to Evaluation appraisals)</t>
  </si>
  <si>
    <t>Team member is a member of the organization's process group</t>
  </si>
  <si>
    <t>Other Conflict of Interest</t>
  </si>
  <si>
    <t>Impact</t>
  </si>
  <si>
    <t>Management Strategy</t>
  </si>
  <si>
    <t>Status</t>
  </si>
  <si>
    <t>Follow-on Activity</t>
  </si>
  <si>
    <t>Executive Session</t>
  </si>
  <si>
    <t>Lessons Learned</t>
  </si>
  <si>
    <t>Process Improvement Action Plan</t>
  </si>
  <si>
    <t>Recommendation Report</t>
  </si>
  <si>
    <t>Other Follow-on Activity</t>
  </si>
  <si>
    <t>Follow-on Activity Description</t>
  </si>
  <si>
    <t>After the final findings, the Appraisal Team will discuss the lessons learned.</t>
  </si>
  <si>
    <t>SPS short name</t>
  </si>
  <si>
    <t>Long name</t>
  </si>
  <si>
    <t>SPS directory (suggested)</t>
  </si>
  <si>
    <t>SPS directory (actual)</t>
  </si>
  <si>
    <t>Sampling Factor Values</t>
  </si>
  <si>
    <t>Appraisal Name</t>
  </si>
  <si>
    <t>Info from Agreement 3</t>
  </si>
  <si>
    <t>&lt;&lt; NOTE EXCLUDE FINANCIALS AT THE BOTTOM</t>
  </si>
  <si>
    <t>&gt;&gt; Onsite start</t>
  </si>
  <si>
    <t>First review</t>
  </si>
  <si>
    <t>Second review</t>
  </si>
  <si>
    <t>No projects excluded</t>
  </si>
  <si>
    <t>Enter Appraisal Number(s)</t>
  </si>
  <si>
    <t>SAM since all software is developed inhouse.</t>
  </si>
  <si>
    <t>Old request nubmer</t>
  </si>
  <si>
    <t>Reporting Relationship</t>
  </si>
  <si>
    <t>Individual reports to another team member</t>
  </si>
  <si>
    <t>Individual reports to management within the OU</t>
  </si>
  <si>
    <t>Individual reports to any org support functions or in-scope projects within the OU</t>
  </si>
  <si>
    <t>Individual is employed by the org helping the OU develop, deploy, or provide consulting for processes</t>
  </si>
  <si>
    <t>Individual is employed by the ATL's organization</t>
  </si>
  <si>
    <t>1. * Is the entire appraisal being performed virtually?</t>
  </si>
  <si>
    <t>Internal</t>
  </si>
  <si>
    <t>Final findings with OSF-level Practice Characterization Worksheets - Sponsor</t>
  </si>
  <si>
    <t>Final findings with Project and OSF-level Rating Worksheets - Sponsor</t>
  </si>
  <si>
    <t>Distributed to sponsor and all participants.</t>
  </si>
  <si>
    <t>Process engineering group members to populate the OE.</t>
  </si>
  <si>
    <t>Version 1 of OE database</t>
  </si>
  <si>
    <t>ATL, ATMs and EPG members.</t>
  </si>
  <si>
    <t>Version 2 of OE database</t>
  </si>
  <si>
    <t>None.</t>
  </si>
  <si>
    <t>Objectives</t>
  </si>
  <si>
    <t>Success Criteria</t>
  </si>
  <si>
    <t>Required Members</t>
  </si>
  <si>
    <t>Outcomes</t>
  </si>
  <si>
    <t>Further Details</t>
  </si>
  <si>
    <t>Characterized Objective Evidence</t>
  </si>
  <si>
    <t>EPG/MA</t>
  </si>
  <si>
    <t>CM</t>
  </si>
  <si>
    <t>PPQA</t>
  </si>
  <si>
    <t>OT</t>
  </si>
  <si>
    <t>Opening presentation</t>
  </si>
  <si>
    <t>Preliminary findings</t>
  </si>
  <si>
    <t>Final findings</t>
  </si>
  <si>
    <t>Confidential site meeting rooms with virtual delivery facilities, such as a laptop with a camera and speakers, will be made available by the organisation.</t>
  </si>
  <si>
    <t>ATL and Site coordinator.</t>
  </si>
  <si>
    <t>Each appraisal team member brings their own laptop.</t>
  </si>
  <si>
    <t>ATMs and ATL.</t>
  </si>
  <si>
    <t>The appraisal needs to be completed by middle November 2020.</t>
  </si>
  <si>
    <t>Demix information</t>
  </si>
  <si>
    <t>Appraisal Setup</t>
  </si>
  <si>
    <t>Appraisal Name and Type</t>
  </si>
  <si>
    <t>CAS appraisal ID</t>
  </si>
  <si>
    <t>Organizational Info</t>
  </si>
  <si>
    <t>Organizational Units (OU)</t>
  </si>
  <si>
    <t>Timeline and Scheduling</t>
  </si>
  <si>
    <t>Appraisal Timeline</t>
  </si>
  <si>
    <t>Appraisal Scope</t>
  </si>
  <si>
    <t>Target Level</t>
  </si>
  <si>
    <t>Target Level Details</t>
  </si>
  <si>
    <t>DO IN CAS</t>
  </si>
  <si>
    <t>Appraisal Personnel</t>
  </si>
  <si>
    <t>Appraisal Sponsor</t>
  </si>
  <si>
    <t>Create Appraisal Team</t>
  </si>
  <si>
    <t>ATM Training Schedule</t>
  </si>
  <si>
    <t>Team Member Experience and Responsibilities</t>
  </si>
  <si>
    <t>Do directly in CAS - Take from 01_CMMIv2ATMinfo</t>
  </si>
  <si>
    <t>Appraisal Sponsor Role and Responsibilities</t>
  </si>
  <si>
    <t>OU Appraisal Participants</t>
  </si>
  <si>
    <t>Participant Responsibilities</t>
  </si>
  <si>
    <t>Projects</t>
  </si>
  <si>
    <t>OU Sample Eligible Projects</t>
  </si>
  <si>
    <t>Sampling Factors</t>
  </si>
  <si>
    <t>Project Subgroups</t>
  </si>
  <si>
    <t>Project Subgroup Assignment</t>
  </si>
  <si>
    <t>Targets and Scope</t>
  </si>
  <si>
    <t>Organizational Support Function PA Exceptions</t>
  </si>
  <si>
    <t>OU Project PA Exceptions</t>
  </si>
  <si>
    <t>Project to Include in Random Sample</t>
  </si>
  <si>
    <t>Appraisal Outputs</t>
  </si>
  <si>
    <t>Required Outputs</t>
  </si>
  <si>
    <t>Performance Report Output</t>
  </si>
  <si>
    <t>Final Findings</t>
  </si>
  <si>
    <t>Sampled Project and OSF-level Practice Characterization Worksheets</t>
  </si>
  <si>
    <t>Sampled Project and OSF-level Ratings Worksheets</t>
  </si>
  <si>
    <t>Follow up actions</t>
  </si>
  <si>
    <t>Immediately follow-up actions after the final findings are presented.</t>
  </si>
  <si>
    <t>Optional Appraisal Outputs</t>
  </si>
  <si>
    <t>OE Collection Plan</t>
  </si>
  <si>
    <t>OE Collection Approach</t>
  </si>
  <si>
    <t xml:space="preserve">More than 90% of evidence will be provided in an OE database document, which will subsequently be used for verification with 10% or less in managed discovery mode. </t>
  </si>
  <si>
    <t>OE Collection Techniques</t>
  </si>
  <si>
    <t>Responsibility for Collection</t>
  </si>
  <si>
    <t>Performance Report Collection Approach</t>
  </si>
  <si>
    <t>Summary of Initial OE</t>
  </si>
  <si>
    <t>Data Collection Timing</t>
  </si>
  <si>
    <t>Readiness Reviews</t>
  </si>
  <si>
    <t>Logistics and Constraints</t>
  </si>
  <si>
    <t>Resource Effort Estimate</t>
  </si>
  <si>
    <t>Logistical Requirements</t>
  </si>
  <si>
    <t>Appraisal Constraints</t>
  </si>
  <si>
    <t>Risk Identification and Management</t>
  </si>
  <si>
    <t>COI Identification and Management</t>
  </si>
  <si>
    <t>Optional Follow-on Activities</t>
  </si>
  <si>
    <t>Confidentiality and Non-Attribution</t>
  </si>
  <si>
    <t>Readiness Documents</t>
  </si>
  <si>
    <t>Appraisal Plan Summary and Signature</t>
  </si>
  <si>
    <t>Supporting Document Upload</t>
  </si>
  <si>
    <t>Virtual Technique Description</t>
  </si>
  <si>
    <t>2. Is any part of the appraisal being performed virtually?</t>
  </si>
  <si>
    <t>3. * Virtual Technique Description</t>
  </si>
  <si>
    <t>PULLED FROM LATER PLANNING INFO</t>
  </si>
  <si>
    <t>All development projects</t>
  </si>
  <si>
    <t>Value</t>
  </si>
  <si>
    <t>All projects</t>
  </si>
  <si>
    <t>Abbreviation</t>
  </si>
  <si>
    <t>AP</t>
  </si>
  <si>
    <t>Check box</t>
  </si>
  <si>
    <t>[x] All projects</t>
  </si>
  <si>
    <t>Assign All Projects (AP) to each project</t>
  </si>
  <si>
    <t>Justification</t>
  </si>
  <si>
    <t>The process is performed by this support function.</t>
  </si>
  <si>
    <t>HR</t>
  </si>
  <si>
    <t>PQA</t>
  </si>
  <si>
    <t>For all projects</t>
  </si>
  <si>
    <t>Select from 02_Plan:Projects Info</t>
  </si>
  <si>
    <t>Sample Scope</t>
  </si>
  <si>
    <t>Random Sample Creation</t>
  </si>
  <si>
    <t xml:space="preserve">
Project Substitution</t>
  </si>
  <si>
    <t>Random Sample Acceptance</t>
  </si>
  <si>
    <t>Sample Addition</t>
  </si>
  <si>
    <t>Sampled Project Details</t>
  </si>
  <si>
    <t>Pieter van Zyl</t>
  </si>
  <si>
    <t>Made by</t>
  </si>
  <si>
    <t>Version</t>
  </si>
  <si>
    <t>Date</t>
  </si>
  <si>
    <t>Appraisal Name (actual)</t>
  </si>
  <si>
    <t>Appraisal Name (suggested)</t>
  </si>
  <si>
    <t>Version history table added</t>
  </si>
  <si>
    <t>Source</t>
  </si>
  <si>
    <t>Organization name (legal entity name)</t>
  </si>
  <si>
    <t>Chinese name</t>
  </si>
  <si>
    <t>Organization main address including City, ZIP/Postal Code, and Country</t>
  </si>
  <si>
    <t>Website address / URL</t>
  </si>
  <si>
    <t>Business objectives</t>
  </si>
  <si>
    <t>OU Information</t>
  </si>
  <si>
    <t xml:space="preserve">OU Name </t>
  </si>
  <si>
    <t>OU Name  (Chinese)</t>
  </si>
  <si>
    <t>OU Description</t>
  </si>
  <si>
    <t>OU Structure (write, no picture)</t>
  </si>
  <si>
    <t>Domain</t>
  </si>
  <si>
    <t>Previous appraisal ID</t>
  </si>
  <si>
    <t>Appraisal Sponsor and ATL Information</t>
  </si>
  <si>
    <t>Title</t>
  </si>
  <si>
    <t>Sponsor Name</t>
  </si>
  <si>
    <t>Organizational affiliation</t>
  </si>
  <si>
    <t>Appraisal Sponsor mailing address including city, ZIP/Postal Code, country</t>
  </si>
  <si>
    <t>Sponsor email address</t>
  </si>
  <si>
    <t>Sponsor phone number</t>
  </si>
  <si>
    <t>Relationship to the OU being appraised</t>
  </si>
  <si>
    <t>Phone number</t>
  </si>
  <si>
    <t>Email address</t>
  </si>
  <si>
    <t>Virtual methods</t>
  </si>
  <si>
    <t>Technology test</t>
  </si>
  <si>
    <t>Phase 2 start</t>
  </si>
  <si>
    <t>Non working days</t>
  </si>
  <si>
    <t>Phase 2 opening meeting</t>
  </si>
  <si>
    <t>Phase 2 end date</t>
  </si>
  <si>
    <t>WorkID</t>
  </si>
  <si>
    <t>Lifecyle</t>
  </si>
  <si>
    <t>PI</t>
  </si>
  <si>
    <t>TS</t>
  </si>
  <si>
    <t>PR</t>
  </si>
  <si>
    <t>RDM</t>
  </si>
  <si>
    <t>VV</t>
  </si>
  <si>
    <t>MPM</t>
  </si>
  <si>
    <t>PAD</t>
  </si>
  <si>
    <t>PCM</t>
  </si>
  <si>
    <t>RSK</t>
  </si>
  <si>
    <t>EST</t>
  </si>
  <si>
    <t>MC</t>
  </si>
  <si>
    <t>PLAN</t>
  </si>
  <si>
    <t>CAR</t>
  </si>
  <si>
    <t>DAR</t>
  </si>
  <si>
    <t>SAM</t>
  </si>
  <si>
    <t>p1</t>
  </si>
  <si>
    <t>p2</t>
  </si>
  <si>
    <t>p3</t>
  </si>
  <si>
    <t>p4</t>
  </si>
  <si>
    <t xml:space="preserve"> </t>
  </si>
  <si>
    <t>s1</t>
  </si>
  <si>
    <t>s2</t>
  </si>
  <si>
    <t>s3</t>
  </si>
  <si>
    <t>s4</t>
  </si>
  <si>
    <t>Work name</t>
  </si>
  <si>
    <t>Role</t>
  </si>
  <si>
    <t>Function/OU Name</t>
  </si>
  <si>
    <t>GOV</t>
  </si>
  <si>
    <t>II</t>
  </si>
  <si>
    <t>Analyst</t>
  </si>
  <si>
    <t>Designer</t>
  </si>
  <si>
    <t>PM</t>
  </si>
  <si>
    <t>Count of WorkID</t>
  </si>
  <si>
    <t>Column Labels</t>
  </si>
  <si>
    <t>Row Labels</t>
  </si>
  <si>
    <t>(blank)</t>
  </si>
  <si>
    <t>Grand Total</t>
  </si>
  <si>
    <t>Practice Area</t>
  </si>
  <si>
    <t>PA</t>
  </si>
  <si>
    <t>Participant Name</t>
  </si>
  <si>
    <t>WordID2</t>
  </si>
  <si>
    <t>Included</t>
  </si>
  <si>
    <t>Count of PA</t>
  </si>
  <si>
    <t>PA count</t>
  </si>
  <si>
    <t>Phase 2 on-site dates below</t>
  </si>
  <si>
    <t>Day</t>
  </si>
  <si>
    <t>Day 1</t>
  </si>
  <si>
    <t>to Day</t>
  </si>
  <si>
    <t>From - To
GMT+8</t>
  </si>
  <si>
    <t>From - To
GMT+2</t>
  </si>
  <si>
    <t>Review OE</t>
  </si>
  <si>
    <t>LA review OE</t>
  </si>
  <si>
    <t>Mini team 1</t>
  </si>
  <si>
    <t>Teams Review PIIDs</t>
  </si>
  <si>
    <t>Oversight and support</t>
  </si>
  <si>
    <t>Lunch</t>
  </si>
  <si>
    <t>Consolidation</t>
  </si>
  <si>
    <t>Optional - Time allocation in case of virtual service disruptions</t>
  </si>
  <si>
    <t>Interview data consolidation, basic unit characterisation and further planning.</t>
  </si>
  <si>
    <t>Follow-up &amp; informal interviews as needed</t>
  </si>
  <si>
    <t>Conclude ratings</t>
  </si>
  <si>
    <t>Print ADS and Final Findings Presentation.
Obtain Sponsor, ATM and LA approvals. 
Obtain ATM approval on Final Findings
 - Zoom ID: 874 8430 6019 Password: 0011</t>
  </si>
  <si>
    <t>Team debriefing, collect lessons learned, evaluate virtual delivery services, and provide feedback to CMMI Institute</t>
  </si>
  <si>
    <t>Count of Work name</t>
  </si>
  <si>
    <t>PracticeCount</t>
  </si>
  <si>
    <t>Refresh pivot</t>
  </si>
  <si>
    <t>Control</t>
  </si>
  <si>
    <t>Agreement 3</t>
  </si>
  <si>
    <t>StartupInfo</t>
  </si>
  <si>
    <t>Support</t>
  </si>
  <si>
    <t>Schedule2</t>
  </si>
  <si>
    <t>Schedule4</t>
  </si>
  <si>
    <t>P1PA-SS</t>
  </si>
  <si>
    <t>P1PA-RSG</t>
  </si>
  <si>
    <t>P1PA-R</t>
  </si>
  <si>
    <t>Tables</t>
  </si>
  <si>
    <t>Number of sheets</t>
  </si>
  <si>
    <t>MOVE TO STARTUP</t>
  </si>
  <si>
    <t>Additionl schedule infor</t>
  </si>
  <si>
    <t>Planning</t>
  </si>
  <si>
    <t>1st RR OE provided 30%</t>
  </si>
  <si>
    <t>2nd RR OE provided 90%</t>
  </si>
  <si>
    <t>Business objectives and appraisal objectives</t>
  </si>
  <si>
    <t>Initial requirements</t>
  </si>
  <si>
    <t>Combine 01 and 02 plan in one. Merge tables . Move address sections into StartupInfo</t>
  </si>
  <si>
    <t>All staff</t>
  </si>
  <si>
    <t>ATL, ATMs and EPG member: A revised list based on a review of OE database version 1.</t>
  </si>
  <si>
    <t>- 90% of OE linked in OE Database against sampled projects.
- Participants invited
- Risks mitigated
- Outstanding items identified</t>
  </si>
  <si>
    <t>Consultant</t>
  </si>
  <si>
    <t>CPOC</t>
  </si>
  <si>
    <t>Relationship to OU</t>
  </si>
  <si>
    <t>ATL Name</t>
  </si>
  <si>
    <t>OU name</t>
  </si>
  <si>
    <t>OU description</t>
  </si>
  <si>
    <t>OU locations</t>
  </si>
  <si>
    <t>Appraisal sponsor</t>
  </si>
  <si>
    <t>LA ID#</t>
  </si>
  <si>
    <t>Home organisation</t>
  </si>
  <si>
    <t>Sponsor organisation</t>
  </si>
  <si>
    <t>ATL name</t>
  </si>
  <si>
    <t>ATM name</t>
  </si>
  <si>
    <t>OUC name</t>
  </si>
  <si>
    <t>Enter Doc Review days</t>
  </si>
  <si>
    <t>Company logo</t>
  </si>
  <si>
    <t>[1] Sponsor Meeting</t>
  </si>
  <si>
    <t>[2] Opening Meeting</t>
  </si>
  <si>
    <t>[3] Project Management</t>
  </si>
  <si>
    <t>[4] Engineering</t>
  </si>
  <si>
    <t>[5] Configuration Management</t>
  </si>
  <si>
    <t>[6] Process Management</t>
  </si>
  <si>
    <t>[7] Organisational Training</t>
  </si>
  <si>
    <t>[8] Process quality assurance</t>
  </si>
  <si>
    <t>[9] Senior Management</t>
  </si>
  <si>
    <t>[10] Preliminary findings presentation 1</t>
  </si>
  <si>
    <t>[11] Preliminary findings presentation 2</t>
  </si>
  <si>
    <t>[12] Final findings presentaiton</t>
  </si>
  <si>
    <t>[8] Process Quality Assurance</t>
  </si>
  <si>
    <t>Standard</t>
  </si>
  <si>
    <t>Updated the macros</t>
  </si>
  <si>
    <t>A3</t>
  </si>
  <si>
    <t>.</t>
  </si>
  <si>
    <t>Staff</t>
  </si>
  <si>
    <t>A3/Planning</t>
  </si>
  <si>
    <t xml:space="preserve">1st RR performed </t>
  </si>
  <si>
    <t>2nd RR performed</t>
  </si>
  <si>
    <t>Participant projects</t>
  </si>
  <si>
    <t>Participant Practice Areas</t>
  </si>
  <si>
    <t>Added OU location formula</t>
  </si>
  <si>
    <t>Document review days</t>
  </si>
  <si>
    <t>External</t>
  </si>
  <si>
    <t>Organizational Affiliation</t>
  </si>
  <si>
    <t>OU Relationship</t>
  </si>
  <si>
    <t>Other Reporting Relationship</t>
  </si>
  <si>
    <t>Reports directly to the ATL</t>
  </si>
  <si>
    <t>Demix appraisal start-up information</t>
  </si>
  <si>
    <t>OU Coordinator name</t>
  </si>
  <si>
    <t>Staff list</t>
  </si>
  <si>
    <t>ATM</t>
  </si>
  <si>
    <t>email</t>
  </si>
  <si>
    <t>Causal Analysis and Resolution (CAR)</t>
  </si>
  <si>
    <t>Decision Analysis and Resolution (DAR)</t>
  </si>
  <si>
    <t>Organizational Training (OT)</t>
  </si>
  <si>
    <t>Process Management (PCM)</t>
  </si>
  <si>
    <t>Process Asset Development (PAD)</t>
  </si>
  <si>
    <t>Verification and Validation (VV)</t>
  </si>
  <si>
    <t>Managing Performance and Measurement (MPM)</t>
  </si>
  <si>
    <t>Configuration Management (CM)</t>
  </si>
  <si>
    <t>Planning (PLAN)</t>
  </si>
  <si>
    <t>Estimating (EST)</t>
  </si>
  <si>
    <t>Risk and Opportunity Management (RSK)</t>
  </si>
  <si>
    <t>Requirements Development and Management (RDM)</t>
  </si>
  <si>
    <t>Technical Solution (TS)</t>
  </si>
  <si>
    <t>Product Integration (PI)</t>
  </si>
  <si>
    <t>The sections below are automatically updated and copied to the presentations, do not change it.</t>
  </si>
  <si>
    <t xml:space="preserve">        </t>
  </si>
  <si>
    <t>&lt;&lt; Check, can be same as FF or one day earlier</t>
  </si>
  <si>
    <t>SCAMPI A &gt;&gt;&gt;</t>
  </si>
  <si>
    <t>Next steps</t>
  </si>
  <si>
    <t>Responsibility</t>
  </si>
  <si>
    <t>Provide appraisal feedback to the CMMI institute.</t>
  </si>
  <si>
    <t>Sponsor, LA and ATMs</t>
  </si>
  <si>
    <t>&lt;&lt; Check Date + 3 years</t>
  </si>
  <si>
    <t>Take action on final finding report recommendations and weaknesses.</t>
  </si>
  <si>
    <t>Sponsor and EPG</t>
  </si>
  <si>
    <t>Management agrees and commit to implement an action plan on the findings of this SCAMPI A appraisal report.</t>
  </si>
  <si>
    <t>Process Quality Assurance (PQA)</t>
  </si>
  <si>
    <t>(r) Template release</t>
  </si>
  <si>
    <t>pptxCertificate</t>
  </si>
  <si>
    <t>pptxCover</t>
  </si>
  <si>
    <t>ATM_PA</t>
  </si>
  <si>
    <t>Include Opening briefing lookup (Standard). Add macros back</t>
  </si>
  <si>
    <t xml:space="preserve">SAM </t>
  </si>
  <si>
    <t>Excluded</t>
  </si>
  <si>
    <t>Before on-site</t>
  </si>
  <si>
    <t xml:space="preserve">Have been active in the full life cycle for product development. </t>
  </si>
  <si>
    <t>Full team</t>
  </si>
  <si>
    <t>Team member</t>
  </si>
  <si>
    <t>Updated</t>
  </si>
  <si>
    <t>Reporting Relationships</t>
  </si>
  <si>
    <t>Other Reporting Relationships</t>
  </si>
  <si>
    <t>Relationship Description</t>
  </si>
  <si>
    <t>Phone Number</t>
  </si>
  <si>
    <t>ATM Training Description</t>
  </si>
  <si>
    <t>Group ATM Training</t>
  </si>
  <si>
    <t>Total Training Time (hours)</t>
  </si>
  <si>
    <t>ATM Training Date</t>
  </si>
  <si>
    <t>Years of Development Domain Experience</t>
  </si>
  <si>
    <t>Justification for Fewer Than 3 Years of Experience</t>
  </si>
  <si>
    <t>Type of Domain Experience</t>
  </si>
  <si>
    <t>Years of Management Experience</t>
  </si>
  <si>
    <t>Years high maturity experience</t>
  </si>
  <si>
    <t>Mini-Team Assignment</t>
  </si>
  <si>
    <t>Specific Responsibilities</t>
  </si>
  <si>
    <t>PADDING</t>
  </si>
  <si>
    <t>Before onsite</t>
  </si>
  <si>
    <t>Group</t>
  </si>
  <si>
    <t>Included resource estimates 12_ResourceEstimatesV3</t>
  </si>
  <si>
    <t>Appraisal objectives</t>
  </si>
  <si>
    <t>Update project descriptions</t>
  </si>
  <si>
    <t>Not all staff, just participants</t>
  </si>
  <si>
    <t>start with tbd</t>
  </si>
  <si>
    <t>Relationship to the Organizational Unit (OU)</t>
  </si>
  <si>
    <t>Start working on Participant List (All staff, all potential participants, recommended participants)</t>
  </si>
  <si>
    <t>Practice Group</t>
  </si>
  <si>
    <t>Practice Number</t>
  </si>
  <si>
    <t>Sustaining Habit and Persistence Capability</t>
  </si>
  <si>
    <t>Engineering and Developing Products</t>
  </si>
  <si>
    <t>Ensuring Quality</t>
  </si>
  <si>
    <t>Improving Performance</t>
  </si>
  <si>
    <t>Managing Business Resilience</t>
  </si>
  <si>
    <t>Managing the Workforce</t>
  </si>
  <si>
    <t>Planning and Managing Work</t>
  </si>
  <si>
    <t>Supporting Implementation</t>
  </si>
  <si>
    <t>Selecting and Managing Suppliers</t>
  </si>
  <si>
    <t xml:space="preserve">Level 1 </t>
  </si>
  <si>
    <t>FM</t>
  </si>
  <si>
    <t>LM</t>
  </si>
  <si>
    <t>DM</t>
  </si>
  <si>
    <t>S</t>
  </si>
  <si>
    <t>U</t>
  </si>
  <si>
    <t>Level 2</t>
  </si>
  <si>
    <t>NY</t>
  </si>
  <si>
    <t>Level 3</t>
  </si>
  <si>
    <t xml:space="preserve">Level 4 </t>
  </si>
  <si>
    <t>Level 5</t>
  </si>
  <si>
    <t>Team Role</t>
  </si>
  <si>
    <t>Name (printed/typed)</t>
  </si>
  <si>
    <t>Signature</t>
  </si>
  <si>
    <t>Appraisal team member</t>
  </si>
  <si>
    <t>Appraisal team leader</t>
  </si>
  <si>
    <t>EXAMPLE</t>
  </si>
  <si>
    <t>CMMI® Benchmark Appraisal</t>
  </si>
  <si>
    <t>CMMI v2.0 Appraiser Team Lead ID</t>
  </si>
  <si>
    <t xml:space="preserve">https://www.compart.com/en/unicode/U+2022 </t>
  </si>
  <si>
    <t>公司好的方面：What's good about the company</t>
  </si>
  <si>
    <t>公司需要提升的：What the company needs to improve</t>
  </si>
  <si>
    <t>做组织行业专家研讨、培训</t>
  </si>
  <si>
    <t>Organize industry experts to discuss and train</t>
  </si>
  <si>
    <t>Sub group</t>
  </si>
  <si>
    <t>FTE</t>
  </si>
  <si>
    <t>Project name</t>
  </si>
  <si>
    <t>Support functions</t>
  </si>
  <si>
    <t>Organizational</t>
  </si>
  <si>
    <t>Address</t>
  </si>
  <si>
    <t>[6] Process Management - additional EPG follow up</t>
  </si>
  <si>
    <t>Consolidation and initial ratings</t>
  </si>
  <si>
    <t>Days prelim before ff</t>
  </si>
  <si>
    <t>Phase 3 start</t>
  </si>
  <si>
    <t>Days Phase2 (prelim) to Phase 3 (ff)</t>
  </si>
  <si>
    <t>Phase 3 end</t>
  </si>
  <si>
    <t>Coetzee, Bianca</t>
  </si>
  <si>
    <t>Demix (China) Information Technology</t>
  </si>
  <si>
    <t>+27 78 459 1522</t>
  </si>
  <si>
    <t xml:space="preserve">bianca.coetzee@demix.org </t>
  </si>
  <si>
    <t>+27 82 787 4208</t>
  </si>
  <si>
    <t>joan.vanzyl@demix.org</t>
  </si>
  <si>
    <t>Schedule4Actual</t>
  </si>
  <si>
    <t>Standard2</t>
  </si>
  <si>
    <t>Standard3</t>
  </si>
  <si>
    <t>OULC</t>
  </si>
  <si>
    <t>Individual is employed by the ATL's organisation.</t>
  </si>
  <si>
    <t>90% of OE against sampled projects and support functions received - Yes
On-site schedule completed and participants invited - Yes
Risks mitigated - Yes
Outstanding items
- None</t>
  </si>
  <si>
    <t>No conflict of interest identified.</t>
  </si>
  <si>
    <t>Continue to look for potential conflicts of interest.</t>
  </si>
  <si>
    <t>Stage</t>
  </si>
  <si>
    <t>Start</t>
  </si>
  <si>
    <t>End</t>
  </si>
  <si>
    <t>Waterfall</t>
  </si>
  <si>
    <t>All</t>
  </si>
  <si>
    <t>Executive</t>
  </si>
  <si>
    <t>Configuration manager</t>
  </si>
  <si>
    <t>Project manager</t>
  </si>
  <si>
    <t>Developer</t>
  </si>
  <si>
    <t>Process Quality Assurance</t>
  </si>
  <si>
    <t>01_xxvyy_CMMIv2ATMInfo</t>
  </si>
  <si>
    <t>Executive Manager</t>
  </si>
  <si>
    <t>CAS email</t>
  </si>
  <si>
    <t>Joan van Zyl</t>
  </si>
  <si>
    <t>Quarterly</t>
  </si>
  <si>
    <t>IS - In-Scope</t>
  </si>
  <si>
    <t>CM (IS)</t>
  </si>
  <si>
    <t>PQA (IS)</t>
  </si>
  <si>
    <t>isX- In-Scope (default other Projects to Out-of-Scope)</t>
  </si>
  <si>
    <r>
      <t>MPM (IS) , PAD (is</t>
    </r>
    <r>
      <rPr>
        <sz val="11"/>
        <color theme="1"/>
        <rFont val="Calibri"/>
        <family val="2"/>
        <scheme val="minor"/>
      </rPr>
      <t>X</t>
    </r>
    <r>
      <rPr>
        <sz val="11"/>
        <color rgb="FF000000"/>
        <rFont val="Calibri"/>
        <family val="2"/>
        <scheme val="minor"/>
      </rPr>
      <t>), PCM (is</t>
    </r>
    <r>
      <rPr>
        <sz val="11"/>
        <color theme="1"/>
        <rFont val="Calibri"/>
        <family val="2"/>
        <scheme val="minor"/>
      </rPr>
      <t>X</t>
    </r>
    <r>
      <rPr>
        <sz val="11"/>
        <color rgb="FF000000"/>
        <rFont val="Calibri"/>
        <family val="2"/>
        <scheme val="minor"/>
      </rPr>
      <t>), CAR (IS), DAR (IS)</t>
    </r>
  </si>
  <si>
    <r>
      <t>OT (is</t>
    </r>
    <r>
      <rPr>
        <sz val="11"/>
        <color theme="1"/>
        <rFont val="Calibri"/>
        <family val="2"/>
        <scheme val="minor"/>
      </rPr>
      <t>X</t>
    </r>
    <r>
      <rPr>
        <sz val="11"/>
        <color rgb="FF000000"/>
        <rFont val="Calibri"/>
        <family val="2"/>
        <scheme val="minor"/>
      </rPr>
      <t>)</t>
    </r>
  </si>
  <si>
    <t>Included PPQA quality flag</t>
  </si>
  <si>
    <t>None selected</t>
  </si>
  <si>
    <t>s</t>
  </si>
  <si>
    <t>Appraisal Artifacts</t>
  </si>
  <si>
    <t>Executive Summary</t>
  </si>
  <si>
    <t>Appraisal Results and Feedback</t>
  </si>
  <si>
    <t>Team Feedback Froms</t>
  </si>
  <si>
    <t>Perform in CAS</t>
  </si>
  <si>
    <t>Print to PDF and import into CAS</t>
  </si>
  <si>
    <t>Print from Final Findings and upload</t>
  </si>
  <si>
    <t>Print from Final findings and upload</t>
  </si>
  <si>
    <t>Print from CAS plan to pdf and update</t>
  </si>
  <si>
    <t>Refresh and update</t>
  </si>
  <si>
    <t>Done</t>
  </si>
  <si>
    <t>1) Download docx from CAS, 2) upload docx to CAS. 3) Accept sponsor sign in CAS, 4) Sign yourself in CAS. 5) Ask ATMs to sign in CAS. 6) Upload signed PDF as supporting docs. NBNBNB: DO NOT TOUCH AFTER STEP 4!!!!!!!!!!!!!!!!</t>
  </si>
  <si>
    <t>PvtCheck1</t>
  </si>
  <si>
    <t>a</t>
  </si>
  <si>
    <t>FTEs</t>
  </si>
  <si>
    <t>Process</t>
  </si>
  <si>
    <t>Engineering</t>
  </si>
  <si>
    <t>Project Management</t>
  </si>
  <si>
    <t>Process Management</t>
  </si>
  <si>
    <t>END</t>
  </si>
  <si>
    <t>Project&amp;Support</t>
  </si>
  <si>
    <t>MDD Phase 1. MDD 2.1 Collect and Examine OE. MDD 3.1 Deliver Appraisal Results. MDD 4.11 Determine Eligibility to Perform APR. MDD 4.12. Plan APR</t>
  </si>
  <si>
    <t>Staff list - Guide</t>
  </si>
  <si>
    <t>StaffGuide</t>
  </si>
  <si>
    <t>PvtProjectFTEs</t>
  </si>
  <si>
    <t>PvtStaffDistinct</t>
  </si>
  <si>
    <t>PvtPart_PA</t>
  </si>
  <si>
    <t>PvtPart_PrjSup</t>
  </si>
  <si>
    <t>PvtPart_Session</t>
  </si>
  <si>
    <t>SIGN ONLINE - Sponsor and ATL</t>
  </si>
  <si>
    <t>The ATL will collect it from the sponsor and the MA/EPG team.</t>
  </si>
  <si>
    <t>1) Export plan from CAS, 2) Send to sponsor as part of final readiness review and for approval + R&amp;R. 3) Accept sponsor sign in CAS, 4) Sign yourself in CAS. 5) Ask ATMs to sign in CAS. 6) NOTHING NEEDS TO BE UPLOADED HERE&gt;  NBNBNB: DO NOT TOUCH AFTER STEP 4!!!!!!!!!!!!!!!!</t>
  </si>
  <si>
    <t>PvtPartDistinct</t>
  </si>
  <si>
    <t>Print plan approval</t>
  </si>
  <si>
    <t>Provides interpretation services to the ATL.</t>
  </si>
  <si>
    <t>Benchmark CMMI DEV - On-site Schedule</t>
  </si>
  <si>
    <t>Benchmark CMMI DEV - On-site Schedule - ACTUAL</t>
  </si>
  <si>
    <t>Updated pivot table data sources.</t>
  </si>
  <si>
    <t>aa_bbvcc, where aa is  document sort order as per user needs, bb is the template release number and cc is the document version</t>
  </si>
  <si>
    <t>Release</t>
  </si>
  <si>
    <t>Sampled</t>
  </si>
  <si>
    <t>Added</t>
  </si>
  <si>
    <t>人员分配很分散 在不同部门 跨部门沟通有障碍</t>
  </si>
  <si>
    <t>Project team are scattered in different departments and it creates communication barriers</t>
  </si>
  <si>
    <t>测试和运维能力 需要提升</t>
  </si>
  <si>
    <t>Testing and operation and maintenance capabilities need to be improved</t>
  </si>
  <si>
    <t>报销制度需要优化 全部采用线上方式</t>
  </si>
  <si>
    <t>The reimbursement system needs to be optimized; it should be all done online</t>
  </si>
  <si>
    <t>加班福利较少，希望增加补贴</t>
  </si>
  <si>
    <t>Overtime benefits are less, hope the organization to increase compensation</t>
  </si>
  <si>
    <t>公司管理相对人性化,春节假期相对比较长.</t>
  </si>
  <si>
    <t>Company management is humane, and the Spring Festival holiday is long.</t>
  </si>
  <si>
    <t>过程很完善，从立项 需求 评审 设计 开发 测试 运维 结项。</t>
  </si>
  <si>
    <t>The process is very complete, from the project requirements review, design, development, testing, and operation and maintenance of the project.</t>
  </si>
  <si>
    <t>公司对每个岗位的工作、职责分工明确，并且会引导员工学习和养成良好的规范，能达到行业标准</t>
  </si>
  <si>
    <t>The company has a clear division of work and responsibilities for each position, and will guide employees to learn and develop good standards, which can meet industry standards</t>
  </si>
  <si>
    <t>公司行业经验丰富，会定期组织核心人员把行业经验和知识进行培训。</t>
  </si>
  <si>
    <t>The company has rich industry experience and will regularly organize core personnel to train industry experience and knowledge.</t>
  </si>
  <si>
    <t>公司重视知识管理，不断加强公司业务知识的积累和传承</t>
  </si>
  <si>
    <t>The company attaches importance to knowledge management and continuously strengthens the accumulation and inheritance of company business knowledge</t>
  </si>
  <si>
    <t>Grow sales revenue and profit</t>
  </si>
  <si>
    <t>Ratings</t>
  </si>
  <si>
    <t>Practice Level Caharacterizations</t>
  </si>
  <si>
    <t>Pracice Area Ratings</t>
  </si>
  <si>
    <t>Download and upload to CAS</t>
  </si>
  <si>
    <t>Select practice area ratings</t>
  </si>
  <si>
    <t>Worksheet</t>
  </si>
  <si>
    <t>Copyright (c) 2020-2021, Demix (Pty) Ltd, All rights reserved</t>
  </si>
  <si>
    <t>http://www.demix.org</t>
  </si>
  <si>
    <t>Copyright</t>
  </si>
  <si>
    <t>P2CA</t>
  </si>
  <si>
    <t>P3RF</t>
  </si>
  <si>
    <t>https://github.com/DemixTech/CMMITools</t>
  </si>
  <si>
    <t xml:space="preserve">License agreement </t>
  </si>
  <si>
    <t>https://github.com/DemixTech/CMMITools/blob/main/LICENSE</t>
  </si>
  <si>
    <t>Updates for company x</t>
  </si>
  <si>
    <t>Lates releases of the Demix CMMI Tools</t>
  </si>
  <si>
    <t>Manager</t>
  </si>
  <si>
    <t>van Zyl, Joan</t>
  </si>
  <si>
    <t>Process Assurance Manager</t>
  </si>
  <si>
    <t>ATM-5</t>
  </si>
  <si>
    <t>4 0000 000001</t>
  </si>
  <si>
    <t>atm5.email@gmail.com</t>
  </si>
  <si>
    <t>ATM-6</t>
  </si>
  <si>
    <t>5 0000 000001</t>
  </si>
  <si>
    <t>atm6.email@gmail.com</t>
  </si>
  <si>
    <t>ATM-7</t>
  </si>
  <si>
    <t>6 0000 000001</t>
  </si>
  <si>
    <t>atm7.email@gmail.com</t>
  </si>
  <si>
    <t>ATM-8</t>
  </si>
  <si>
    <t>7 0000 000001</t>
  </si>
  <si>
    <t>atm8.email@gmail.com</t>
  </si>
  <si>
    <t>ATM-9</t>
  </si>
  <si>
    <t>8 0000 000001</t>
  </si>
  <si>
    <t>atm9.email@gmail.com</t>
  </si>
  <si>
    <t>Introduction</t>
  </si>
  <si>
    <t>Principle of single/primary source</t>
  </si>
  <si>
    <t>This planning worksheet is build on the principle of single/primary source. The goal is to have only one single source where data is to be entered and then duplicate it to all other places it is needed. Typically, the following colours are used</t>
  </si>
  <si>
    <t>White cells - need to be completed</t>
  </si>
  <si>
    <t>Grey cell are copied from a primary source. Stand on the cell to see the source.</t>
  </si>
  <si>
    <t>Is typically drop down boxes. Most drop down items is taken directly from drop down boxes in CAS. The full list of tables is in tab "Tables".</t>
  </si>
  <si>
    <t>PowerPoint embedding from single/primary source</t>
  </si>
  <si>
    <t>A copy of the latest version of this CAS Plan workbook is always saved to a workbook called 
"00_Data_Reference.xlsx" This workbook contains embedded links into the Technology test, Opening Presentation, Preliminary Findings, Final Findings and certificates. In this way, if something needs to change 1) change it in the CAS_Plan 2) save a next version of this plan 3) save that version to 00_Data_Reference.xlsx 4) Open the powerpoint slides and update the links.</t>
  </si>
  <si>
    <t>Data for CAS from single/primary source</t>
  </si>
  <si>
    <t>The tabs P1P-SS, P1PA-RSG, P1PA-R, P2CA and P3RF contains either information to populate CAS or a guide to the use as to how to populate CAS.</t>
  </si>
  <si>
    <t>Tab descriptions</t>
  </si>
  <si>
    <t>The copyright statement for the use of this template and the associated Demix CMMI software tools.</t>
  </si>
  <si>
    <t xml:space="preserve">Description of this template releases. Template naming is in the format of AA_RRvNN where AA is the file number to help with file order sorting (01 first 99 last), _RR is the release number of the template, vNN is the version number of the document. </t>
  </si>
  <si>
    <t>Guide</t>
  </si>
  <si>
    <t>This guide</t>
  </si>
  <si>
    <t>Macro's must be enabled. This sheet helps the user to quickly hide/show the relevant worksheet tabs. If you add new worksheets, press [Show all sheets] and then [List all sheets]. Use the x to mark the sheets you want to show with buttons [Show1]-[Show7]. Use the title to give your own descriptions, for example CAS to show the CAS data sheets. If you don't mark "Control" it will also be hidden if you hide it.</t>
  </si>
  <si>
    <t>When a customer or broker requests a service form Demix, then 3 agreements are created. 1-Sponsor/Demix, 2-Broker/Demix and 3-Lead Appraiser/Demix. This contains details of the LAs agreement #3 and starts up an appraisal.</t>
  </si>
  <si>
    <t>The LA sets the initial hihg level planning dates.</t>
  </si>
  <si>
    <t>Send StartupInfo, Project&amp;Support and Staff sheets to the OE coordinator/Translator to create an initial set.</t>
  </si>
  <si>
    <t>See startupInfo. Initially Project&amp;Support information is obtained, excluding the sample information. At this point in time, the LA has enoug informatino to populate CAS (see P1PA-SS), get the scope approved and obtain an the random sample.</t>
  </si>
  <si>
    <t xml:space="preserve">See startupInfo. </t>
  </si>
  <si>
    <t>guideStaff</t>
  </si>
  <si>
    <t>pvtProjectFTEs</t>
  </si>
  <si>
    <t>pvtStaffDistinct</t>
  </si>
  <si>
    <t>pvtCheck</t>
  </si>
  <si>
    <t>pvtCheck1</t>
  </si>
  <si>
    <t>pvtCheck2</t>
  </si>
  <si>
    <t>pvtPart_PA</t>
  </si>
  <si>
    <t>pvtPart_PrjSup</t>
  </si>
  <si>
    <t>pvtPart_Session</t>
  </si>
  <si>
    <t>Participant's Full Name (required)</t>
  </si>
  <si>
    <t>Participant's Role (required)</t>
  </si>
  <si>
    <t>Function (required)</t>
  </si>
  <si>
    <t>Training manager</t>
  </si>
  <si>
    <t>Tester</t>
  </si>
  <si>
    <t>CAS
RND</t>
  </si>
  <si>
    <t>BASE</t>
  </si>
  <si>
    <t>Print
review 1</t>
  </si>
  <si>
    <t>Sum of PA count</t>
  </si>
  <si>
    <t>Level</t>
  </si>
  <si>
    <t>&lt;&lt; Change in Planning:B10</t>
  </si>
  <si>
    <t>Total Practices</t>
  </si>
  <si>
    <t>Min per practice</t>
  </si>
  <si>
    <t>m required</t>
  </si>
  <si>
    <t>h required</t>
  </si>
  <si>
    <t>Revie 1</t>
  </si>
  <si>
    <t>PvtEffort</t>
  </si>
  <si>
    <t>Interview session</t>
  </si>
  <si>
    <t>Interviews</t>
  </si>
  <si>
    <t>X</t>
  </si>
  <si>
    <t>The lists below is used to control the order in which the base table will list data. This is to faciliate import/export with CAS.</t>
  </si>
  <si>
    <t>Tab:OUPracticeAreas</t>
  </si>
  <si>
    <t>Project Name (Not Updatable)</t>
  </si>
  <si>
    <t>Project Type</t>
  </si>
  <si>
    <t>Size (FTEs)
(required)</t>
  </si>
  <si>
    <t>Brief Project Description (required)</t>
  </si>
  <si>
    <t>Is this project sensitive? (required)</t>
  </si>
  <si>
    <t>Point of Contact
(required if project marked sensitive)</t>
  </si>
  <si>
    <t>Point of Contact's email address
(required if project marked sensitive)</t>
  </si>
  <si>
    <t>Project Solution Domain (required)</t>
  </si>
  <si>
    <t>Business and Performance Objectives
(required for Org Unit Projects only)</t>
  </si>
  <si>
    <t>Current Life Cycle Phase
(required for Org Unit Projects only)</t>
  </si>
  <si>
    <t>Project Start Date
(required for Org Unit Projects only)</t>
  </si>
  <si>
    <t>Project Projected End Date
(required for Org Unit Projects only)</t>
  </si>
  <si>
    <t>Project Uses Suppliers (required)</t>
  </si>
  <si>
    <t>Current Project Manager's Name(s)
(required)</t>
  </si>
  <si>
    <t>Address Line 1 (required)</t>
  </si>
  <si>
    <t>City (required)</t>
  </si>
  <si>
    <t>Country (required)</t>
  </si>
  <si>
    <t>Additional Project Information</t>
  </si>
  <si>
    <t>Function Name (required)</t>
  </si>
  <si>
    <t>Brief Function Description</t>
  </si>
  <si>
    <t>Is this function sensitive? (required)</t>
  </si>
  <si>
    <t>Function Solution Domain</t>
  </si>
  <si>
    <t>Function Uses Suppliers (required)</t>
  </si>
  <si>
    <t>Current Function Manager's Name(s)</t>
  </si>
  <si>
    <t>Additional Function Information</t>
  </si>
  <si>
    <t>Support Function</t>
  </si>
  <si>
    <t>Tab:C_Support</t>
  </si>
  <si>
    <t>Tab:C_Project</t>
  </si>
  <si>
    <t>Same as business ojbective.</t>
  </si>
  <si>
    <t>C_Support</t>
  </si>
  <si>
    <t>C_Projects</t>
  </si>
  <si>
    <t>C_OUParticipants</t>
  </si>
  <si>
    <t>C_OUProjects</t>
  </si>
  <si>
    <t>C_OUPracticeAreas</t>
  </si>
  <si>
    <t>Pieter and Francois</t>
  </si>
  <si>
    <t>Freelance</t>
  </si>
  <si>
    <t xml:space="preserve">Meeting ID: 999 Passcode: 9999 </t>
  </si>
  <si>
    <t>Days in phase 3 (incl start and end)</t>
  </si>
  <si>
    <t>[BO-1] Improve production efficiency to improve productivity 
[BO-2] Improve delivery capacity
[BO-3] Reduce Code Acceptance Defects</t>
  </si>
  <si>
    <t>[A1]: In support of the business objectives, understand the current strength and weaknesses of the CMMI maturity level 3 practices within the organisation [BO-1, BO-2 &amp; BO-3].</t>
  </si>
  <si>
    <t>R&amp;D Department</t>
  </si>
  <si>
    <t>P4</t>
  </si>
  <si>
    <t>S1-CM</t>
  </si>
  <si>
    <t>S2-EPG-MA</t>
  </si>
  <si>
    <t>S3-HR</t>
  </si>
  <si>
    <t>S4-PPQA</t>
  </si>
  <si>
    <t>Completed</t>
  </si>
  <si>
    <t xml:space="preserve"> 2020/10/12</t>
  </si>
  <si>
    <t>All Projects</t>
  </si>
  <si>
    <t>Training Manager</t>
  </si>
  <si>
    <t>Configuration Manager</t>
  </si>
  <si>
    <t>Project Manager</t>
  </si>
  <si>
    <t>Process manager</t>
  </si>
  <si>
    <t>1) Download from CAS 2) Copy C_OUParticipants (generated from BASE) 3) Upload</t>
  </si>
  <si>
    <t>1) Download from CAS 2) Copy C_OUProjects &amp; C_OUPracticeAreas (generated from BASE) 3) Upload</t>
  </si>
  <si>
    <t>1) Download from CAS 2) Copy C_Support (generated from BASE) 3) Upload</t>
  </si>
  <si>
    <t>1) Download from CAS 2) Copy C_Projects (generated from BASE) 3) Upload</t>
  </si>
  <si>
    <t>ATM activities as per the MDD 2.0 requirements.</t>
  </si>
  <si>
    <t>Team Lead &amp; ATM activities as per the MDD 2.0 requirements.</t>
  </si>
  <si>
    <t>Twigg, Jared</t>
  </si>
  <si>
    <t>+86 131 6137 7341</t>
  </si>
  <si>
    <t>jared.twigg@demix.org</t>
  </si>
  <si>
    <t>Only checked that PAD, PCM, OT is removed from projects (it is automatically done by the previous step)</t>
  </si>
  <si>
    <t>(*) Quality flag- PPQA is on both project and support level</t>
  </si>
  <si>
    <t>Do in CAS</t>
  </si>
  <si>
    <t>The recommendation is not to add anything. See the note here (hover on the cell).</t>
  </si>
  <si>
    <t>The recommendation is not to substitute.</t>
  </si>
  <si>
    <t>The Final Findings will be presented as a PowerPoint presentation on the last on-site day, highlighting the strengths and weaknesses identified.</t>
  </si>
  <si>
    <t>OSF-level Practice Characterization Worksheets and Matrix included in the Final Findings presentation.</t>
  </si>
  <si>
    <t>OSF-level Practice Ratings Worksheets and Matrix included in the Final Findings presentation.</t>
  </si>
  <si>
    <t>In the opening briefing presentation. The schedule shows the time slots allocated for each of the planned activities during the on-site phase of the appraisal.</t>
  </si>
  <si>
    <t>The Performance Report records the Appraisal Team's consolidated judgment as to how performance is managed and improved in the OU.</t>
  </si>
  <si>
    <t>Determine how much of the OE is linked and available in the sampled database.
Confirm ATM availability and status.</t>
  </si>
  <si>
    <t>1) Minimum of 30% of Objective Evidence gathered.
2) ATMs all linked on CAS.
3) ATM training scheduled.</t>
  </si>
  <si>
    <t>LA and min 1 ATM.</t>
  </si>
  <si>
    <t>List of missing evidence and action points.</t>
  </si>
  <si>
    <t>Participant Group (required)</t>
  </si>
  <si>
    <t>Participant Individuals (required)</t>
  </si>
  <si>
    <t>Task (required)</t>
  </si>
  <si>
    <t>Time (hours) (required)</t>
  </si>
  <si>
    <t>Appraisal Planning</t>
  </si>
  <si>
    <t>Plan the appraisal</t>
  </si>
  <si>
    <t>ATM training</t>
  </si>
  <si>
    <t>Training</t>
  </si>
  <si>
    <t>Consolidations</t>
  </si>
  <si>
    <t>Consolidate interview data, project level and support level characterisation, develop findings</t>
  </si>
  <si>
    <t>Engineers</t>
  </si>
  <si>
    <t xml:space="preserve">Objective Evidence Review </t>
  </si>
  <si>
    <t>Phase 2 review OE</t>
  </si>
  <si>
    <t>OE collection 1</t>
  </si>
  <si>
    <t>Collect OE</t>
  </si>
  <si>
    <t>OE collection 2</t>
  </si>
  <si>
    <t>Opening Presentation</t>
  </si>
  <si>
    <t>PMs</t>
  </si>
  <si>
    <t>Preliminary findings 1</t>
  </si>
  <si>
    <t>Preliminary findings 2</t>
  </si>
  <si>
    <t>Readiness review 1</t>
  </si>
  <si>
    <t>Readiness review</t>
  </si>
  <si>
    <t>Readiness review 2</t>
  </si>
  <si>
    <t>Review final findings</t>
  </si>
  <si>
    <t>Review preliminary findings</t>
  </si>
  <si>
    <t>Review objective evidence</t>
  </si>
  <si>
    <t>Senior management</t>
  </si>
  <si>
    <t>Sponsor meetings</t>
  </si>
  <si>
    <t>Technology Test</t>
  </si>
  <si>
    <t>EPG</t>
  </si>
  <si>
    <t>Step 1: Complete section below</t>
  </si>
  <si>
    <t>Effort</t>
  </si>
  <si>
    <t>Formula</t>
  </si>
  <si>
    <t>SM</t>
  </si>
  <si>
    <t>OUC</t>
  </si>
  <si>
    <t>RI</t>
  </si>
  <si>
    <t>ParticipantsPrelim1</t>
  </si>
  <si>
    <t>ParticipantsPrelim2</t>
  </si>
  <si>
    <t>ParticipantsOpen</t>
  </si>
  <si>
    <t>ParticipantsFinal</t>
  </si>
  <si>
    <t>ParticipantsTechTest</t>
  </si>
  <si>
    <t>For resource estimation</t>
  </si>
  <si>
    <t xml:space="preserve">Step 2: Download CAS resource estimate, copy and paste the section below </t>
  </si>
  <si>
    <t>1) Complete information in C_Resource_Estimates 2) Download teamplate from CAS 3) Copy information from C_Resource_Estimates to template 4) Import template into CAS</t>
  </si>
  <si>
    <t>Demix Virtual Services Tools</t>
  </si>
  <si>
    <t xml:space="preserve">For opening meeting, preliminary findings, final findings, interviews and characterising tasks, TenCent VooV has been tested as viable video conferencing tool. 
For this appraisal (based on previous appraisals to China) VooV will be used as the primary video conferencing tool.  Where needed, Microsoft SharePoint Services Teams, WhatsApp and/or WeChat will also be used. </t>
  </si>
  <si>
    <t>ATL, Each team member and participant.</t>
  </si>
  <si>
    <t>Risk Name 1</t>
  </si>
  <si>
    <t>Risk Name 2</t>
  </si>
  <si>
    <t>Risk Name 3</t>
  </si>
  <si>
    <t>Virtual Delivery</t>
  </si>
  <si>
    <t xml:space="preserve">Potential Confidentiality breaches could happen when participant meetings and ATM meetings happen when using Virtual Delivery methods. </t>
  </si>
  <si>
    <t>Open</t>
  </si>
  <si>
    <t>Risk Name 4</t>
  </si>
  <si>
    <t>The usage of DVS (Demix virtual services) tools is new or unfamiliar with some participants and ATMs.</t>
  </si>
  <si>
    <t>Medium</t>
  </si>
  <si>
    <t>Risk Name 5</t>
  </si>
  <si>
    <t>The CMMI V2.0 model and MDD V2.0 is new or unfamiliar to some participants and ATMs, which could affect the appraisal schedule (and potentially quality).</t>
  </si>
  <si>
    <t>Planned Schedule:</t>
  </si>
  <si>
    <t>CN</t>
  </si>
  <si>
    <t>ZA</t>
  </si>
  <si>
    <t>OE Review</t>
  </si>
  <si>
    <t>[1] Sponsor</t>
  </si>
  <si>
    <t>Team Review</t>
  </si>
  <si>
    <t>Consolidate
- Prepare Prelims</t>
  </si>
  <si>
    <t>Rate / Prep FF</t>
  </si>
  <si>
    <t>Review</t>
  </si>
  <si>
    <t xml:space="preserve">[4b] PT2 - 
(RDM/PR/
VV/DAR) </t>
  </si>
  <si>
    <t>[6] Process - EPG/MA- (PAD/PCM/
CAR/MPM)</t>
  </si>
  <si>
    <t>Team Refresher Training</t>
  </si>
  <si>
    <t>[2] Opening Briefing</t>
  </si>
  <si>
    <t>[9] Snr Mngr (GOV)</t>
  </si>
  <si>
    <t>Prelim Findings1</t>
  </si>
  <si>
    <t>OE Review &amp; Interview Prep</t>
  </si>
  <si>
    <t>[4a] PT1  - (PI/TS)</t>
  </si>
  <si>
    <t>[5] CM - SI(CM)</t>
  </si>
  <si>
    <t>[3a] PM1 
- (EST/
MC/PLAN)</t>
  </si>
  <si>
    <t>Team/
Sponsor Debriefing</t>
  </si>
  <si>
    <t>Prelim Findings2</t>
  </si>
  <si>
    <t>[3b] PM3
- (RSK/MPM)</t>
  </si>
  <si>
    <t>Team Debriefing
- Lessons
- CAS Upd</t>
  </si>
  <si>
    <t>[7] OT - MWF (OT)</t>
  </si>
  <si>
    <t>[8] PPQA
- (PQA)</t>
  </si>
  <si>
    <t>Tooltest</t>
  </si>
  <si>
    <t>Actual Schedule:</t>
  </si>
  <si>
    <t>Sponsor Debriefing</t>
  </si>
  <si>
    <t>Perf Rpt</t>
  </si>
  <si>
    <t>ATM Debrief
- Lessons
- CAS Upd</t>
  </si>
  <si>
    <t>Capability Area</t>
  </si>
  <si>
    <t>Target</t>
  </si>
  <si>
    <t>Engineering &amp; Developing Products</t>
  </si>
  <si>
    <t>Planning &amp; Managing Work</t>
  </si>
  <si>
    <t>Sustaining Habit and Persistence</t>
  </si>
  <si>
    <t>Ensuring Quality (ENQ)</t>
  </si>
  <si>
    <t>Peer Reviews (PR)</t>
  </si>
  <si>
    <t>Improving Performance (IMP)</t>
  </si>
  <si>
    <t>Engineering &amp; Developing Products (EDP)</t>
  </si>
  <si>
    <t>Monitor and Control (MC)</t>
  </si>
  <si>
    <t>Implementation Infrastructure (II)</t>
  </si>
  <si>
    <t>Govenance (GOV)</t>
  </si>
  <si>
    <t>Sustaining Habit and Persistence (SHP)</t>
  </si>
  <si>
    <t>Supporting Implementation (SI)</t>
  </si>
  <si>
    <t>Managing the Workforce (MWF)</t>
  </si>
  <si>
    <t>Managing Business Resilience (MBR)</t>
  </si>
  <si>
    <t>Planning and Managing Work (PMW)</t>
  </si>
  <si>
    <t>MAX</t>
  </si>
  <si>
    <t>Selecting &amp; Managing Suppliers</t>
  </si>
  <si>
    <t>Supplier Agreement Management</t>
  </si>
  <si>
    <t>Output</t>
  </si>
  <si>
    <t>The Final Findings will be presented as a PowerPoint presentation, highlighting the strengths and weaknesses identified.</t>
  </si>
  <si>
    <t>Performance Report</t>
  </si>
  <si>
    <t>Sampled Project and OSF-level Practice Ratings Worksheets</t>
  </si>
  <si>
    <t>The schedule shows the time slots allocated for each of the planned activities during the on-site phase of the appraisal.</t>
  </si>
  <si>
    <t>Extra for Virtual Appraisals</t>
  </si>
  <si>
    <t>Virtual Delivery Report</t>
  </si>
  <si>
    <t xml:space="preserve">This report is applied to virtually delivered CMMI appraisal team activities and is specifically focused on the virtual approach, methods, techniques, tools and processes used. </t>
  </si>
  <si>
    <t>Sub groups</t>
  </si>
  <si>
    <t>Project</t>
  </si>
  <si>
    <t>Project and support function information and sample</t>
  </si>
  <si>
    <t>Project/
Support</t>
  </si>
  <si>
    <t xml:space="preserve">If address is different from the organisation, manually enter the address in StartupInfo/below, and unhide the new address in pptxLink1, so it displays in the pptx	  </t>
  </si>
  <si>
    <t>C_Resource_Estimates</t>
  </si>
  <si>
    <t>Schedule4-1P</t>
  </si>
  <si>
    <t>Schedule4-1A</t>
  </si>
  <si>
    <t>Schedule4-2</t>
  </si>
  <si>
    <t>pptxLink1</t>
  </si>
  <si>
    <t>pptxLink2</t>
  </si>
  <si>
    <t>pptxLink3</t>
  </si>
  <si>
    <t>pptxLink4</t>
  </si>
  <si>
    <t>pptxLink5</t>
  </si>
  <si>
    <t>pptxLink6</t>
  </si>
  <si>
    <t>pptxLink7</t>
  </si>
  <si>
    <t>124</t>
  </si>
  <si>
    <t>R0000</t>
  </si>
  <si>
    <t>van Zyl, Pieter</t>
  </si>
  <si>
    <t>CMMI V2.0 High Maturity Lead Appraiser</t>
  </si>
  <si>
    <t>CMMI V2.0 High Maturity Lead Appraiser, Observer for Candidate SCAMPI Team Leads, Instructor for Introduction to CMMI-DEV, Instructor for CMMI-SVC supplement for CMMI-DEV, Instructor for CMMI-ACQ for CMMI-DEV.</t>
  </si>
  <si>
    <t>0500535-01</t>
  </si>
  <si>
    <t>+27-82-900-0008</t>
  </si>
  <si>
    <t>pieter.vanzyl@demix.org</t>
  </si>
  <si>
    <t>LA_PieterVZ</t>
  </si>
  <si>
    <t>+000 1111 2222</t>
  </si>
  <si>
    <t>+0000 1111 3333</t>
  </si>
  <si>
    <t>+000 1111 44444</t>
  </si>
  <si>
    <t>Post release defect density: UCL:2.424, CL:2.103, LCL:1.783</t>
  </si>
  <si>
    <t>Post release defect density: UCL:1.8726,CL:1.607,LCL:1.3407</t>
  </si>
  <si>
    <t>Post release defect density</t>
  </si>
  <si>
    <t>Regression analysis of post release defect density</t>
  </si>
  <si>
    <t>The company provides space exploration services…</t>
  </si>
  <si>
    <t>Falcon project description</t>
  </si>
  <si>
    <t>P1-Falcon9</t>
  </si>
  <si>
    <t>P2-Raptor</t>
  </si>
  <si>
    <t>Raptor project description</t>
  </si>
  <si>
    <t>P3-Starship</t>
  </si>
  <si>
    <t>Startship project description</t>
  </si>
  <si>
    <t>P4-SupperHeavy</t>
  </si>
  <si>
    <t>Super Heavy description</t>
  </si>
  <si>
    <t>The Configuration Management (CM) function, manages baselines for projects and the organisation.</t>
  </si>
  <si>
    <t>The Engineering Process Group (EPG)/Measurement Analysis (MA) team provides process management capability including establishing processes, standards, process measurements, process performance models, performance management baselines and directing its implementation and adoption.</t>
  </si>
  <si>
    <t>The Human Resources (HR) function is responsible for training, skills and knowledge management. It maintains the records of staff training and training evaluation.</t>
  </si>
  <si>
    <t xml:space="preserve">The Process and Product Quality Assurance (PPQA) team manage and performs process quality assurance. </t>
  </si>
  <si>
    <t>Surname, Analyst 1</t>
  </si>
  <si>
    <t>Surname, Designer1</t>
  </si>
  <si>
    <t>Surname, Developer1</t>
  </si>
  <si>
    <t>Surname, Testers1</t>
  </si>
  <si>
    <t>Surname, Project Manager1</t>
  </si>
  <si>
    <t>Surname, Analyst2</t>
  </si>
  <si>
    <t>Surname, Designer2</t>
  </si>
  <si>
    <t>Surname, Developer2</t>
  </si>
  <si>
    <t>Surname, Testers2</t>
  </si>
  <si>
    <t>Surname, Project Manager2</t>
  </si>
  <si>
    <t>Surname, Analyst3</t>
  </si>
  <si>
    <t>Surname, Designer3</t>
  </si>
  <si>
    <t>Surname, Developer3</t>
  </si>
  <si>
    <t>Surname, Testers3</t>
  </si>
  <si>
    <t>Surname, Project Manager3</t>
  </si>
  <si>
    <t>Surname, Analyst4</t>
  </si>
  <si>
    <t>Surname, Designer4</t>
  </si>
  <si>
    <t>Surname, Developer4</t>
  </si>
  <si>
    <t>Surname, Testers4</t>
  </si>
  <si>
    <t>Surname, Project Manager4</t>
  </si>
  <si>
    <t>Surname, Configuration Manager1</t>
  </si>
  <si>
    <t>Surname, Process manager2</t>
  </si>
  <si>
    <t>Surname, Training Manager3</t>
  </si>
  <si>
    <t>Surname, Process Assurance Manager4</t>
  </si>
  <si>
    <t>ATM-1</t>
  </si>
  <si>
    <t>ATM-2</t>
  </si>
  <si>
    <t>ATM-3</t>
  </si>
  <si>
    <t>ATM-4</t>
  </si>
  <si>
    <t>0 0000 000001</t>
  </si>
  <si>
    <t>1 0000 000001</t>
  </si>
  <si>
    <t>2 0000 000001</t>
  </si>
  <si>
    <t>3 0000 000001</t>
  </si>
  <si>
    <t>atm1.email@gmail.com</t>
  </si>
  <si>
    <t>atm2.email@gmail.com</t>
  </si>
  <si>
    <t>atm3.email@gmail.com</t>
  </si>
  <si>
    <t>atm4.email@gmail.com</t>
  </si>
  <si>
    <t>PvtPACheck</t>
  </si>
  <si>
    <t>Software for Mars (Pty) Ltd</t>
  </si>
  <si>
    <t>Mars</t>
  </si>
  <si>
    <t>Base Alpha City</t>
  </si>
  <si>
    <t>Tharsis</t>
  </si>
  <si>
    <t>Conduct Maturity Level 5 appraisal in April 2021</t>
  </si>
  <si>
    <t>Prof Kessler, Donald</t>
  </si>
  <si>
    <t>The Boss</t>
  </si>
  <si>
    <t>donald.kessler@email.com</t>
  </si>
  <si>
    <t>Miss Lake, Nathalie</t>
  </si>
  <si>
    <t>nathalie.lake@email.com</t>
  </si>
  <si>
    <t>Miss Land, Barbara</t>
  </si>
  <si>
    <t>barbara.land@email.com</t>
  </si>
  <si>
    <t>SoftMARS</t>
  </si>
  <si>
    <t>D124 (A5) SoftMARS - Base Alpha City (Q2) 2021</t>
  </si>
  <si>
    <t>No. 1 First Street</t>
  </si>
  <si>
    <t>Room 1, Dome 1</t>
  </si>
  <si>
    <t>http://eMars.com</t>
  </si>
  <si>
    <t>CAS ID</t>
  </si>
  <si>
    <t xml:space="preserve">1 General Manager
2  Integrated Management
3  R&amp;D Department
4  Product Department
5  Business Department
</t>
  </si>
  <si>
    <t>Planet04</t>
  </si>
  <si>
    <t>dkessler@gmail.com</t>
  </si>
  <si>
    <t>chris.hemswoth@mailcom</t>
  </si>
  <si>
    <t>Hemswoth, Chris</t>
  </si>
  <si>
    <t>Step 1-10</t>
  </si>
  <si>
    <t>Step 11-20</t>
  </si>
  <si>
    <t>2021-04-12to04-16 (A5) C53517 SoftMARS</t>
  </si>
  <si>
    <t>Quality flag. If 1 is yes, then 2 should be no</t>
  </si>
  <si>
    <t>Supports software development organisational training requirements.</t>
  </si>
  <si>
    <t xml:space="preserve">Supports software development process management, and measurement &amp; analysis requirements. </t>
  </si>
  <si>
    <t>Supports software development configuration management requirements.</t>
  </si>
  <si>
    <t>Supports software development process quality assurance requirements.</t>
  </si>
  <si>
    <t>1) ATM may become ill</t>
  </si>
  <si>
    <t>2) Virtual Tool Failure</t>
  </si>
  <si>
    <t>Virtual technology</t>
  </si>
  <si>
    <t>DVS (Demix virtual services) tools may become unavailable due to network failures.</t>
  </si>
  <si>
    <t>1) Ensure that backup network facilities are available.
2) Ensure that additional overtime is planned and agreed upon should technical difficulties cause appraisal work disruptions. 
3) Conduct a test of virtual technologies before the opening briefing.
4) Use Voov as a backup technology.
5) Setup WeChat and WhatsApp groups for backup communication when a failure occurs (between ATL, ATMs, RI and Site-coordinator)</t>
  </si>
  <si>
    <t xml:space="preserve">3) Confidentiality breaches as result of Virtual Delivery. </t>
  </si>
  <si>
    <t>4) Virtual Delivery Toolset being new</t>
  </si>
  <si>
    <t>5) CMMI V2.0 Model is new to Appraisal Team</t>
  </si>
  <si>
    <t>Risk Name 6</t>
  </si>
  <si>
    <t>6) Confidentiality breach due to unknown participants in Virtual setting</t>
  </si>
  <si>
    <t>1) The virtual environment may cause unwanted visitors to attend interviews and teamwork sessions and as a result breach confidentiality</t>
  </si>
  <si>
    <t>1) Use a passcode to enable people to join
2) All participants must be visible and their video must be switched on
3) All participants must list their names
4) A waiting room facility will be used
5) Recording features will be disallowed and turned off
6) If required, participants must show their camera 360 degrees so that the appraisal team can see that no other persons are present in the room</t>
  </si>
  <si>
    <t>Risk Name 7</t>
  </si>
  <si>
    <t>7) Opening meeting delays due to virtual services</t>
  </si>
  <si>
    <t>1) The virtual services may be new to the organisation and cause delays during the opening meeting</t>
  </si>
  <si>
    <t>1) Do a technology-test/participants-briefing the Thursday before the opening meeting to make sure all the virtual technologies are working properly</t>
  </si>
  <si>
    <t>Risk Name 8</t>
  </si>
  <si>
    <t>8) Virtual technology maybe blocked by company</t>
  </si>
  <si>
    <t>The virtual technology used, such s Zoom, may be blocked by the companies firewalls.</t>
  </si>
  <si>
    <t>1) Perform a technology test the Thursday before the opening meeting to ensure that all firewall entries are open and the virtual technology is functioning between the appraisal team and the participants.</t>
  </si>
  <si>
    <t>Risk Name 9</t>
  </si>
  <si>
    <t>9) Virtual Tool Failure</t>
  </si>
  <si>
    <t>Risk Name 10</t>
  </si>
  <si>
    <t>10) Delays due to usage of Virtual technology</t>
  </si>
  <si>
    <t>Schedule delays could happen due to the usage of virtual delivery services</t>
  </si>
  <si>
    <t>Note: Some mitigation actions are repeated for other risks above, such as risk #6
 1) Plan for additional time at the end of every day in case of virtual services causing delays
 2) Plan for using alternative technologies such as Voov as a backup for Zoom (and vice versa).
 3) Have an ATL, ATMs, RI and site co-ordinator, WeChat and WhatsApp group to respond immediately to Virtual delivery technology failures.</t>
  </si>
  <si>
    <t>Risk Name 11</t>
  </si>
  <si>
    <t>11) Timezone impacts</t>
  </si>
  <si>
    <t>Timezone differences could make the appraisal team less effective.</t>
  </si>
  <si>
    <t>1) Plan for the forward in the timezone area to start later than normal and the earlier in timezone to start earlier. For example, GMT+8 start at 10:00 is and GMT+2 start at 4:am.</t>
  </si>
  <si>
    <t>Risk Name 12</t>
  </si>
  <si>
    <t>12) Impact of differenes in language</t>
  </si>
  <si>
    <t>Langauge difference could impact the effectiveness of the team</t>
  </si>
  <si>
    <t>1) Use a bulk document translator to translate all xlsx, pptx and docx. These are not perfect translations, but good enough.
 2) Staff the appraisal team with a second registered interpreter (as ATM) or a trainee registered interpreter to support translation work when the primary interpreter is held up.
 3) Use additional supporting translation tools such as Google and WeChat translate as needed.</t>
  </si>
  <si>
    <t>Objective evidence done</t>
  </si>
  <si>
    <t>Affirmation done</t>
  </si>
  <si>
    <t xml:space="preserve">Characterisation  </t>
  </si>
  <si>
    <t>OU Characterisation done</t>
  </si>
  <si>
    <t>Quality flag. Select all including APR if 1 is yes.</t>
  </si>
  <si>
    <t>1) Allocate Unique VooV IDs. Separate interview meetings (unique VooV ID X),  appraisal team meetings (unique VooV ID Y) and presentations [van Zyl, Pieter]
2) The ATL (Appraisal Team Leader) will control access to the above meetings to ensure Confidentiality is maintained [van Zyl, Pieter]
3) All meetings will be scheduled with passwords to assist to control access to the meetings, assisting that Confidentiality is maintained [van Zyl, Pieter]</t>
  </si>
  <si>
    <t>1) Ensure DVS tools are tested before the on-site period starts, with ATMs, interpreters, participants and site co-ordinators to ensure tools are installed and users know how to use them. [van Zyl, Pieter]
2) Conduct a desktop review of Demix virtual services (DVS) using the CMMI institute EVSD practice area before the start of DVS operations and affect relevant improvements. [van Zyl, Pieter]
3) After each appraisal, use the CMMI Virtual Delivery reporting template to obtain feedback on DVS practices and improve it accordingly. [van Zyl, Pieter]</t>
  </si>
  <si>
    <t>1) Ensure enough time scheduled for appraisal activities to allow for possible delays, because the team is learning the new model and CAS system. [van Zyl, Pieter]
2) Update the Demix appraisal templates used by the appraisal team and ATL, to align with the new model and MDD. [van Zyl, Pieter]
3) Facilitate information sharing  between appraisal team members and Demix ATL's about the new model and MDD usage. [van Zyl, Pieter]
4) Let ATM's with experience of V2.0 work with ATM's that are new, where possible. [van Zyl, Pieter]</t>
  </si>
  <si>
    <t>COPY FROM OE DB</t>
  </si>
  <si>
    <t>Affiliation</t>
  </si>
  <si>
    <t>use in tab:C_Support for the "Function Solution Domain"</t>
  </si>
  <si>
    <t>Updated formula error in P1PA-SS and Function Solution Domain reference</t>
  </si>
  <si>
    <t>Updates to align with latest BASE release 3.8.0.44 and incorporate Francois planning input.</t>
  </si>
  <si>
    <t>Measurements manager</t>
  </si>
  <si>
    <t>Surname, Measurement manager2</t>
  </si>
  <si>
    <t>Configuration Management</t>
  </si>
  <si>
    <t>Measurement Management</t>
  </si>
  <si>
    <t>Organisational Training</t>
  </si>
  <si>
    <t>Included the Measurement manager role and measurement management process</t>
  </si>
  <si>
    <t>Update the schedule to only full team.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</si>
</sst>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 #,##0.00_ ;_ * \-#,##0.00_ ;_ * &quot;-&quot;??_ ;_ @_ "/>
    <numFmt numFmtId="165" formatCode="[$-F800]dddd\,\ mmmm\ dd\,\ yyyy"/>
    <numFmt numFmtId="166" formatCode="dd/mm/yyyy"/>
    <numFmt numFmtId="167" formatCode="_(&quot;$&quot;* #,##0_);_(&quot;$&quot;* \(#,##0\);_(&quot;$&quot;* &quot;-&quot;_);_(@_)"/>
    <numFmt numFmtId="168" formatCode="dd\ mmmm\ yyyy"/>
    <numFmt numFmtId="169" formatCode="[$-F800]dddd\,/mmmm/dd\,/yyyy"/>
    <numFmt numFmtId="170" formatCode="dd\-mmm\-yyyy"/>
  </numFmts>
  <fonts count="62">
    <font>
      <sz val="11"/>
      <color theme="1"/>
      <name val="Calibri"/>
      <family val="2"/>
      <scheme val="minor"/>
    </font>
    <font>
      <sz val="11"/>
      <color theme="1"/>
      <name val="Calibri"/>
      <family val="2"/>
      <scheme val="minor"/>
    </font>
    <font>
      <b/>
      <sz val="10"/>
      <color theme="0"/>
      <name val="Calibri"/>
      <family val="2"/>
      <scheme val="minor"/>
    </font>
    <font>
      <b/>
      <sz val="10"/>
      <name val="Calibri"/>
      <family val="2"/>
      <scheme val="minor"/>
    </font>
    <font>
      <sz val="10"/>
      <name val="Arial"/>
      <family val="2"/>
    </font>
    <font>
      <sz val="10"/>
      <name val="Calibri"/>
      <family val="2"/>
      <scheme val="minor"/>
    </font>
    <font>
      <b/>
      <sz val="11"/>
      <color theme="1"/>
      <name val="Calibri"/>
      <family val="2"/>
      <scheme val="minor"/>
    </font>
    <font>
      <sz val="9"/>
      <color indexed="81"/>
      <name val="Tahoma"/>
      <family val="2"/>
    </font>
    <font>
      <b/>
      <sz val="9"/>
      <color indexed="81"/>
      <name val="Tahoma"/>
      <family val="2"/>
    </font>
    <font>
      <u/>
      <sz val="11"/>
      <color theme="10"/>
      <name val="Calibri"/>
      <family val="2"/>
      <scheme val="minor"/>
    </font>
    <font>
      <sz val="11"/>
      <color theme="0"/>
      <name val="Calibri"/>
      <family val="2"/>
      <scheme val="minor"/>
    </font>
    <font>
      <sz val="11"/>
      <color rgb="FF000000"/>
      <name val="Calibri"/>
      <family val="2"/>
    </font>
    <font>
      <sz val="11"/>
      <name val="Calibri"/>
      <family val="2"/>
      <scheme val="minor"/>
    </font>
    <font>
      <b/>
      <sz val="10"/>
      <color rgb="FFFF0000"/>
      <name val="Calibri"/>
      <family val="2"/>
      <scheme val="minor"/>
    </font>
    <font>
      <sz val="11"/>
      <color theme="0" tint="-0.34998626667073579"/>
      <name val="Calibri"/>
      <family val="2"/>
      <scheme val="minor"/>
    </font>
    <font>
      <sz val="11"/>
      <color rgb="FFFF0000"/>
      <name val="Calibri"/>
      <family val="2"/>
      <scheme val="minor"/>
    </font>
    <font>
      <b/>
      <sz val="11"/>
      <color theme="0" tint="-0.34998626667073579"/>
      <name val="Calibri"/>
      <family val="2"/>
      <scheme val="minor"/>
    </font>
    <font>
      <b/>
      <sz val="11"/>
      <color theme="0"/>
      <name val="Calibri"/>
      <family val="2"/>
      <scheme val="minor"/>
    </font>
    <font>
      <b/>
      <sz val="14"/>
      <color theme="0"/>
      <name val="Calibri"/>
      <family val="2"/>
      <scheme val="minor"/>
    </font>
    <font>
      <sz val="12"/>
      <color theme="1"/>
      <name val="Calibri"/>
      <family val="2"/>
      <scheme val="minor"/>
    </font>
    <font>
      <sz val="12"/>
      <color theme="0"/>
      <name val="Calibri"/>
      <family val="2"/>
      <scheme val="minor"/>
    </font>
    <font>
      <sz val="11"/>
      <color indexed="8"/>
      <name val="Calibri"/>
      <family val="2"/>
    </font>
    <font>
      <sz val="16"/>
      <color theme="1"/>
      <name val="Calibri"/>
      <family val="2"/>
      <scheme val="minor"/>
    </font>
    <font>
      <u/>
      <sz val="11"/>
      <color theme="10"/>
      <name val="Calibri"/>
      <family val="2"/>
    </font>
    <font>
      <sz val="10"/>
      <color indexed="8"/>
      <name val="Arial"/>
      <family val="2"/>
    </font>
    <font>
      <sz val="11"/>
      <color indexed="60"/>
      <name val="宋体"/>
      <family val="3"/>
      <charset val="134"/>
    </font>
    <font>
      <u/>
      <sz val="10"/>
      <color theme="10"/>
      <name val="Arial"/>
      <family val="2"/>
    </font>
    <font>
      <sz val="10"/>
      <name val="Helv"/>
      <family val="2"/>
    </font>
    <font>
      <sz val="12"/>
      <name val="宋体"/>
      <family val="3"/>
      <charset val="134"/>
    </font>
    <font>
      <sz val="11"/>
      <color indexed="8"/>
      <name val="宋体"/>
      <family val="3"/>
      <charset val="134"/>
    </font>
    <font>
      <i/>
      <sz val="11"/>
      <color indexed="23"/>
      <name val="宋体"/>
      <family val="3"/>
      <charset val="134"/>
    </font>
    <font>
      <b/>
      <sz val="16"/>
      <color theme="1"/>
      <name val="Calibri"/>
      <family val="2"/>
      <scheme val="minor"/>
    </font>
    <font>
      <b/>
      <sz val="18"/>
      <color theme="1"/>
      <name val="Calibri"/>
      <family val="2"/>
      <scheme val="minor"/>
    </font>
    <font>
      <b/>
      <sz val="14"/>
      <color theme="1"/>
      <name val="Calibri"/>
      <family val="2"/>
      <scheme val="minor"/>
    </font>
    <font>
      <sz val="10"/>
      <color theme="1"/>
      <name val="Calibri"/>
      <family val="2"/>
      <scheme val="minor"/>
    </font>
    <font>
      <b/>
      <i/>
      <u/>
      <sz val="26"/>
      <color theme="1"/>
      <name val="Calibri"/>
      <family val="2"/>
      <scheme val="minor"/>
    </font>
    <font>
      <b/>
      <sz val="18"/>
      <color theme="0"/>
      <name val="Calibri"/>
      <family val="2"/>
      <scheme val="minor"/>
    </font>
    <font>
      <b/>
      <sz val="12"/>
      <color rgb="FFFFFFFF"/>
      <name val="Calibri"/>
      <family val="2"/>
    </font>
    <font>
      <sz val="12"/>
      <color rgb="FF000000"/>
      <name val="Calibri"/>
      <family val="2"/>
    </font>
    <font>
      <b/>
      <sz val="12"/>
      <color theme="1"/>
      <name val="Calibri"/>
      <family val="2"/>
      <scheme val="minor"/>
    </font>
    <font>
      <b/>
      <sz val="10"/>
      <color theme="1"/>
      <name val="Calibri"/>
      <family val="2"/>
      <scheme val="minor"/>
    </font>
    <font>
      <b/>
      <sz val="16"/>
      <color theme="0"/>
      <name val="Calibri"/>
      <family val="2"/>
      <scheme val="minor"/>
    </font>
    <font>
      <sz val="12"/>
      <color rgb="FF000000"/>
      <name val="Calibri"/>
      <family val="2"/>
      <scheme val="minor"/>
    </font>
    <font>
      <sz val="16"/>
      <name val="Calibri"/>
      <family val="2"/>
      <scheme val="minor"/>
    </font>
    <font>
      <b/>
      <sz val="20"/>
      <color theme="1"/>
      <name val="Calibri"/>
      <family val="2"/>
      <scheme val="minor"/>
    </font>
    <font>
      <sz val="20"/>
      <color theme="1"/>
      <name val="Calibri"/>
      <family val="2"/>
      <scheme val="minor"/>
    </font>
    <font>
      <b/>
      <sz val="14"/>
      <name val="Calibri"/>
      <family val="2"/>
      <scheme val="minor"/>
    </font>
    <font>
      <sz val="14"/>
      <color theme="1"/>
      <name val="Calibri"/>
      <family val="2"/>
      <scheme val="minor"/>
    </font>
    <font>
      <u/>
      <sz val="11"/>
      <color theme="10"/>
      <name val="Calibri"/>
      <family val="4"/>
      <charset val="134"/>
      <scheme val="minor"/>
    </font>
    <font>
      <sz val="8"/>
      <name val="Calibri"/>
      <family val="2"/>
      <scheme val="minor"/>
    </font>
    <font>
      <sz val="11"/>
      <color rgb="FF000000"/>
      <name val="Calibri"/>
      <family val="2"/>
      <scheme val="minor"/>
    </font>
    <font>
      <sz val="11"/>
      <color rgb="FFFFFFFF"/>
      <name val="Calibri"/>
      <family val="2"/>
      <scheme val="minor"/>
    </font>
    <font>
      <sz val="10"/>
      <color theme="0"/>
      <name val="Calibri"/>
      <family val="2"/>
      <scheme val="minor"/>
    </font>
    <font>
      <b/>
      <sz val="10"/>
      <color rgb="FF000000"/>
      <name val="Calibri"/>
      <family val="2"/>
    </font>
    <font>
      <sz val="9"/>
      <name val="Calibri"/>
      <family val="3"/>
      <charset val="134"/>
      <scheme val="minor"/>
    </font>
    <font>
      <b/>
      <sz val="12"/>
      <color theme="0"/>
      <name val="Calibri"/>
      <family val="2"/>
      <scheme val="minor"/>
    </font>
    <font>
      <b/>
      <sz val="11"/>
      <color rgb="FFFFFFFF"/>
      <name val="Calibri"/>
      <family val="2"/>
    </font>
    <font>
      <sz val="10"/>
      <color theme="1"/>
      <name val="Wingdings"/>
      <charset val="2"/>
    </font>
    <font>
      <u/>
      <sz val="10"/>
      <color theme="10"/>
      <name val="Calibri"/>
      <family val="2"/>
      <scheme val="minor"/>
    </font>
    <font>
      <sz val="10"/>
      <color rgb="FF000000"/>
      <name val="Calibri"/>
      <family val="2"/>
    </font>
    <font>
      <b/>
      <sz val="22"/>
      <color theme="1"/>
      <name val="Calibri"/>
      <family val="2"/>
      <scheme val="minor"/>
    </font>
    <font>
      <sz val="18"/>
      <color theme="1"/>
      <name val="Calibri"/>
      <family val="2"/>
      <scheme val="minor"/>
    </font>
  </fonts>
  <fills count="58">
    <fill>
      <patternFill patternType="none"/>
    </fill>
    <fill>
      <patternFill patternType="gray125"/>
    </fill>
    <fill>
      <patternFill patternType="solid">
        <fgColor theme="3"/>
        <bgColor indexed="64"/>
      </patternFill>
    </fill>
    <fill>
      <patternFill patternType="solid">
        <fgColor theme="4" tint="0.59999389629810485"/>
        <bgColor indexed="64"/>
      </patternFill>
    </fill>
    <fill>
      <patternFill patternType="solid">
        <fgColor theme="0"/>
        <bgColor indexed="64"/>
      </patternFill>
    </fill>
    <fill>
      <patternFill patternType="solid">
        <fgColor theme="3" tint="0.39997558519241921"/>
        <bgColor indexed="64"/>
      </patternFill>
    </fill>
    <fill>
      <patternFill patternType="solid">
        <fgColor theme="8"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4"/>
        <bgColor indexed="64"/>
      </patternFill>
    </fill>
    <fill>
      <patternFill patternType="solid">
        <fgColor theme="5" tint="0.79998168889431442"/>
        <bgColor indexed="64"/>
      </patternFill>
    </fill>
    <fill>
      <patternFill patternType="solid">
        <fgColor theme="3" tint="0.79998168889431442"/>
        <bgColor indexed="64"/>
      </patternFill>
    </fill>
    <fill>
      <patternFill patternType="solid">
        <fgColor rgb="FFFFFF00"/>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0" tint="-0.14999847407452621"/>
        <bgColor indexed="64"/>
      </patternFill>
    </fill>
    <fill>
      <patternFill patternType="solid">
        <fgColor theme="8" tint="0.59999389629810485"/>
        <bgColor indexed="64"/>
      </patternFill>
    </fill>
    <fill>
      <patternFill patternType="solid">
        <fgColor theme="2"/>
        <bgColor indexed="64"/>
      </patternFill>
    </fill>
    <fill>
      <patternFill patternType="solid">
        <fgColor rgb="FF00CC00"/>
        <bgColor indexed="64"/>
      </patternFill>
    </fill>
    <fill>
      <patternFill patternType="solid">
        <fgColor rgb="FF33CC33"/>
        <bgColor indexed="64"/>
      </patternFill>
    </fill>
    <fill>
      <patternFill patternType="solid">
        <fgColor theme="4" tint="0.39997558519241921"/>
        <bgColor indexed="64"/>
      </patternFill>
    </fill>
    <fill>
      <patternFill patternType="solid">
        <fgColor theme="8"/>
        <bgColor indexed="64"/>
      </patternFill>
    </fill>
    <fill>
      <patternFill patternType="solid">
        <fgColor theme="8" tint="0.79998168889431442"/>
        <bgColor rgb="FF000000"/>
      </patternFill>
    </fill>
    <fill>
      <patternFill patternType="solid">
        <fgColor theme="2" tint="-9.9978637043366805E-2"/>
        <bgColor indexed="64"/>
      </patternFill>
    </fill>
    <fill>
      <patternFill patternType="solid">
        <fgColor theme="6" tint="0.59999389629810485"/>
        <bgColor indexed="64"/>
      </patternFill>
    </fill>
    <fill>
      <patternFill patternType="solid">
        <fgColor rgb="FFFFFFCC"/>
        <bgColor indexed="64"/>
      </patternFill>
    </fill>
    <fill>
      <patternFill patternType="solid">
        <fgColor indexed="43"/>
        <bgColor indexed="64"/>
      </patternFill>
    </fill>
    <fill>
      <patternFill patternType="solid">
        <fgColor theme="9" tint="0.59999389629810485"/>
        <bgColor indexed="64"/>
      </patternFill>
    </fill>
    <fill>
      <patternFill patternType="solid">
        <fgColor theme="7" tint="0.59999389629810485"/>
        <bgColor indexed="64"/>
      </patternFill>
    </fill>
    <fill>
      <patternFill patternType="solid">
        <fgColor theme="0"/>
        <bgColor theme="0"/>
      </patternFill>
    </fill>
    <fill>
      <patternFill patternType="solid">
        <fgColor rgb="FFFF0000"/>
        <bgColor indexed="64"/>
      </patternFill>
    </fill>
    <fill>
      <patternFill patternType="solid">
        <fgColor rgb="FF538DD5"/>
        <bgColor indexed="64"/>
      </patternFill>
    </fill>
    <fill>
      <patternFill patternType="solid">
        <fgColor rgb="FFFFFFFF"/>
        <bgColor indexed="64"/>
      </patternFill>
    </fill>
    <fill>
      <patternFill patternType="solid">
        <fgColor theme="2" tint="-0.499984740745262"/>
        <bgColor indexed="64"/>
      </patternFill>
    </fill>
    <fill>
      <patternFill patternType="solid">
        <fgColor rgb="FFFFCC99"/>
        <bgColor indexed="64"/>
      </patternFill>
    </fill>
    <fill>
      <patternFill patternType="solid">
        <fgColor rgb="FF1F497D"/>
        <bgColor indexed="64"/>
      </patternFill>
    </fill>
    <fill>
      <patternFill patternType="solid">
        <fgColor rgb="FF4F81BD"/>
        <bgColor indexed="64"/>
      </patternFill>
    </fill>
    <fill>
      <patternFill patternType="solid">
        <fgColor rgb="FFB8CCE4"/>
        <bgColor indexed="64"/>
      </patternFill>
    </fill>
    <fill>
      <patternFill patternType="solid">
        <fgColor rgb="FF4472C4"/>
        <bgColor indexed="64"/>
      </patternFill>
    </fill>
    <fill>
      <patternFill patternType="solid">
        <fgColor rgb="FFBDD7EE"/>
        <bgColor indexed="64"/>
      </patternFill>
    </fill>
    <fill>
      <patternFill patternType="solid">
        <fgColor theme="1"/>
        <bgColor indexed="64"/>
      </patternFill>
    </fill>
    <fill>
      <patternFill patternType="solid">
        <fgColor theme="5" tint="0.399975585192419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0" tint="-0.249977111117893"/>
        <bgColor indexed="64"/>
      </patternFill>
    </fill>
    <fill>
      <patternFill patternType="solid">
        <fgColor rgb="FFD9D9D9"/>
        <bgColor rgb="FF000000"/>
      </patternFill>
    </fill>
    <fill>
      <patternFill patternType="solid">
        <fgColor rgb="FF363639"/>
      </patternFill>
    </fill>
    <fill>
      <patternFill patternType="solid">
        <fgColor rgb="FF92D050"/>
        <bgColor indexed="64"/>
      </patternFill>
    </fill>
    <fill>
      <patternFill patternType="solid">
        <fgColor rgb="FFFFFF99"/>
        <bgColor indexed="64"/>
      </patternFill>
    </fill>
    <fill>
      <patternFill patternType="solid">
        <fgColor rgb="FF812D1A"/>
        <bgColor indexed="64"/>
      </patternFill>
    </fill>
    <fill>
      <patternFill patternType="solid">
        <fgColor rgb="FFF15A25"/>
        <bgColor indexed="64"/>
      </patternFill>
    </fill>
    <fill>
      <patternFill patternType="solid">
        <fgColor rgb="FF038050"/>
        <bgColor indexed="64"/>
      </patternFill>
    </fill>
    <fill>
      <patternFill patternType="solid">
        <fgColor rgb="FF13A64F"/>
        <bgColor indexed="64"/>
      </patternFill>
    </fill>
    <fill>
      <patternFill patternType="solid">
        <fgColor rgb="FF70C066"/>
        <bgColor indexed="64"/>
      </patternFill>
    </fill>
    <fill>
      <patternFill patternType="solid">
        <fgColor rgb="FF007DC6"/>
        <bgColor indexed="64"/>
      </patternFill>
    </fill>
    <fill>
      <patternFill patternType="solid">
        <fgColor rgb="FF6C2C89"/>
        <bgColor indexed="64"/>
      </patternFill>
    </fill>
    <fill>
      <patternFill patternType="solid">
        <fgColor rgb="FFB783BA"/>
        <bgColor indexed="64"/>
      </patternFill>
    </fill>
    <fill>
      <patternFill patternType="solid">
        <fgColor rgb="FFFAA61A"/>
        <bgColor indexed="64"/>
      </patternFill>
    </fill>
  </fills>
  <borders count="58">
    <border>
      <left/>
      <right/>
      <top/>
      <bottom/>
      <diagonal/>
    </border>
    <border>
      <left style="thin">
        <color theme="3" tint="0.39985351115451523"/>
      </left>
      <right style="thin">
        <color theme="3" tint="0.39985351115451523"/>
      </right>
      <top style="thin">
        <color theme="3" tint="0.39985351115451523"/>
      </top>
      <bottom style="thin">
        <color theme="3" tint="0.39985351115451523"/>
      </bottom>
      <diagonal/>
    </border>
    <border>
      <left/>
      <right/>
      <top/>
      <bottom style="thin">
        <color indexed="64"/>
      </bottom>
      <diagonal/>
    </border>
    <border>
      <left style="thin">
        <color theme="4" tint="0.39994506668294322"/>
      </left>
      <right style="thin">
        <color theme="4" tint="0.39994506668294322"/>
      </right>
      <top style="thin">
        <color theme="4" tint="0.39994506668294322"/>
      </top>
      <bottom style="thin">
        <color theme="4" tint="0.39994506668294322"/>
      </bottom>
      <diagonal/>
    </border>
    <border>
      <left/>
      <right style="thin">
        <color theme="0"/>
      </right>
      <top style="thin">
        <color theme="0"/>
      </top>
      <bottom style="thin">
        <color theme="0"/>
      </bottom>
      <diagonal/>
    </border>
    <border>
      <left/>
      <right style="thin">
        <color theme="3" tint="0.39994506668294322"/>
      </right>
      <top style="thin">
        <color theme="3" tint="0.39994506668294322"/>
      </top>
      <bottom style="thin">
        <color theme="3" tint="0.39994506668294322"/>
      </bottom>
      <diagonal/>
    </border>
    <border>
      <left style="thin">
        <color theme="3" tint="0.39994506668294322"/>
      </left>
      <right style="thin">
        <color theme="3" tint="0.39994506668294322"/>
      </right>
      <top style="thin">
        <color theme="3" tint="0.39994506668294322"/>
      </top>
      <bottom style="thin">
        <color theme="3" tint="0.39994506668294322"/>
      </bottom>
      <diagonal/>
    </border>
    <border>
      <left style="thin">
        <color theme="0"/>
      </left>
      <right style="thin">
        <color theme="0"/>
      </right>
      <top style="thin">
        <color theme="0"/>
      </top>
      <bottom style="thin">
        <color theme="0"/>
      </bottom>
      <diagonal/>
    </border>
    <border>
      <left style="thin">
        <color theme="4" tint="0.39988402966399123"/>
      </left>
      <right style="thin">
        <color theme="4" tint="0.39988402966399123"/>
      </right>
      <top style="thin">
        <color theme="4" tint="0.39988402966399123"/>
      </top>
      <bottom style="thin">
        <color theme="4" tint="0.39988402966399123"/>
      </bottom>
      <diagonal/>
    </border>
    <border>
      <left style="thin">
        <color rgb="FFB2B2B2"/>
      </left>
      <right style="thin">
        <color rgb="FFB2B2B2"/>
      </right>
      <top style="thin">
        <color rgb="FFB2B2B2"/>
      </top>
      <bottom style="thin">
        <color rgb="FFB2B2B2"/>
      </bottom>
      <diagonal/>
    </border>
    <border>
      <left style="thin">
        <color theme="4" tint="0.39991454817346722"/>
      </left>
      <right style="thin">
        <color theme="4" tint="0.39991454817346722"/>
      </right>
      <top style="thin">
        <color theme="4" tint="0.39991454817346722"/>
      </top>
      <bottom style="thin">
        <color theme="4" tint="0.39991454817346722"/>
      </bottom>
      <diagonal/>
    </border>
    <border>
      <left style="medium">
        <color auto="1"/>
      </left>
      <right/>
      <top style="medium">
        <color auto="1"/>
      </top>
      <bottom/>
      <diagonal/>
    </border>
    <border>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thin">
        <color rgb="FF0B87D6"/>
      </left>
      <right style="thin">
        <color rgb="FF0B87D6"/>
      </right>
      <top style="thin">
        <color rgb="FF0B87D6"/>
      </top>
      <bottom style="thin">
        <color rgb="FF0B87D6"/>
      </bottom>
      <diagonal/>
    </border>
    <border>
      <left style="medium">
        <color auto="1"/>
      </left>
      <right/>
      <top/>
      <bottom style="medium">
        <color auto="1"/>
      </bottom>
      <diagonal/>
    </border>
    <border>
      <left/>
      <right/>
      <top/>
      <bottom style="medium">
        <color auto="1"/>
      </bottom>
      <diagonal/>
    </border>
    <border>
      <left/>
      <right style="medium">
        <color auto="1"/>
      </right>
      <top/>
      <bottom style="medium">
        <color auto="1"/>
      </bottom>
      <diagonal/>
    </border>
    <border>
      <left/>
      <right style="thin">
        <color auto="1"/>
      </right>
      <top style="thin">
        <color auto="1"/>
      </top>
      <bottom style="thin">
        <color auto="1"/>
      </bottom>
      <diagonal/>
    </border>
    <border>
      <left style="thin">
        <color rgb="FF538DD5"/>
      </left>
      <right style="thin">
        <color rgb="FF538DD5"/>
      </right>
      <top style="thin">
        <color rgb="FF538DD5"/>
      </top>
      <bottom style="thin">
        <color rgb="FF538DD5"/>
      </bottom>
      <diagonal/>
    </border>
    <border>
      <left style="thin">
        <color rgb="FF538DD5"/>
      </left>
      <right/>
      <top style="thin">
        <color rgb="FF538DD5"/>
      </top>
      <bottom style="thin">
        <color rgb="FF538DD5"/>
      </bottom>
      <diagonal/>
    </border>
    <border>
      <left/>
      <right style="thin">
        <color rgb="FF538DD5"/>
      </right>
      <top style="thin">
        <color rgb="FF538DD5"/>
      </top>
      <bottom style="thin">
        <color rgb="FF538DD5"/>
      </bottom>
      <diagonal/>
    </border>
    <border>
      <left/>
      <right/>
      <top style="thin">
        <color rgb="FF538DD5"/>
      </top>
      <bottom style="thin">
        <color rgb="FF538DD5"/>
      </bottom>
      <diagonal/>
    </border>
    <border>
      <left/>
      <right/>
      <top style="thin">
        <color rgb="FF538DD5"/>
      </top>
      <bottom/>
      <diagonal/>
    </border>
    <border>
      <left style="thin">
        <color rgb="FF538DD5"/>
      </left>
      <right style="thin">
        <color rgb="FF538DD5"/>
      </right>
      <top style="thin">
        <color rgb="FF538DD5"/>
      </top>
      <bottom/>
      <diagonal/>
    </border>
    <border>
      <left style="thin">
        <color rgb="FF538DD5"/>
      </left>
      <right style="thin">
        <color rgb="FF538DD5"/>
      </right>
      <top/>
      <bottom/>
      <diagonal/>
    </border>
    <border>
      <left style="thin">
        <color rgb="FF538DD5"/>
      </left>
      <right style="thin">
        <color rgb="FF538DD5"/>
      </right>
      <top/>
      <bottom style="thin">
        <color rgb="FF538DD5"/>
      </bottom>
      <diagonal/>
    </border>
    <border>
      <left style="thin">
        <color theme="4" tint="0.39994506668294322"/>
      </left>
      <right/>
      <top style="thin">
        <color theme="4" tint="0.39994506668294322"/>
      </top>
      <bottom/>
      <diagonal/>
    </border>
    <border>
      <left/>
      <right/>
      <top style="thin">
        <color theme="4" tint="0.39994506668294322"/>
      </top>
      <bottom/>
      <diagonal/>
    </border>
    <border>
      <left/>
      <right style="thin">
        <color theme="4" tint="0.39994506668294322"/>
      </right>
      <top style="thin">
        <color theme="4" tint="0.39994506668294322"/>
      </top>
      <bottom/>
      <diagonal/>
    </border>
    <border>
      <left style="thin">
        <color theme="4" tint="0.39994506668294322"/>
      </left>
      <right/>
      <top/>
      <bottom style="thin">
        <color theme="4" tint="0.39994506668294322"/>
      </bottom>
      <diagonal/>
    </border>
    <border>
      <left/>
      <right/>
      <top/>
      <bottom style="thin">
        <color theme="4" tint="0.39994506668294322"/>
      </bottom>
      <diagonal/>
    </border>
    <border>
      <left/>
      <right style="thin">
        <color theme="4" tint="0.39994506668294322"/>
      </right>
      <top/>
      <bottom style="thin">
        <color theme="4" tint="0.39994506668294322"/>
      </bottom>
      <diagonal/>
    </border>
    <border>
      <left style="thin">
        <color theme="4" tint="0.39994506668294322"/>
      </left>
      <right/>
      <top style="thin">
        <color theme="4" tint="0.39994506668294322"/>
      </top>
      <bottom style="thin">
        <color theme="4" tint="0.39994506668294322"/>
      </bottom>
      <diagonal/>
    </border>
    <border>
      <left style="thin">
        <color rgb="FF0B87D6"/>
      </left>
      <right style="thin">
        <color rgb="FF0B87D6"/>
      </right>
      <top/>
      <bottom style="thin">
        <color rgb="FF0B87D6"/>
      </bottom>
      <diagonal/>
    </border>
    <border>
      <left/>
      <right style="thin">
        <color rgb="FF0B87D6"/>
      </right>
      <top style="thin">
        <color rgb="FF0B87D6"/>
      </top>
      <bottom style="thin">
        <color rgb="FF0B87D6"/>
      </bottom>
      <diagonal/>
    </border>
    <border>
      <left/>
      <right/>
      <top style="thin">
        <color theme="4" tint="0.39994506668294322"/>
      </top>
      <bottom style="thin">
        <color theme="4" tint="0.39994506668294322"/>
      </bottom>
      <diagonal/>
    </border>
    <border>
      <left/>
      <right style="thin">
        <color theme="4" tint="0.39994506668294322"/>
      </right>
      <top style="thin">
        <color theme="4" tint="0.39994506668294322"/>
      </top>
      <bottom style="thin">
        <color theme="4" tint="0.39994506668294322"/>
      </bottom>
      <diagonal/>
    </border>
    <border>
      <left style="thin">
        <color theme="4" tint="0.39994506668294322"/>
      </left>
      <right style="thin">
        <color theme="4" tint="0.39994506668294322"/>
      </right>
      <top style="thin">
        <color theme="4" tint="0.39994506668294322"/>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auto="1"/>
      </left>
      <right style="thin">
        <color auto="1"/>
      </right>
      <top/>
      <bottom style="thin">
        <color auto="1"/>
      </bottom>
      <diagonal/>
    </border>
    <border>
      <left style="thin">
        <color rgb="FF538DD5"/>
      </left>
      <right/>
      <top style="thin">
        <color rgb="FF538DD5"/>
      </top>
      <bottom style="thin">
        <color indexed="64"/>
      </bottom>
      <diagonal/>
    </border>
    <border>
      <left/>
      <right/>
      <top style="thin">
        <color rgb="FF538DD5"/>
      </top>
      <bottom style="thin">
        <color indexed="64"/>
      </bottom>
      <diagonal/>
    </border>
    <border>
      <left style="thin">
        <color theme="4" tint="0.39994506668294322"/>
      </left>
      <right/>
      <top/>
      <bottom/>
      <diagonal/>
    </border>
    <border>
      <left/>
      <right style="thin">
        <color theme="4" tint="0.39994506668294322"/>
      </right>
      <top/>
      <bottom/>
      <diagonal/>
    </border>
  </borders>
  <cellStyleXfs count="1947">
    <xf numFmtId="0" fontId="0" fillId="0" borderId="0"/>
    <xf numFmtId="0" fontId="1" fillId="0" borderId="0"/>
    <xf numFmtId="0" fontId="4" fillId="0" borderId="0"/>
    <xf numFmtId="0" fontId="9" fillId="0" borderId="0" applyNumberFormat="0" applyFill="0" applyBorder="0" applyAlignment="0" applyProtection="0"/>
    <xf numFmtId="0" fontId="11" fillId="0" borderId="0" applyBorder="0"/>
    <xf numFmtId="0" fontId="4" fillId="0" borderId="0"/>
    <xf numFmtId="0" fontId="1" fillId="0" borderId="0"/>
    <xf numFmtId="0" fontId="1" fillId="0" borderId="0"/>
    <xf numFmtId="0" fontId="4" fillId="0" borderId="0"/>
    <xf numFmtId="0" fontId="1" fillId="0" borderId="0"/>
    <xf numFmtId="0" fontId="19" fillId="0" borderId="0"/>
    <xf numFmtId="0" fontId="2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7" fontId="2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4"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4" fillId="0" borderId="0" applyFont="0" applyFill="0" applyBorder="0" applyAlignment="0" applyProtection="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 fillId="0" borderId="0"/>
    <xf numFmtId="0" fontId="23" fillId="0" borderId="0" applyNumberFormat="0" applyFill="0" applyBorder="0" applyAlignment="0" applyProtection="0">
      <alignment vertical="top"/>
      <protection locked="0"/>
    </xf>
    <xf numFmtId="0" fontId="1" fillId="0" borderId="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25" fillId="26" borderId="0" applyNumberFormat="0" applyBorder="0" applyAlignment="0" applyProtection="0">
      <alignment vertical="center"/>
    </xf>
    <xf numFmtId="0" fontId="1" fillId="0" borderId="0"/>
    <xf numFmtId="0" fontId="1" fillId="0" borderId="0"/>
    <xf numFmtId="167" fontId="24"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7" fontId="24" fillId="0" borderId="0"/>
    <xf numFmtId="0" fontId="1" fillId="0" borderId="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0" fontId="1" fillId="0" borderId="0"/>
    <xf numFmtId="0" fontId="1" fillId="0" borderId="0"/>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0" fontId="4"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0" fontId="1" fillId="0" borderId="0"/>
    <xf numFmtId="164" fontId="1" fillId="0" borderId="0" applyFont="0" applyFill="0" applyBorder="0" applyAlignment="0" applyProtection="0"/>
    <xf numFmtId="0" fontId="1" fillId="0" borderId="0"/>
    <xf numFmtId="164" fontId="1" fillId="0" borderId="0" applyFon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9" fillId="0" borderId="0" applyNumberFormat="0" applyFill="0" applyBorder="0" applyAlignment="0" applyProtection="0"/>
    <xf numFmtId="164" fontId="1" fillId="0" borderId="0" applyFont="0" applyFill="0" applyBorder="0" applyAlignment="0" applyProtection="0"/>
    <xf numFmtId="0" fontId="2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0" fontId="1" fillId="0" borderId="0"/>
    <xf numFmtId="0" fontId="1" fillId="0" borderId="0"/>
    <xf numFmtId="164" fontId="1" fillId="0" borderId="0" applyFont="0" applyFill="0" applyBorder="0" applyAlignment="0" applyProtection="0"/>
    <xf numFmtId="0" fontId="21" fillId="0" borderId="0"/>
    <xf numFmtId="164" fontId="1" fillId="0" borderId="0" applyFont="0" applyFill="0" applyBorder="0" applyAlignment="0" applyProtection="0"/>
    <xf numFmtId="164" fontId="1" fillId="0" borderId="0" applyFont="0" applyFill="0" applyBorder="0" applyAlignment="0" applyProtection="0"/>
    <xf numFmtId="0" fontId="1" fillId="0" borderId="0"/>
    <xf numFmtId="0" fontId="1" fillId="0" borderId="0"/>
    <xf numFmtId="0" fontId="28" fillId="0" borderId="0">
      <alignment vertical="center"/>
    </xf>
    <xf numFmtId="0" fontId="1" fillId="0" borderId="0"/>
    <xf numFmtId="164" fontId="1" fillId="0" borderId="0" applyFont="0" applyFill="0" applyBorder="0" applyAlignment="0" applyProtection="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26" fillId="0" borderId="0" applyNumberFormat="0" applyFill="0" applyBorder="0" applyAlignment="0" applyProtection="0">
      <alignment vertical="top"/>
      <protection locked="0"/>
    </xf>
    <xf numFmtId="0" fontId="1" fillId="0" borderId="0"/>
    <xf numFmtId="0" fontId="1" fillId="0" borderId="0"/>
    <xf numFmtId="0" fontId="19" fillId="0" borderId="0"/>
    <xf numFmtId="0" fontId="1" fillId="0" borderId="0"/>
    <xf numFmtId="0" fontId="26" fillId="0" borderId="0" applyNumberFormat="0" applyFill="0" applyBorder="0" applyAlignment="0" applyProtection="0">
      <alignment vertical="top"/>
      <protection locked="0"/>
    </xf>
    <xf numFmtId="0" fontId="1" fillId="0" borderId="0"/>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23" fillId="0" borderId="0" applyNumberFormat="0" applyFill="0" applyBorder="0" applyAlignment="0" applyProtection="0">
      <alignment vertical="top"/>
      <protection locked="0"/>
    </xf>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9" fillId="0" borderId="0" applyNumberFormat="0" applyFill="0" applyBorder="0" applyAlignment="0" applyProtection="0"/>
    <xf numFmtId="0" fontId="1" fillId="0" borderId="0"/>
    <xf numFmtId="0" fontId="9" fillId="0" borderId="0" applyNumberForma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22" fillId="0" borderId="0"/>
    <xf numFmtId="0" fontId="22" fillId="0" borderId="0"/>
    <xf numFmtId="0" fontId="22" fillId="0" borderId="0"/>
    <xf numFmtId="0" fontId="22" fillId="0" borderId="0"/>
    <xf numFmtId="0" fontId="4"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8" fillId="0" borderId="0">
      <alignment vertical="center"/>
    </xf>
    <xf numFmtId="0" fontId="1" fillId="0" borderId="0"/>
    <xf numFmtId="0" fontId="28" fillId="0" borderId="0">
      <alignment vertical="center"/>
    </xf>
    <xf numFmtId="0" fontId="1" fillId="0" borderId="0"/>
    <xf numFmtId="0" fontId="28" fillId="0" borderId="0">
      <alignment vertical="center"/>
    </xf>
    <xf numFmtId="0" fontId="19" fillId="0" borderId="0"/>
    <xf numFmtId="0" fontId="1"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9" fillId="0" borderId="0"/>
    <xf numFmtId="0" fontId="1" fillId="0" borderId="0"/>
    <xf numFmtId="0" fontId="1" fillId="0" borderId="0"/>
    <xf numFmtId="0" fontId="1" fillId="0" borderId="0"/>
    <xf numFmtId="0" fontId="1" fillId="0" borderId="0"/>
    <xf numFmtId="0" fontId="1" fillId="0" borderId="0"/>
    <xf numFmtId="0" fontId="22"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4" fillId="0" borderId="0"/>
    <xf numFmtId="0" fontId="4"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1" fillId="0" borderId="0"/>
    <xf numFmtId="0" fontId="1" fillId="0" borderId="0"/>
    <xf numFmtId="0" fontId="4" fillId="0" borderId="0"/>
    <xf numFmtId="0" fontId="1" fillId="0" borderId="0"/>
    <xf numFmtId="0" fontId="4" fillId="0" borderId="0"/>
    <xf numFmtId="0" fontId="1" fillId="0" borderId="0"/>
    <xf numFmtId="0" fontId="4" fillId="0" borderId="0"/>
    <xf numFmtId="0" fontId="21" fillId="0" borderId="0"/>
    <xf numFmtId="0" fontId="4" fillId="0" borderId="0"/>
    <xf numFmtId="0" fontId="1" fillId="0" borderId="0"/>
    <xf numFmtId="0" fontId="1" fillId="0" borderId="0"/>
    <xf numFmtId="0" fontId="4" fillId="0" borderId="0"/>
    <xf numFmtId="0" fontId="1" fillId="0" borderId="0"/>
    <xf numFmtId="0" fontId="1" fillId="0" borderId="0"/>
    <xf numFmtId="0" fontId="4"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5" fillId="26" borderId="0" applyNumberFormat="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9" fontId="1" fillId="0" borderId="0" applyFont="0" applyFill="0" applyBorder="0" applyAlignment="0" applyProtection="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30" fillId="0" borderId="0" applyNumberFormat="0" applyFill="0" applyBorder="0" applyAlignment="0" applyProtection="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9" fontId="4"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27" fillId="0" borderId="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9" fontId="1" fillId="0" borderId="0" applyFont="0" applyFill="0" applyBorder="0" applyAlignment="0" applyProtection="0"/>
    <xf numFmtId="9" fontId="1" fillId="0" borderId="0" applyFont="0" applyFill="0" applyBorder="0" applyAlignment="0" applyProtection="0"/>
    <xf numFmtId="0" fontId="1" fillId="0" borderId="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9" fillId="0" borderId="0">
      <alignment vertical="center"/>
    </xf>
    <xf numFmtId="0" fontId="1" fillId="0" borderId="0"/>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9" fontId="1" fillId="0" borderId="0" applyFont="0" applyFill="0" applyBorder="0" applyAlignment="0" applyProtection="0"/>
    <xf numFmtId="0" fontId="1" fillId="0" borderId="0"/>
    <xf numFmtId="9" fontId="1" fillId="0" borderId="0" applyFont="0" applyFill="0" applyBorder="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22"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1" fillId="0" borderId="0" applyFont="0" applyFill="0" applyBorder="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0" fontId="1" fillId="0" borderId="0"/>
    <xf numFmtId="0" fontId="1" fillId="25" borderId="9" applyNumberFormat="0" applyFont="0" applyAlignment="0" applyProtection="0"/>
    <xf numFmtId="0" fontId="1" fillId="25" borderId="9" applyNumberFormat="0" applyFont="0" applyAlignment="0" applyProtection="0"/>
    <xf numFmtId="0" fontId="1" fillId="25" borderId="9" applyNumberFormat="0" applyFont="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4"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22"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9" fontId="1" fillId="0" borderId="0" applyFont="0" applyFill="0" applyBorder="0" applyAlignment="0" applyProtection="0"/>
    <xf numFmtId="0" fontId="21" fillId="0" borderId="0"/>
    <xf numFmtId="0" fontId="27" fillId="0" borderId="0"/>
    <xf numFmtId="0" fontId="29" fillId="0" borderId="0">
      <alignment vertical="center"/>
    </xf>
    <xf numFmtId="0" fontId="29" fillId="0" borderId="0">
      <alignment vertical="center"/>
    </xf>
    <xf numFmtId="0" fontId="29" fillId="0" borderId="0">
      <alignment vertical="center"/>
    </xf>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2" fillId="0" borderId="0"/>
    <xf numFmtId="0" fontId="22" fillId="0" borderId="0"/>
    <xf numFmtId="0" fontId="22" fillId="0" borderId="0"/>
    <xf numFmtId="0" fontId="22" fillId="0" borderId="0"/>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30" fillId="0" borderId="0" applyNumberFormat="0" applyFill="0" applyBorder="0" applyAlignment="0" applyProtection="0">
      <alignment vertical="center"/>
    </xf>
    <xf numFmtId="0" fontId="25" fillId="26" borderId="0" applyNumberFormat="0" applyBorder="0" applyAlignment="0" applyProtection="0">
      <alignment vertical="center"/>
    </xf>
    <xf numFmtId="0" fontId="25" fillId="26" borderId="0" applyNumberFormat="0" applyBorder="0" applyAlignment="0" applyProtection="0">
      <alignment vertical="center"/>
    </xf>
    <xf numFmtId="0" fontId="19" fillId="0" borderId="0"/>
    <xf numFmtId="0" fontId="1" fillId="0" borderId="0"/>
    <xf numFmtId="0" fontId="48" fillId="0" borderId="0" applyNumberForma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4" fillId="0" borderId="0" applyFont="0" applyFill="0" applyBorder="0" applyAlignment="0" applyProtection="0"/>
    <xf numFmtId="164" fontId="4"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xf numFmtId="164" fontId="1" fillId="0" borderId="0" applyFont="0" applyFill="0" applyBorder="0" applyAlignment="0" applyProtection="0"/>
  </cellStyleXfs>
  <cellXfs count="535">
    <xf numFmtId="0" fontId="0" fillId="0" borderId="0" xfId="0"/>
    <xf numFmtId="0" fontId="2" fillId="2" borderId="1" xfId="1" applyFont="1" applyFill="1" applyBorder="1" applyAlignment="1">
      <alignment horizontal="left" vertical="top"/>
    </xf>
    <xf numFmtId="0" fontId="3" fillId="3" borderId="1" xfId="1" applyFont="1" applyFill="1" applyBorder="1" applyAlignment="1">
      <alignment horizontal="left" vertical="center" wrapText="1"/>
    </xf>
    <xf numFmtId="49" fontId="5" fillId="4" borderId="1" xfId="2" applyNumberFormat="1" applyFont="1" applyFill="1" applyBorder="1" applyAlignment="1">
      <alignment horizontal="left" vertical="top" wrapText="1"/>
    </xf>
    <xf numFmtId="1"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xf>
    <xf numFmtId="15" fontId="5" fillId="4" borderId="1" xfId="2" applyNumberFormat="1" applyFont="1" applyFill="1" applyBorder="1" applyAlignment="1">
      <alignment horizontal="left" vertical="top" wrapText="1"/>
    </xf>
    <xf numFmtId="0" fontId="2" fillId="5" borderId="1" xfId="1" applyFont="1" applyFill="1" applyBorder="1" applyAlignment="1">
      <alignment horizontal="left" vertical="top" wrapText="1"/>
    </xf>
    <xf numFmtId="0" fontId="0" fillId="4" borderId="0" xfId="0" applyFill="1"/>
    <xf numFmtId="0" fontId="9" fillId="0" borderId="0" xfId="3"/>
    <xf numFmtId="0" fontId="0" fillId="6" borderId="0" xfId="0" applyFill="1"/>
    <xf numFmtId="0" fontId="0" fillId="0" borderId="0" xfId="0" applyAlignment="1">
      <alignment horizontal="left" vertical="top" wrapText="1"/>
    </xf>
    <xf numFmtId="0" fontId="0" fillId="7" borderId="0" xfId="0" applyFill="1" applyAlignment="1">
      <alignment horizontal="left" vertical="top" wrapText="1"/>
    </xf>
    <xf numFmtId="0" fontId="0" fillId="8" borderId="0" xfId="0" applyFill="1" applyAlignment="1">
      <alignment horizontal="left" vertical="top" wrapText="1"/>
    </xf>
    <xf numFmtId="0" fontId="6" fillId="0" borderId="0" xfId="0" applyFont="1" applyAlignment="1">
      <alignment horizontal="left" vertical="top" wrapText="1"/>
    </xf>
    <xf numFmtId="0" fontId="10" fillId="9" borderId="0" xfId="0" applyFont="1" applyFill="1" applyAlignment="1">
      <alignment horizontal="left" vertical="top"/>
    </xf>
    <xf numFmtId="0" fontId="0" fillId="0" borderId="0" xfId="0" applyAlignment="1">
      <alignment horizontal="left" vertical="top"/>
    </xf>
    <xf numFmtId="0" fontId="10" fillId="9" borderId="0" xfId="0" applyFont="1" applyFill="1" applyAlignment="1">
      <alignment horizontal="left" vertical="top" wrapText="1"/>
    </xf>
    <xf numFmtId="0" fontId="0" fillId="10" borderId="0" xfId="0" applyFill="1"/>
    <xf numFmtId="0" fontId="0" fillId="10" borderId="0" xfId="0" applyFill="1" applyAlignment="1">
      <alignment horizontal="left" vertical="top" wrapText="1"/>
    </xf>
    <xf numFmtId="15" fontId="0" fillId="11" borderId="0" xfId="0" applyNumberFormat="1" applyFill="1" applyAlignment="1">
      <alignment horizontal="left" vertical="top" wrapText="1"/>
    </xf>
    <xf numFmtId="0" fontId="0" fillId="0" borderId="0" xfId="0" quotePrefix="1" applyAlignment="1">
      <alignment horizontal="left" vertical="top" wrapText="1"/>
    </xf>
    <xf numFmtId="15" fontId="2" fillId="5" borderId="1" xfId="1" applyNumberFormat="1" applyFont="1" applyFill="1" applyBorder="1" applyAlignment="1">
      <alignment horizontal="left" vertical="top"/>
    </xf>
    <xf numFmtId="0" fontId="13" fillId="0" borderId="1" xfId="1" applyFont="1" applyFill="1" applyBorder="1" applyAlignment="1">
      <alignment horizontal="left" vertical="top"/>
    </xf>
    <xf numFmtId="0" fontId="6" fillId="0" borderId="0" xfId="0" applyFont="1" applyAlignment="1">
      <alignment horizontal="left" vertical="top"/>
    </xf>
    <xf numFmtId="0" fontId="0" fillId="14" borderId="0" xfId="0" applyFill="1"/>
    <xf numFmtId="0" fontId="0" fillId="0" borderId="0" xfId="0" applyFill="1" applyAlignment="1">
      <alignment horizontal="left" vertical="top" wrapText="1"/>
    </xf>
    <xf numFmtId="15" fontId="9" fillId="4" borderId="1" xfId="3" applyNumberFormat="1" applyFill="1" applyBorder="1" applyAlignment="1">
      <alignment horizontal="left" vertical="top" wrapText="1"/>
    </xf>
    <xf numFmtId="0" fontId="12" fillId="16" borderId="0" xfId="0" applyFont="1" applyFill="1" applyAlignment="1">
      <alignment horizontal="left" vertical="top"/>
    </xf>
    <xf numFmtId="0" fontId="12" fillId="16" borderId="0" xfId="0" applyFont="1" applyFill="1" applyAlignment="1">
      <alignment horizontal="left" vertical="top" wrapText="1"/>
    </xf>
    <xf numFmtId="0" fontId="9" fillId="0" borderId="0" xfId="3" applyAlignment="1">
      <alignment horizontal="left" vertical="top"/>
    </xf>
    <xf numFmtId="0" fontId="15" fillId="0" borderId="0" xfId="0" applyFont="1" applyAlignment="1">
      <alignment horizontal="left" vertical="top"/>
    </xf>
    <xf numFmtId="0" fontId="16" fillId="17" borderId="0" xfId="0" applyFont="1" applyFill="1" applyAlignment="1">
      <alignment horizontal="left" vertical="top" wrapText="1"/>
    </xf>
    <xf numFmtId="0" fontId="14" fillId="17" borderId="0" xfId="0" applyFont="1" applyFill="1" applyAlignment="1">
      <alignment horizontal="left" vertical="top" wrapText="1"/>
    </xf>
    <xf numFmtId="14" fontId="14" fillId="17" borderId="0" xfId="0" applyNumberFormat="1" applyFont="1" applyFill="1" applyAlignment="1">
      <alignment horizontal="left" vertical="top" wrapText="1"/>
    </xf>
    <xf numFmtId="0" fontId="10" fillId="18" borderId="0" xfId="0" applyFont="1" applyFill="1" applyAlignment="1">
      <alignment horizontal="left" vertical="top" wrapText="1"/>
    </xf>
    <xf numFmtId="0" fontId="17" fillId="18" borderId="0" xfId="0" applyFont="1" applyFill="1" applyAlignment="1">
      <alignment horizontal="left" vertical="top" wrapText="1"/>
    </xf>
    <xf numFmtId="14" fontId="0" fillId="15" borderId="0" xfId="0" applyNumberFormat="1" applyFill="1" applyAlignment="1">
      <alignment horizontal="left" vertical="top" wrapText="1"/>
    </xf>
    <xf numFmtId="14" fontId="12" fillId="17" borderId="0" xfId="0" applyNumberFormat="1" applyFont="1" applyFill="1" applyAlignment="1">
      <alignment horizontal="left" vertical="top" wrapText="1"/>
    </xf>
    <xf numFmtId="0" fontId="12" fillId="17" borderId="0" xfId="0" applyNumberFormat="1" applyFont="1" applyFill="1" applyAlignment="1">
      <alignment horizontal="left" vertical="top" wrapText="1"/>
    </xf>
    <xf numFmtId="0" fontId="12" fillId="19" borderId="0" xfId="0" applyFont="1" applyFill="1" applyAlignment="1">
      <alignment horizontal="left" vertical="top"/>
    </xf>
    <xf numFmtId="0" fontId="12" fillId="19" borderId="0" xfId="0" applyFont="1" applyFill="1" applyAlignment="1">
      <alignment horizontal="left" vertical="top" wrapText="1"/>
    </xf>
    <xf numFmtId="0" fontId="0" fillId="0" borderId="2" xfId="0" applyBorder="1" applyAlignment="1">
      <alignment horizontal="left" vertical="top" wrapText="1"/>
    </xf>
    <xf numFmtId="0" fontId="0" fillId="4" borderId="0" xfId="0" applyFill="1" applyAlignment="1">
      <alignment horizontal="left" vertical="top"/>
    </xf>
    <xf numFmtId="0" fontId="0" fillId="4" borderId="3" xfId="0" applyFill="1" applyBorder="1" applyAlignment="1">
      <alignment horizontal="left" vertical="top"/>
    </xf>
    <xf numFmtId="15" fontId="0" fillId="4" borderId="3" xfId="0" applyNumberFormat="1" applyFill="1" applyBorder="1" applyAlignment="1">
      <alignment horizontal="left" vertical="top"/>
    </xf>
    <xf numFmtId="0" fontId="0" fillId="12" borderId="0" xfId="0" applyFill="1"/>
    <xf numFmtId="0" fontId="0" fillId="20" borderId="3" xfId="0" applyFill="1" applyBorder="1" applyAlignment="1">
      <alignment horizontal="left" vertical="top"/>
    </xf>
    <xf numFmtId="0" fontId="18" fillId="9" borderId="0" xfId="0" applyFont="1" applyFill="1" applyAlignment="1">
      <alignment horizontal="left" vertical="top" wrapText="1"/>
    </xf>
    <xf numFmtId="0" fontId="19" fillId="0" borderId="0" xfId="0" applyFont="1" applyAlignment="1">
      <alignment horizontal="left" vertical="top"/>
    </xf>
    <xf numFmtId="0" fontId="19" fillId="0" borderId="0" xfId="0" applyFont="1" applyAlignment="1">
      <alignment horizontal="left" vertical="top" wrapText="1"/>
    </xf>
    <xf numFmtId="0" fontId="19" fillId="14" borderId="0" xfId="0" applyFont="1" applyFill="1" applyAlignment="1">
      <alignment horizontal="left" vertical="top" wrapText="1"/>
    </xf>
    <xf numFmtId="0" fontId="19" fillId="15" borderId="0" xfId="0" applyFont="1" applyFill="1" applyAlignment="1">
      <alignment horizontal="left" vertical="top" wrapText="1"/>
    </xf>
    <xf numFmtId="0" fontId="9" fillId="0" borderId="0" xfId="3" applyAlignment="1">
      <alignment horizontal="left" vertical="top" wrapText="1"/>
    </xf>
    <xf numFmtId="0" fontId="19" fillId="8" borderId="0" xfId="0" applyFont="1" applyFill="1" applyAlignment="1">
      <alignment horizontal="left" vertical="top" wrapText="1"/>
    </xf>
    <xf numFmtId="15" fontId="19" fillId="15" borderId="0" xfId="0" applyNumberFormat="1" applyFont="1" applyFill="1" applyAlignment="1">
      <alignment horizontal="left" vertical="top" wrapText="1"/>
    </xf>
    <xf numFmtId="0" fontId="0" fillId="4" borderId="3" xfId="0" applyFill="1" applyBorder="1" applyAlignment="1">
      <alignment horizontal="left" vertical="top" wrapText="1"/>
    </xf>
    <xf numFmtId="0" fontId="0" fillId="0" borderId="0" xfId="0" applyAlignment="1">
      <alignment horizontal="center" vertical="center"/>
    </xf>
    <xf numFmtId="0" fontId="19" fillId="14" borderId="3" xfId="0" applyFont="1" applyFill="1" applyBorder="1" applyAlignment="1">
      <alignment horizontal="left" vertical="center" wrapText="1"/>
    </xf>
    <xf numFmtId="0" fontId="19" fillId="13" borderId="3" xfId="0" applyFont="1" applyFill="1" applyBorder="1" applyAlignment="1">
      <alignment horizontal="center" vertical="center" wrapText="1"/>
    </xf>
    <xf numFmtId="0" fontId="19" fillId="0" borderId="0" xfId="0" applyFont="1" applyAlignment="1">
      <alignment horizontal="left" vertical="center" wrapText="1"/>
    </xf>
    <xf numFmtId="0" fontId="19" fillId="0" borderId="3" xfId="0" applyFont="1" applyBorder="1" applyAlignment="1">
      <alignment horizontal="center" vertical="center" wrapText="1"/>
    </xf>
    <xf numFmtId="0" fontId="19" fillId="0" borderId="0" xfId="0" applyFont="1" applyAlignment="1">
      <alignment vertical="center" wrapText="1"/>
    </xf>
    <xf numFmtId="0" fontId="19" fillId="0" borderId="0" xfId="0" applyFont="1" applyAlignment="1">
      <alignment horizontal="center" vertical="center" wrapText="1"/>
    </xf>
    <xf numFmtId="0" fontId="0" fillId="0" borderId="0" xfId="0" applyAlignment="1">
      <alignment horizontal="center" vertical="top"/>
    </xf>
    <xf numFmtId="0" fontId="1" fillId="4" borderId="4" xfId="7" applyFill="1" applyBorder="1"/>
    <xf numFmtId="0" fontId="12" fillId="4" borderId="0" xfId="8" applyFont="1" applyFill="1" applyAlignment="1">
      <alignment horizontal="center" vertical="center" wrapText="1"/>
    </xf>
    <xf numFmtId="0" fontId="1" fillId="4" borderId="0" xfId="7" applyFill="1"/>
    <xf numFmtId="0" fontId="12" fillId="15" borderId="3" xfId="6" applyFont="1" applyFill="1" applyBorder="1" applyAlignment="1">
      <alignment horizontal="center" vertical="center" wrapText="1"/>
    </xf>
    <xf numFmtId="0" fontId="12" fillId="4" borderId="0" xfId="9" applyFont="1" applyFill="1" applyAlignment="1">
      <alignment horizontal="center" vertical="center" wrapText="1"/>
    </xf>
    <xf numFmtId="20" fontId="12" fillId="4"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0" fontId="12" fillId="4" borderId="3" xfId="8" applyFont="1" applyFill="1" applyBorder="1" applyAlignment="1">
      <alignment horizontal="center" vertical="center" wrapText="1"/>
    </xf>
    <xf numFmtId="0" fontId="0" fillId="4" borderId="0" xfId="7" applyFont="1" applyFill="1"/>
    <xf numFmtId="0" fontId="0" fillId="4" borderId="4" xfId="0" applyFill="1" applyBorder="1"/>
    <xf numFmtId="0" fontId="0" fillId="4" borderId="7" xfId="0" applyFill="1" applyBorder="1"/>
    <xf numFmtId="0" fontId="0" fillId="21" borderId="0" xfId="0" applyFill="1"/>
    <xf numFmtId="0" fontId="0" fillId="0" borderId="0" xfId="0" applyAlignment="1">
      <alignment horizontal="left" vertical="center"/>
    </xf>
    <xf numFmtId="15" fontId="9" fillId="15" borderId="0" xfId="3" applyNumberFormat="1" applyFill="1" applyAlignment="1">
      <alignment horizontal="left" vertical="top" wrapText="1"/>
    </xf>
    <xf numFmtId="15" fontId="19" fillId="15" borderId="0" xfId="0" quotePrefix="1" applyNumberFormat="1" applyFont="1" applyFill="1" applyAlignment="1">
      <alignment horizontal="left" vertical="top" wrapText="1"/>
    </xf>
    <xf numFmtId="0" fontId="0" fillId="23" borderId="0" xfId="0" applyFill="1" applyAlignment="1">
      <alignment horizontal="left" vertical="top" wrapText="1"/>
    </xf>
    <xf numFmtId="15" fontId="0" fillId="23" borderId="0" xfId="0" applyNumberFormat="1" applyFill="1" applyAlignment="1">
      <alignment horizontal="left" vertical="top" wrapText="1"/>
    </xf>
    <xf numFmtId="0" fontId="9" fillId="23" borderId="0" xfId="3" applyFill="1" applyAlignment="1">
      <alignment horizontal="left" vertical="top" wrapText="1"/>
    </xf>
    <xf numFmtId="15" fontId="5" fillId="4" borderId="1" xfId="2" applyNumberFormat="1" applyFont="1" applyFill="1" applyBorder="1" applyAlignment="1">
      <alignment horizontal="left" vertical="top" wrapText="1"/>
    </xf>
    <xf numFmtId="0" fontId="0" fillId="0" borderId="0" xfId="0" applyAlignment="1">
      <alignment horizontal="left" vertical="top" wrapText="1"/>
    </xf>
    <xf numFmtId="0" fontId="0" fillId="8" borderId="0" xfId="0" applyFill="1" applyAlignment="1">
      <alignment horizontal="left" vertical="top" wrapText="1"/>
    </xf>
    <xf numFmtId="0" fontId="0" fillId="0" borderId="0" xfId="0" applyFill="1" applyAlignment="1">
      <alignment horizontal="left" vertical="top" wrapText="1"/>
    </xf>
    <xf numFmtId="0" fontId="0" fillId="15" borderId="0" xfId="0" applyFill="1" applyAlignment="1">
      <alignment horizontal="left" vertical="top"/>
    </xf>
    <xf numFmtId="15" fontId="9" fillId="4" borderId="1" xfId="3" quotePrefix="1" applyNumberFormat="1" applyFill="1" applyBorder="1" applyAlignment="1">
      <alignment horizontal="left" vertical="top" wrapText="1"/>
    </xf>
    <xf numFmtId="0" fontId="0" fillId="0" borderId="0" xfId="0" applyFill="1" applyAlignment="1">
      <alignment horizontal="left" vertical="top" wrapText="1"/>
    </xf>
    <xf numFmtId="15" fontId="0" fillId="24" borderId="0" xfId="0" applyNumberFormat="1" applyFill="1" applyAlignment="1">
      <alignment horizontal="left" vertical="top" wrapText="1"/>
    </xf>
    <xf numFmtId="0" fontId="0" fillId="24" borderId="0" xfId="0" applyFill="1" applyAlignment="1">
      <alignment horizontal="left" vertical="top" wrapText="1"/>
    </xf>
    <xf numFmtId="1" fontId="0" fillId="24" borderId="0" xfId="0" applyNumberFormat="1" applyFill="1" applyAlignment="1">
      <alignment horizontal="left" vertical="top" wrapText="1"/>
    </xf>
    <xf numFmtId="165" fontId="19" fillId="15" borderId="0" xfId="0" quotePrefix="1" applyNumberFormat="1" applyFont="1" applyFill="1" applyAlignment="1">
      <alignment horizontal="left" vertical="top" wrapText="1"/>
    </xf>
    <xf numFmtId="165" fontId="19" fillId="0" borderId="0" xfId="0" applyNumberFormat="1" applyFont="1" applyAlignment="1">
      <alignment horizontal="left" vertical="top" wrapText="1"/>
    </xf>
    <xf numFmtId="0" fontId="9" fillId="15" borderId="0" xfId="3" applyFill="1" applyAlignment="1">
      <alignment horizontal="left" vertical="top"/>
    </xf>
    <xf numFmtId="15" fontId="9" fillId="15" borderId="0" xfId="3" applyNumberFormat="1" applyFill="1" applyAlignment="1">
      <alignment horizontal="left" vertical="top"/>
    </xf>
    <xf numFmtId="15" fontId="0" fillId="15" borderId="0" xfId="0" applyNumberFormat="1" applyFill="1" applyAlignment="1">
      <alignment horizontal="left" vertical="top"/>
    </xf>
    <xf numFmtId="0" fontId="0" fillId="0" borderId="0" xfId="0" applyAlignment="1">
      <alignment horizontal="left" vertical="top" wrapText="1"/>
    </xf>
    <xf numFmtId="0" fontId="0" fillId="8" borderId="0" xfId="0" applyFill="1" applyAlignment="1">
      <alignment horizontal="left" vertical="top" wrapText="1"/>
    </xf>
    <xf numFmtId="0" fontId="10" fillId="9" borderId="0" xfId="0" applyFont="1" applyFill="1" applyAlignment="1">
      <alignment horizontal="left" vertical="top" wrapText="1"/>
    </xf>
    <xf numFmtId="15" fontId="0" fillId="15" borderId="0" xfId="0" applyNumberFormat="1" applyFill="1" applyAlignment="1">
      <alignment horizontal="left" vertical="top" wrapText="1"/>
    </xf>
    <xf numFmtId="0" fontId="0" fillId="15" borderId="0" xfId="0" applyFill="1" applyAlignment="1">
      <alignment horizontal="left" vertical="top" wrapText="1"/>
    </xf>
    <xf numFmtId="0" fontId="0" fillId="4" borderId="0" xfId="0" applyFill="1" applyAlignment="1">
      <alignment horizontal="left" vertical="top" wrapText="1"/>
    </xf>
    <xf numFmtId="0" fontId="0" fillId="0" borderId="0" xfId="0" applyAlignment="1">
      <alignment horizontal="center" vertical="center" wrapText="1"/>
    </xf>
    <xf numFmtId="0" fontId="0" fillId="20" borderId="3" xfId="0" applyFill="1" applyBorder="1" applyAlignment="1">
      <alignment horizontal="left" vertical="top" wrapText="1"/>
    </xf>
    <xf numFmtId="0" fontId="10" fillId="9" borderId="0" xfId="0" applyFont="1" applyFill="1"/>
    <xf numFmtId="166" fontId="0" fillId="0" borderId="0" xfId="0" applyNumberFormat="1" applyAlignment="1">
      <alignment horizontal="left" vertical="top" wrapText="1"/>
    </xf>
    <xf numFmtId="0" fontId="12" fillId="19" borderId="0" xfId="0" applyFont="1" applyFill="1" applyAlignment="1">
      <alignment horizontal="left" vertical="top" wrapText="1"/>
    </xf>
    <xf numFmtId="0" fontId="10" fillId="21" borderId="8" xfId="0" applyFont="1" applyFill="1" applyBorder="1" applyAlignment="1">
      <alignment horizontal="center" vertical="top" wrapText="1"/>
    </xf>
    <xf numFmtId="0" fontId="10" fillId="21" borderId="8" xfId="0" applyFont="1" applyFill="1" applyBorder="1" applyAlignment="1">
      <alignment horizontal="left" vertical="top" wrapText="1"/>
    </xf>
    <xf numFmtId="0" fontId="10" fillId="21" borderId="8" xfId="0" applyFont="1" applyFill="1" applyBorder="1" applyAlignment="1">
      <alignment horizontal="center" vertical="center" wrapText="1"/>
    </xf>
    <xf numFmtId="0" fontId="0" fillId="0" borderId="8" xfId="0" applyBorder="1" applyAlignment="1">
      <alignment horizontal="left" vertical="top"/>
    </xf>
    <xf numFmtId="0" fontId="18" fillId="9" borderId="0" xfId="0" applyFont="1" applyFill="1" applyAlignment="1">
      <alignment horizontal="left" vertical="top"/>
    </xf>
    <xf numFmtId="0" fontId="20" fillId="9" borderId="0" xfId="0" applyFont="1" applyFill="1" applyAlignment="1">
      <alignment horizontal="left" vertical="top"/>
    </xf>
    <xf numFmtId="0" fontId="20" fillId="9" borderId="0" xfId="0" applyFont="1" applyFill="1" applyAlignment="1">
      <alignment horizontal="left" vertical="top" wrapText="1"/>
    </xf>
    <xf numFmtId="0" fontId="12" fillId="18" borderId="0" xfId="0" applyFont="1" applyFill="1" applyAlignment="1">
      <alignment horizontal="left" vertical="top" wrapText="1"/>
    </xf>
    <xf numFmtId="0" fontId="0" fillId="0" borderId="0" xfId="0" applyAlignment="1">
      <alignment horizontal="left" vertical="top" wrapText="1"/>
    </xf>
    <xf numFmtId="0" fontId="10" fillId="9" borderId="0" xfId="0" applyFont="1" applyFill="1" applyAlignment="1">
      <alignment horizontal="left" vertical="top"/>
    </xf>
    <xf numFmtId="0" fontId="0" fillId="0" borderId="0" xfId="0" quotePrefix="1" applyAlignment="1">
      <alignment horizontal="left" vertical="top" wrapText="1"/>
    </xf>
    <xf numFmtId="0" fontId="0" fillId="0" borderId="0" xfId="0" applyAlignment="1">
      <alignment horizontal="left" vertical="top"/>
    </xf>
    <xf numFmtId="0" fontId="0" fillId="8" borderId="0" xfId="0" applyFill="1" applyAlignment="1">
      <alignment horizontal="left" vertical="top" wrapText="1"/>
    </xf>
    <xf numFmtId="0" fontId="12" fillId="0" borderId="0" xfId="0" applyFont="1" applyAlignment="1">
      <alignment horizontal="left" vertical="top" wrapText="1"/>
    </xf>
    <xf numFmtId="0" fontId="12" fillId="18" borderId="0" xfId="0" applyFont="1" applyFill="1" applyAlignment="1">
      <alignment horizontal="left" vertical="top"/>
    </xf>
    <xf numFmtId="0" fontId="0" fillId="10" borderId="0" xfId="0" applyFill="1" applyAlignment="1">
      <alignment horizontal="left" vertical="top"/>
    </xf>
    <xf numFmtId="0" fontId="0" fillId="0" borderId="0" xfId="0" applyAlignment="1">
      <alignment horizontal="left" vertical="top"/>
    </xf>
    <xf numFmtId="0" fontId="0" fillId="0" borderId="0" xfId="0" applyAlignment="1">
      <alignment horizontal="left" indent="1"/>
    </xf>
    <xf numFmtId="0" fontId="19" fillId="0" borderId="0" xfId="0" quotePrefix="1" applyFont="1" applyAlignment="1">
      <alignment horizontal="left" vertical="top"/>
    </xf>
    <xf numFmtId="0" fontId="0" fillId="0" borderId="0" xfId="0" applyAlignment="1">
      <alignment horizontal="center" vertical="center"/>
    </xf>
    <xf numFmtId="0" fontId="0" fillId="0" borderId="0" xfId="0"/>
    <xf numFmtId="0" fontId="0" fillId="0" borderId="0" xfId="0" applyAlignment="1">
      <alignment horizontal="left"/>
    </xf>
    <xf numFmtId="15" fontId="0" fillId="0" borderId="0" xfId="0" applyNumberFormat="1"/>
    <xf numFmtId="0" fontId="0" fillId="0" borderId="0" xfId="0" applyAlignment="1">
      <alignment horizontal="center"/>
    </xf>
    <xf numFmtId="0" fontId="0" fillId="0" borderId="0" xfId="0" applyFill="1" applyBorder="1" applyAlignment="1">
      <alignment horizontal="left" vertical="top"/>
    </xf>
    <xf numFmtId="0" fontId="12" fillId="0" borderId="0" xfId="0" applyFont="1" applyAlignment="1">
      <alignment horizontal="left" vertical="top"/>
    </xf>
    <xf numFmtId="0" fontId="12" fillId="4" borderId="0" xfId="8" applyFont="1" applyFill="1" applyAlignment="1">
      <alignment horizontal="center" vertical="center"/>
    </xf>
    <xf numFmtId="0" fontId="1" fillId="4" borderId="0" xfId="7" applyFill="1" applyAlignment="1"/>
    <xf numFmtId="0" fontId="0" fillId="4" borderId="0" xfId="0" applyFill="1" applyAlignment="1"/>
    <xf numFmtId="0" fontId="12" fillId="4" borderId="0" xfId="8" applyFont="1" applyFill="1" applyAlignment="1">
      <alignment horizontal="left" vertical="top"/>
    </xf>
    <xf numFmtId="0" fontId="1" fillId="4" borderId="0" xfId="7" applyFill="1" applyAlignment="1">
      <alignment horizontal="left" vertical="top"/>
    </xf>
    <xf numFmtId="15" fontId="10" fillId="4" borderId="5" xfId="8" applyNumberFormat="1" applyFont="1" applyFill="1" applyBorder="1" applyAlignment="1">
      <alignment horizontal="center" vertical="center"/>
    </xf>
    <xf numFmtId="0" fontId="10" fillId="4" borderId="6" xfId="8" applyFont="1" applyFill="1" applyBorder="1" applyAlignment="1">
      <alignment horizontal="center" vertical="center"/>
    </xf>
    <xf numFmtId="165" fontId="12" fillId="4" borderId="5" xfId="8" applyNumberFormat="1" applyFont="1" applyFill="1" applyBorder="1" applyAlignment="1">
      <alignment horizontal="center" vertical="center"/>
    </xf>
    <xf numFmtId="0" fontId="12" fillId="4" borderId="6" xfId="8" applyFont="1" applyFill="1" applyBorder="1" applyAlignment="1">
      <alignment horizontal="center" vertical="center"/>
    </xf>
    <xf numFmtId="165" fontId="12" fillId="4" borderId="0" xfId="8" applyNumberFormat="1" applyFont="1" applyFill="1" applyAlignment="1">
      <alignment horizontal="center" vertical="center"/>
    </xf>
    <xf numFmtId="0" fontId="12" fillId="4" borderId="0" xfId="9" applyFont="1" applyFill="1" applyAlignment="1">
      <alignment horizontal="center" vertical="center"/>
    </xf>
    <xf numFmtId="165" fontId="19" fillId="15" borderId="0" xfId="0" applyNumberFormat="1" applyFont="1" applyFill="1" applyAlignment="1">
      <alignment horizontal="left" vertical="top" wrapText="1"/>
    </xf>
    <xf numFmtId="0" fontId="10" fillId="21" borderId="8" xfId="0" applyFont="1" applyFill="1" applyBorder="1" applyAlignment="1">
      <alignment horizontal="left" vertical="top"/>
    </xf>
    <xf numFmtId="0" fontId="19" fillId="6" borderId="3" xfId="0" applyFont="1" applyFill="1" applyBorder="1" applyAlignment="1">
      <alignment horizontal="center" vertical="center" textRotation="90" wrapText="1"/>
    </xf>
    <xf numFmtId="0" fontId="0" fillId="27" borderId="0" xfId="0" applyFill="1" applyAlignment="1">
      <alignment horizontal="center" vertical="center"/>
    </xf>
    <xf numFmtId="0" fontId="0" fillId="4" borderId="0" xfId="0" applyFill="1" applyAlignment="1">
      <alignment horizontal="center" vertical="center"/>
    </xf>
    <xf numFmtId="0" fontId="9" fillId="4" borderId="0" xfId="3" applyFill="1" applyAlignment="1">
      <alignment horizontal="center" vertical="center"/>
    </xf>
    <xf numFmtId="0" fontId="22" fillId="4" borderId="0" xfId="0" applyFont="1" applyFill="1" applyAlignment="1">
      <alignment horizontal="left" vertical="top" wrapText="1"/>
    </xf>
    <xf numFmtId="0" fontId="22" fillId="4" borderId="3" xfId="0" applyFont="1" applyFill="1" applyBorder="1" applyAlignment="1">
      <alignment horizontal="left" vertical="top" wrapText="1"/>
    </xf>
    <xf numFmtId="0" fontId="34" fillId="4" borderId="0" xfId="709" applyFont="1" applyFill="1" applyAlignment="1">
      <alignment horizontal="left" vertical="top" wrapText="1"/>
    </xf>
    <xf numFmtId="0" fontId="10" fillId="30" borderId="11" xfId="0" applyFont="1" applyFill="1" applyBorder="1"/>
    <xf numFmtId="0" fontId="10" fillId="30" borderId="12" xfId="0" applyFont="1" applyFill="1" applyBorder="1" applyAlignment="1">
      <alignment horizontal="left"/>
    </xf>
    <xf numFmtId="0" fontId="10" fillId="30" borderId="12" xfId="0" applyFont="1" applyFill="1" applyBorder="1"/>
    <xf numFmtId="0" fontId="0" fillId="4" borderId="13" xfId="0" applyFill="1" applyBorder="1"/>
    <xf numFmtId="0" fontId="0" fillId="4" borderId="14" xfId="0" applyFill="1" applyBorder="1"/>
    <xf numFmtId="0" fontId="0" fillId="4" borderId="0" xfId="0" applyFill="1" applyAlignment="1">
      <alignment horizontal="left"/>
    </xf>
    <xf numFmtId="0" fontId="0" fillId="4" borderId="15" xfId="0" applyFill="1" applyBorder="1"/>
    <xf numFmtId="0" fontId="31" fillId="4" borderId="0" xfId="0" applyFont="1" applyFill="1" applyAlignment="1">
      <alignment horizontal="center"/>
    </xf>
    <xf numFmtId="0" fontId="0" fillId="4" borderId="0" xfId="0" applyFill="1" applyAlignment="1">
      <alignment horizontal="center"/>
    </xf>
    <xf numFmtId="0" fontId="35" fillId="4" borderId="0" xfId="0" applyFont="1" applyFill="1" applyAlignment="1">
      <alignment horizontal="center" wrapText="1"/>
    </xf>
    <xf numFmtId="0" fontId="6" fillId="4" borderId="0" xfId="0" applyFont="1" applyFill="1" applyAlignment="1">
      <alignment horizontal="center"/>
    </xf>
    <xf numFmtId="0" fontId="19" fillId="4" borderId="0" xfId="0" applyFont="1" applyFill="1" applyAlignment="1">
      <alignment horizontal="center"/>
    </xf>
    <xf numFmtId="14" fontId="19" fillId="4" borderId="0" xfId="0" applyNumberFormat="1" applyFont="1" applyFill="1" applyAlignment="1">
      <alignment horizontal="center"/>
    </xf>
    <xf numFmtId="0" fontId="33" fillId="4" borderId="0" xfId="0" applyFont="1" applyFill="1" applyAlignment="1">
      <alignment horizontal="center"/>
    </xf>
    <xf numFmtId="15" fontId="31" fillId="4" borderId="0" xfId="0" applyNumberFormat="1" applyFont="1" applyFill="1" applyAlignment="1">
      <alignment horizontal="center"/>
    </xf>
    <xf numFmtId="0" fontId="10" fillId="30" borderId="0" xfId="0" applyFont="1" applyFill="1"/>
    <xf numFmtId="0" fontId="15" fillId="4" borderId="14" xfId="0" applyFont="1" applyFill="1" applyBorder="1"/>
    <xf numFmtId="0" fontId="37" fillId="31" borderId="16" xfId="0" applyFont="1" applyFill="1" applyBorder="1" applyAlignment="1">
      <alignment horizontal="center" vertical="center" wrapText="1" readingOrder="1"/>
    </xf>
    <xf numFmtId="169" fontId="10" fillId="4" borderId="0" xfId="0" applyNumberFormat="1" applyFont="1" applyFill="1"/>
    <xf numFmtId="0" fontId="38" fillId="32" borderId="16" xfId="0" applyFont="1" applyFill="1" applyBorder="1" applyAlignment="1">
      <alignment horizontal="left" vertical="center" wrapText="1" readingOrder="1"/>
    </xf>
    <xf numFmtId="15" fontId="38" fillId="32" borderId="16" xfId="0" applyNumberFormat="1" applyFont="1" applyFill="1" applyBorder="1" applyAlignment="1">
      <alignment horizontal="center" vertical="center" wrapText="1" readingOrder="1"/>
    </xf>
    <xf numFmtId="169" fontId="0" fillId="4" borderId="0" xfId="0" applyNumberFormat="1" applyFill="1"/>
    <xf numFmtId="0" fontId="19" fillId="4" borderId="0" xfId="0" applyFont="1" applyFill="1" applyAlignment="1">
      <alignment horizontal="left" vertical="top" wrapText="1"/>
    </xf>
    <xf numFmtId="0" fontId="39" fillId="4" borderId="0" xfId="0" applyFont="1" applyFill="1" applyAlignment="1">
      <alignment horizontal="left"/>
    </xf>
    <xf numFmtId="15" fontId="39" fillId="4" borderId="0" xfId="0" applyNumberFormat="1" applyFont="1" applyFill="1" applyAlignment="1">
      <alignment horizontal="left"/>
    </xf>
    <xf numFmtId="0" fontId="0" fillId="4" borderId="17" xfId="0" applyFill="1" applyBorder="1"/>
    <xf numFmtId="0" fontId="33" fillId="4" borderId="18" xfId="0" applyFont="1" applyFill="1" applyBorder="1" applyAlignment="1">
      <alignment horizontal="center"/>
    </xf>
    <xf numFmtId="0" fontId="0" fillId="4" borderId="18" xfId="0" applyFill="1" applyBorder="1" applyAlignment="1">
      <alignment horizontal="left"/>
    </xf>
    <xf numFmtId="0" fontId="0" fillId="4" borderId="18" xfId="0" applyFill="1" applyBorder="1"/>
    <xf numFmtId="0" fontId="0" fillId="4" borderId="19" xfId="0" applyFill="1" applyBorder="1"/>
    <xf numFmtId="15" fontId="19" fillId="4" borderId="0" xfId="0" applyNumberFormat="1" applyFont="1" applyFill="1" applyAlignment="1">
      <alignment horizontal="center"/>
    </xf>
    <xf numFmtId="0" fontId="0" fillId="0" borderId="0" xfId="0" applyFill="1" applyAlignment="1">
      <alignment horizontal="center" vertical="center"/>
    </xf>
    <xf numFmtId="0" fontId="14" fillId="17" borderId="0" xfId="0" applyFont="1" applyFill="1" applyAlignment="1">
      <alignment horizontal="left" vertical="top"/>
    </xf>
    <xf numFmtId="15" fontId="0" fillId="0" borderId="0" xfId="0" applyNumberFormat="1" applyFill="1" applyBorder="1" applyAlignment="1">
      <alignment horizontal="left" vertical="top"/>
    </xf>
    <xf numFmtId="0" fontId="12" fillId="0" borderId="0" xfId="0" applyFont="1" applyFill="1" applyAlignment="1">
      <alignment horizontal="left" vertical="top"/>
    </xf>
    <xf numFmtId="15" fontId="0" fillId="4" borderId="0" xfId="0" applyNumberFormat="1" applyFill="1" applyAlignment="1">
      <alignment horizontal="left" vertical="top"/>
    </xf>
    <xf numFmtId="0" fontId="0" fillId="6" borderId="0" xfId="0" applyFill="1" applyAlignment="1">
      <alignment horizontal="left" vertical="top"/>
    </xf>
    <xf numFmtId="0" fontId="10" fillId="21" borderId="0" xfId="0" applyFont="1" applyFill="1" applyAlignment="1">
      <alignment horizontal="left" vertical="top"/>
    </xf>
    <xf numFmtId="15" fontId="0" fillId="0" borderId="0" xfId="0" applyNumberFormat="1" applyAlignment="1">
      <alignment horizontal="left" vertical="top"/>
    </xf>
    <xf numFmtId="0" fontId="12" fillId="12" borderId="0" xfId="0" applyFont="1" applyFill="1" applyAlignment="1">
      <alignment horizontal="left" vertical="top"/>
    </xf>
    <xf numFmtId="0" fontId="9" fillId="12" borderId="0" xfId="3" applyFill="1" applyAlignment="1">
      <alignment horizontal="left" vertical="top"/>
    </xf>
    <xf numFmtId="0" fontId="0" fillId="4" borderId="0" xfId="0" applyFill="1" applyBorder="1"/>
    <xf numFmtId="0" fontId="39" fillId="7" borderId="20" xfId="0" applyFont="1" applyFill="1" applyBorder="1" applyAlignment="1">
      <alignment horizontal="center" vertical="center" wrapText="1"/>
    </xf>
    <xf numFmtId="0" fontId="0" fillId="35" borderId="0" xfId="0" applyFill="1" applyAlignment="1">
      <alignment horizontal="center" vertical="center"/>
    </xf>
    <xf numFmtId="0" fontId="0" fillId="36" borderId="0" xfId="0" applyFill="1" applyAlignment="1">
      <alignment horizontal="center" vertical="center"/>
    </xf>
    <xf numFmtId="0" fontId="0" fillId="36" borderId="0" xfId="0" applyFill="1"/>
    <xf numFmtId="0" fontId="0" fillId="37" borderId="0" xfId="0" applyFill="1"/>
    <xf numFmtId="0" fontId="0" fillId="4" borderId="21" xfId="0" applyFill="1" applyBorder="1"/>
    <xf numFmtId="0" fontId="41" fillId="36" borderId="21" xfId="0" applyFont="1" applyFill="1" applyBorder="1" applyAlignment="1">
      <alignment horizontal="left" vertical="top" wrapText="1"/>
    </xf>
    <xf numFmtId="15" fontId="22" fillId="4" borderId="21" xfId="0" applyNumberFormat="1" applyFont="1" applyFill="1" applyBorder="1" applyAlignment="1">
      <alignment horizontal="left" vertical="top" wrapText="1"/>
    </xf>
    <xf numFmtId="0" fontId="22" fillId="37" borderId="21" xfId="0" applyFont="1" applyFill="1" applyBorder="1"/>
    <xf numFmtId="0" fontId="22" fillId="37" borderId="21" xfId="0" applyFont="1" applyFill="1" applyBorder="1" applyAlignment="1">
      <alignment horizontal="center" vertical="center"/>
    </xf>
    <xf numFmtId="0" fontId="39" fillId="14" borderId="20" xfId="0" applyFont="1" applyFill="1" applyBorder="1" applyAlignment="1">
      <alignment horizontal="center" vertical="center" wrapText="1"/>
    </xf>
    <xf numFmtId="0" fontId="39" fillId="33" borderId="20" xfId="0" applyFont="1" applyFill="1" applyBorder="1" applyAlignment="1">
      <alignment horizontal="center" vertical="center" wrapText="1"/>
    </xf>
    <xf numFmtId="0" fontId="0" fillId="33" borderId="20" xfId="0" applyFill="1" applyBorder="1" applyAlignment="1">
      <alignment horizontal="center" vertical="center" wrapText="1"/>
    </xf>
    <xf numFmtId="0" fontId="40" fillId="14" borderId="21" xfId="0" applyFont="1" applyFill="1" applyBorder="1" applyAlignment="1">
      <alignment horizontal="center" vertical="center" textRotation="90" wrapText="1"/>
    </xf>
    <xf numFmtId="0" fontId="40" fillId="0" borderId="21" xfId="0" applyFont="1" applyBorder="1" applyAlignment="1">
      <alignment horizontal="center" vertical="center" textRotation="90"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applyFont="1" applyFill="1" applyBorder="1" applyAlignment="1">
      <alignment horizontal="center" vertical="center" wrapText="1"/>
    </xf>
    <xf numFmtId="0" fontId="9" fillId="4" borderId="0" xfId="3" applyFill="1" applyAlignment="1">
      <alignment vertical="top"/>
    </xf>
    <xf numFmtId="0" fontId="19" fillId="4" borderId="0" xfId="709" applyFont="1" applyFill="1"/>
    <xf numFmtId="0" fontId="42" fillId="4" borderId="0" xfId="0" applyFont="1" applyFill="1" applyAlignment="1">
      <alignment horizontal="center" vertical="center" wrapText="1"/>
    </xf>
    <xf numFmtId="0" fontId="19" fillId="4" borderId="0" xfId="0" applyFont="1" applyFill="1" applyAlignment="1">
      <alignment horizontal="left" vertical="center"/>
    </xf>
    <xf numFmtId="0" fontId="10" fillId="4" borderId="0" xfId="0" applyFont="1" applyFill="1"/>
    <xf numFmtId="0" fontId="36" fillId="4" borderId="0" xfId="0" applyFont="1" applyFill="1" applyAlignment="1">
      <alignment horizontal="center" vertical="center"/>
    </xf>
    <xf numFmtId="169" fontId="36" fillId="4" borderId="0" xfId="0" applyNumberFormat="1" applyFont="1" applyFill="1" applyAlignment="1">
      <alignment horizontal="center" vertical="center"/>
    </xf>
    <xf numFmtId="0" fontId="34" fillId="4" borderId="0" xfId="1065" applyFont="1" applyFill="1" applyAlignment="1">
      <alignment horizontal="center" vertical="top"/>
    </xf>
    <xf numFmtId="0" fontId="34" fillId="4" borderId="0" xfId="1065" applyFont="1" applyFill="1" applyAlignment="1">
      <alignment horizontal="left" vertical="top"/>
    </xf>
    <xf numFmtId="0" fontId="34" fillId="4" borderId="25" xfId="1065" applyFont="1" applyFill="1" applyBorder="1" applyAlignment="1">
      <alignment horizontal="left" vertical="top"/>
    </xf>
    <xf numFmtId="0" fontId="40" fillId="4" borderId="25" xfId="1065" applyFont="1" applyFill="1" applyBorder="1" applyAlignment="1">
      <alignment horizontal="left" vertical="top"/>
    </xf>
    <xf numFmtId="0" fontId="41" fillId="36" borderId="21" xfId="0" applyFont="1" applyFill="1" applyBorder="1" applyAlignment="1">
      <alignment horizontal="center" vertical="top" wrapText="1"/>
    </xf>
    <xf numFmtId="0" fontId="40" fillId="4" borderId="25" xfId="1065" applyFont="1" applyFill="1" applyBorder="1" applyAlignment="1">
      <alignment horizontal="center" vertical="top"/>
    </xf>
    <xf numFmtId="0" fontId="43" fillId="4" borderId="21" xfId="1065" applyFont="1" applyFill="1" applyBorder="1" applyAlignment="1">
      <alignment horizontal="left" vertical="top" wrapText="1"/>
    </xf>
    <xf numFmtId="0" fontId="43" fillId="4" borderId="21" xfId="1065" applyFont="1" applyFill="1" applyBorder="1" applyAlignment="1">
      <alignment horizontal="center" vertical="top" wrapText="1"/>
    </xf>
    <xf numFmtId="0" fontId="22" fillId="4" borderId="21" xfId="1065" applyFont="1" applyFill="1" applyBorder="1" applyAlignment="1">
      <alignment horizontal="center" vertical="top"/>
    </xf>
    <xf numFmtId="0" fontId="12" fillId="15" borderId="3" xfId="6" applyFont="1" applyFill="1" applyBorder="1" applyAlignment="1">
      <alignment horizontal="center" vertical="center" wrapText="1"/>
    </xf>
    <xf numFmtId="0" fontId="12" fillId="4" borderId="3" xfId="8" applyFont="1" applyFill="1" applyBorder="1" applyAlignment="1">
      <alignment horizontal="center" vertical="center" wrapText="1"/>
    </xf>
    <xf numFmtId="0" fontId="12" fillId="15" borderId="3" xfId="9" applyFont="1" applyFill="1" applyBorder="1" applyAlignment="1">
      <alignment horizontal="center" vertical="center" wrapText="1"/>
    </xf>
    <xf numFmtId="0" fontId="0" fillId="4" borderId="0" xfId="0" applyFill="1" applyAlignment="1">
      <alignment horizontal="left" vertical="center"/>
    </xf>
    <xf numFmtId="0" fontId="45" fillId="0" borderId="0" xfId="0" applyFont="1"/>
    <xf numFmtId="0" fontId="45" fillId="29" borderId="0" xfId="0" applyFont="1" applyFill="1" applyAlignment="1">
      <alignment vertical="center" wrapText="1"/>
    </xf>
    <xf numFmtId="0" fontId="45" fillId="29" borderId="0" xfId="0" applyFont="1" applyFill="1"/>
    <xf numFmtId="0" fontId="0" fillId="0" borderId="0" xfId="0" applyFill="1" applyAlignment="1">
      <alignment horizontal="left" vertical="top"/>
    </xf>
    <xf numFmtId="165" fontId="12" fillId="17" borderId="0" xfId="0" applyNumberFormat="1" applyFont="1" applyFill="1" applyAlignment="1">
      <alignment horizontal="left" vertical="top" wrapText="1"/>
    </xf>
    <xf numFmtId="0" fontId="18" fillId="0" borderId="0" xfId="0" applyFont="1" applyFill="1" applyBorder="1" applyAlignment="1">
      <alignment horizontal="center" vertical="center" wrapText="1"/>
    </xf>
    <xf numFmtId="169" fontId="46" fillId="0" borderId="0" xfId="0" applyNumberFormat="1" applyFont="1" applyFill="1" applyBorder="1" applyAlignment="1">
      <alignment horizontal="center" vertical="center"/>
    </xf>
    <xf numFmtId="0" fontId="0" fillId="12" borderId="0" xfId="0" applyFill="1" applyAlignment="1">
      <alignment horizontal="left" vertical="top" wrapText="1"/>
    </xf>
    <xf numFmtId="0" fontId="47" fillId="4" borderId="0" xfId="0" applyFont="1" applyFill="1" applyAlignment="1">
      <alignment horizontal="left" vertical="top" wrapText="1"/>
    </xf>
    <xf numFmtId="0" fontId="47" fillId="4" borderId="0" xfId="0" applyFont="1" applyFill="1" applyAlignment="1">
      <alignment horizontal="center" vertical="center"/>
    </xf>
    <xf numFmtId="0" fontId="22" fillId="4" borderId="0" xfId="0" applyFont="1" applyFill="1" applyAlignment="1">
      <alignment horizontal="center" vertical="center"/>
    </xf>
    <xf numFmtId="0" fontId="22" fillId="4" borderId="0" xfId="0" applyFont="1" applyFill="1"/>
    <xf numFmtId="0" fontId="43" fillId="4" borderId="21" xfId="0" applyFont="1" applyFill="1" applyBorder="1" applyAlignment="1">
      <alignment horizontal="center" vertical="center"/>
    </xf>
    <xf numFmtId="0" fontId="0" fillId="12" borderId="0" xfId="0" applyFill="1" applyBorder="1" applyAlignment="1">
      <alignment horizontal="left" vertical="top"/>
    </xf>
    <xf numFmtId="0" fontId="0" fillId="30" borderId="0" xfId="0" applyFill="1" applyAlignment="1">
      <alignment horizontal="left" vertical="top"/>
    </xf>
    <xf numFmtId="0" fontId="0" fillId="12" borderId="0" xfId="0" applyFill="1" applyAlignment="1">
      <alignment horizontal="left" vertical="top"/>
    </xf>
    <xf numFmtId="0" fontId="51" fillId="38" borderId="0" xfId="0" applyFont="1" applyFill="1" applyAlignment="1">
      <alignment vertical="center"/>
    </xf>
    <xf numFmtId="0" fontId="51" fillId="38" borderId="0" xfId="0" applyFont="1" applyFill="1" applyAlignment="1">
      <alignment vertical="center" wrapText="1"/>
    </xf>
    <xf numFmtId="0" fontId="0" fillId="0" borderId="0" xfId="0" applyAlignment="1">
      <alignment vertical="top"/>
    </xf>
    <xf numFmtId="0" fontId="0" fillId="0" borderId="0" xfId="0" applyAlignment="1">
      <alignment vertical="center"/>
    </xf>
    <xf numFmtId="0" fontId="50" fillId="0" borderId="12" xfId="0" applyFont="1" applyBorder="1" applyAlignment="1">
      <alignment vertical="center" wrapText="1"/>
    </xf>
    <xf numFmtId="0" fontId="50" fillId="0" borderId="18" xfId="0" applyFont="1" applyBorder="1" applyAlignment="1">
      <alignment vertical="center" wrapText="1"/>
    </xf>
    <xf numFmtId="0" fontId="50" fillId="0" borderId="0" xfId="0" applyFont="1" applyAlignment="1">
      <alignment vertical="center" wrapText="1"/>
    </xf>
    <xf numFmtId="0" fontId="50" fillId="12" borderId="0" xfId="0" applyFont="1" applyFill="1" applyAlignment="1">
      <alignment vertical="center"/>
    </xf>
    <xf numFmtId="0" fontId="15" fillId="12" borderId="0" xfId="0" applyFont="1" applyFill="1" applyAlignment="1">
      <alignment horizontal="left" vertical="top" wrapText="1"/>
    </xf>
    <xf numFmtId="0" fontId="20" fillId="9" borderId="0" xfId="0" applyFont="1" applyFill="1" applyAlignment="1">
      <alignment horizontal="center" vertical="center" wrapText="1"/>
    </xf>
    <xf numFmtId="0" fontId="34" fillId="14" borderId="3" xfId="0" applyFont="1" applyFill="1" applyBorder="1" applyAlignment="1">
      <alignment horizontal="center" vertical="center" wrapText="1"/>
    </xf>
    <xf numFmtId="0" fontId="34" fillId="13" borderId="3" xfId="0" applyFont="1" applyFill="1" applyBorder="1" applyAlignment="1">
      <alignment horizontal="center" vertical="center" wrapText="1"/>
    </xf>
    <xf numFmtId="0" fontId="34" fillId="10" borderId="0" xfId="0" applyFont="1" applyFill="1" applyAlignment="1">
      <alignment horizontal="center" vertical="center" textRotation="90" wrapText="1"/>
    </xf>
    <xf numFmtId="0" fontId="52" fillId="40" borderId="0" xfId="0" applyFont="1" applyFill="1" applyAlignment="1">
      <alignment horizontal="center" vertical="center" textRotation="90" wrapText="1"/>
    </xf>
    <xf numFmtId="0" fontId="34" fillId="0" borderId="0" xfId="0" applyFont="1" applyAlignment="1">
      <alignment horizontal="left" vertical="top" wrapText="1"/>
    </xf>
    <xf numFmtId="0" fontId="34" fillId="4" borderId="3" xfId="0" applyFont="1" applyFill="1" applyBorder="1" applyAlignment="1">
      <alignment horizontal="left" vertical="top" wrapText="1"/>
    </xf>
    <xf numFmtId="166" fontId="34" fillId="0" borderId="0" xfId="0" applyNumberFormat="1" applyFont="1" applyAlignment="1">
      <alignment horizontal="left" vertical="top" wrapText="1"/>
    </xf>
    <xf numFmtId="0" fontId="34" fillId="4" borderId="3" xfId="0" applyFont="1" applyFill="1" applyBorder="1" applyAlignment="1">
      <alignment horizontal="center" vertical="center" wrapText="1"/>
    </xf>
    <xf numFmtId="0" fontId="5" fillId="4" borderId="21" xfId="0" applyFont="1" applyFill="1" applyBorder="1" applyAlignment="1">
      <alignment horizontal="center" vertical="center"/>
    </xf>
    <xf numFmtId="0" fontId="34" fillId="4" borderId="10" xfId="0" applyFont="1" applyFill="1" applyBorder="1" applyAlignment="1">
      <alignment horizontal="center" vertical="center" wrapText="1"/>
    </xf>
    <xf numFmtId="0" fontId="52" fillId="40" borderId="0" xfId="0" applyFont="1" applyFill="1" applyAlignment="1">
      <alignment horizontal="center" vertical="center" wrapText="1"/>
    </xf>
    <xf numFmtId="166" fontId="34" fillId="4" borderId="3" xfId="0" applyNumberFormat="1" applyFont="1" applyFill="1" applyBorder="1" applyAlignment="1">
      <alignment horizontal="left" vertical="top" wrapText="1"/>
    </xf>
    <xf numFmtId="0" fontId="34" fillId="4" borderId="35" xfId="0" applyFont="1" applyFill="1" applyBorder="1" applyAlignment="1">
      <alignment horizontal="center" vertical="center" wrapText="1"/>
    </xf>
    <xf numFmtId="0" fontId="34" fillId="0" borderId="3" xfId="0" applyFont="1" applyBorder="1" applyAlignment="1">
      <alignment horizontal="left" vertical="top" wrapText="1"/>
    </xf>
    <xf numFmtId="0" fontId="34" fillId="42" borderId="3" xfId="0" applyFont="1" applyFill="1" applyBorder="1" applyAlignment="1">
      <alignment horizontal="left" vertical="top" wrapText="1"/>
    </xf>
    <xf numFmtId="0" fontId="5" fillId="42" borderId="21" xfId="0" applyFont="1" applyFill="1" applyBorder="1" applyAlignment="1">
      <alignment horizontal="center" vertical="center"/>
    </xf>
    <xf numFmtId="15" fontId="31" fillId="4" borderId="0" xfId="0" applyNumberFormat="1" applyFont="1" applyFill="1" applyBorder="1" applyAlignment="1">
      <alignment horizontal="center"/>
    </xf>
    <xf numFmtId="0" fontId="37" fillId="31" borderId="37" xfId="0" applyFont="1" applyFill="1" applyBorder="1" applyAlignment="1">
      <alignment horizontal="left" vertical="center" wrapText="1" readingOrder="1"/>
    </xf>
    <xf numFmtId="0" fontId="38" fillId="32" borderId="36" xfId="0" applyFont="1" applyFill="1" applyBorder="1" applyAlignment="1">
      <alignment horizontal="left" vertical="center" wrapText="1" readingOrder="1"/>
    </xf>
    <xf numFmtId="0" fontId="37" fillId="31" borderId="0" xfId="0" applyFont="1" applyFill="1" applyBorder="1" applyAlignment="1">
      <alignment horizontal="left" vertical="center" wrapText="1" readingOrder="1"/>
    </xf>
    <xf numFmtId="0" fontId="0" fillId="0" borderId="0" xfId="0" applyAlignment="1">
      <alignment horizontal="left" indent="2"/>
    </xf>
    <xf numFmtId="0" fontId="0" fillId="13" borderId="0" xfId="0" applyFill="1" applyAlignment="1">
      <alignment horizontal="center" vertical="center"/>
    </xf>
    <xf numFmtId="0" fontId="0" fillId="0" borderId="0" xfId="0" applyAlignment="1">
      <alignment wrapText="1"/>
    </xf>
    <xf numFmtId="0" fontId="0" fillId="43" borderId="0" xfId="0" applyFill="1" applyAlignment="1">
      <alignment horizontal="center" vertical="center"/>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15" borderId="21" xfId="0" quotePrefix="1" applyFont="1" applyFill="1" applyBorder="1" applyAlignment="1">
      <alignment horizontal="center" vertical="center" wrapText="1"/>
    </xf>
    <xf numFmtId="0" fontId="53" fillId="45" borderId="21" xfId="0" quotePrefix="1" applyFont="1" applyFill="1" applyBorder="1" applyAlignment="1">
      <alignment horizontal="center" vertical="center" wrapText="1"/>
    </xf>
    <xf numFmtId="0" fontId="53" fillId="45" borderId="21" xfId="0" applyFont="1" applyFill="1" applyBorder="1" applyAlignment="1">
      <alignment horizontal="center" vertical="center" wrapText="1"/>
    </xf>
    <xf numFmtId="0" fontId="19" fillId="14" borderId="40" xfId="0" applyFont="1" applyFill="1" applyBorder="1" applyAlignment="1">
      <alignment horizontal="left" vertical="center" wrapText="1"/>
    </xf>
    <xf numFmtId="0" fontId="19" fillId="13" borderId="40" xfId="0" applyFont="1" applyFill="1" applyBorder="1" applyAlignment="1">
      <alignment horizontal="center" vertical="center" wrapText="1"/>
    </xf>
    <xf numFmtId="0" fontId="19" fillId="0" borderId="10" xfId="0" applyFont="1" applyBorder="1" applyAlignment="1">
      <alignment horizontal="center" vertical="center" wrapText="1"/>
    </xf>
    <xf numFmtId="15" fontId="0" fillId="0" borderId="0" xfId="0" applyNumberFormat="1" applyAlignment="1">
      <alignment horizontal="left" vertical="top" wrapText="1"/>
    </xf>
    <xf numFmtId="0" fontId="0" fillId="3" borderId="0" xfId="0" applyFill="1" applyAlignment="1">
      <alignment horizontal="left" vertical="top" wrapText="1"/>
    </xf>
    <xf numFmtId="0" fontId="0" fillId="0" borderId="41" xfId="0" applyBorder="1" applyAlignment="1">
      <alignment horizontal="left" vertical="top" wrapText="1"/>
    </xf>
    <xf numFmtId="0" fontId="0" fillId="24" borderId="41" xfId="0" applyFill="1" applyBorder="1" applyAlignment="1">
      <alignment horizontal="left" vertical="top" wrapText="1"/>
    </xf>
    <xf numFmtId="0" fontId="0" fillId="8" borderId="41" xfId="0" applyFill="1" applyBorder="1" applyAlignment="1">
      <alignment horizontal="left" vertical="top" wrapText="1"/>
    </xf>
    <xf numFmtId="15" fontId="5" fillId="4" borderId="1" xfId="2" applyNumberFormat="1" applyFont="1" applyFill="1" applyBorder="1" applyAlignment="1">
      <alignment horizontal="left" vertical="top" wrapText="1"/>
    </xf>
    <xf numFmtId="15" fontId="5" fillId="4" borderId="1" xfId="2" quotePrefix="1" applyNumberFormat="1" applyFont="1" applyFill="1" applyBorder="1" applyAlignment="1">
      <alignment horizontal="left" vertical="top" wrapText="1"/>
    </xf>
    <xf numFmtId="0" fontId="34" fillId="4" borderId="3" xfId="0" applyFont="1" applyFill="1" applyBorder="1" applyAlignment="1">
      <alignment horizontal="left" vertical="top" wrapText="1"/>
    </xf>
    <xf numFmtId="0" fontId="9" fillId="0" borderId="0" xfId="3" applyFill="1" applyAlignment="1">
      <alignment horizontal="left" vertical="top" wrapText="1"/>
    </xf>
    <xf numFmtId="0" fontId="18" fillId="9" borderId="0" xfId="0" applyFont="1" applyFill="1" applyAlignment="1">
      <alignment horizontal="left" vertical="center"/>
    </xf>
    <xf numFmtId="0" fontId="18" fillId="9" borderId="0" xfId="0" applyFont="1" applyFill="1" applyAlignment="1">
      <alignment horizontal="left" vertical="center" wrapText="1"/>
    </xf>
    <xf numFmtId="0" fontId="20" fillId="9" borderId="0" xfId="0" applyFont="1" applyFill="1" applyAlignment="1">
      <alignment horizontal="left" vertical="center"/>
    </xf>
    <xf numFmtId="0" fontId="20" fillId="9" borderId="0" xfId="0" applyFont="1" applyFill="1" applyAlignment="1">
      <alignment horizontal="left" vertical="center" wrapText="1"/>
    </xf>
    <xf numFmtId="0" fontId="19" fillId="0" borderId="0" xfId="0" applyFont="1" applyFill="1" applyAlignment="1">
      <alignment horizontal="left" vertical="top"/>
    </xf>
    <xf numFmtId="0" fontId="19" fillId="0" borderId="0" xfId="0" applyFont="1" applyBorder="1" applyAlignment="1">
      <alignment vertical="center" wrapText="1"/>
    </xf>
    <xf numFmtId="0" fontId="0" fillId="0" borderId="0" xfId="0"/>
    <xf numFmtId="0" fontId="0" fillId="0" borderId="0" xfId="0" applyAlignment="1">
      <alignment horizontal="left"/>
    </xf>
    <xf numFmtId="0" fontId="19" fillId="0" borderId="0" xfId="0" applyFont="1" applyAlignment="1">
      <alignment vertical="center" wrapText="1"/>
    </xf>
    <xf numFmtId="0" fontId="0" fillId="0" borderId="0" xfId="0" pivotButton="1"/>
    <xf numFmtId="0" fontId="0" fillId="0" borderId="0" xfId="0" applyNumberFormat="1"/>
    <xf numFmtId="0" fontId="20" fillId="9" borderId="0" xfId="0" applyFont="1" applyFill="1" applyBorder="1" applyAlignment="1">
      <alignment horizontal="left" vertical="center" wrapText="1"/>
    </xf>
    <xf numFmtId="0" fontId="0" fillId="0" borderId="0" xfId="0" applyAlignment="1">
      <alignment vertical="center" wrapText="1"/>
    </xf>
    <xf numFmtId="0" fontId="0" fillId="0" borderId="0" xfId="0" applyAlignment="1">
      <alignment horizontal="left" vertical="center" wrapText="1"/>
    </xf>
    <xf numFmtId="0" fontId="0" fillId="44" borderId="0" xfId="0" applyFill="1" applyAlignment="1">
      <alignment horizontal="left" vertical="top"/>
    </xf>
    <xf numFmtId="0" fontId="0" fillId="7" borderId="8" xfId="0" applyFill="1" applyBorder="1" applyAlignment="1">
      <alignment horizontal="left" vertical="top"/>
    </xf>
    <xf numFmtId="0" fontId="0" fillId="7" borderId="0" xfId="0" applyFill="1"/>
    <xf numFmtId="0" fontId="0" fillId="0" borderId="0" xfId="0"/>
    <xf numFmtId="0" fontId="19" fillId="0" borderId="0" xfId="0" applyFont="1" applyAlignment="1">
      <alignment vertical="center" wrapText="1"/>
    </xf>
    <xf numFmtId="0" fontId="19" fillId="0" borderId="10" xfId="0" applyFont="1" applyBorder="1" applyAlignment="1">
      <alignment vertical="center" wrapText="1"/>
    </xf>
    <xf numFmtId="0" fontId="19" fillId="0" borderId="0" xfId="0" applyFont="1" applyBorder="1" applyAlignment="1">
      <alignment vertical="center" wrapText="1"/>
    </xf>
    <xf numFmtId="14" fontId="0" fillId="0" borderId="0" xfId="0" applyNumberFormat="1"/>
    <xf numFmtId="49" fontId="5" fillId="12" borderId="1" xfId="2" applyNumberFormat="1" applyFont="1" applyFill="1" applyBorder="1" applyAlignment="1">
      <alignment horizontal="left" vertical="top" wrapText="1"/>
    </xf>
    <xf numFmtId="15" fontId="5" fillId="0" borderId="1" xfId="2" applyNumberFormat="1" applyFont="1" applyBorder="1" applyAlignment="1">
      <alignment horizontal="left" vertical="top" wrapText="1"/>
    </xf>
    <xf numFmtId="15" fontId="5" fillId="0" borderId="1" xfId="2" quotePrefix="1" applyNumberFormat="1" applyFont="1" applyBorder="1" applyAlignment="1">
      <alignment horizontal="left" vertical="top" wrapText="1"/>
    </xf>
    <xf numFmtId="15" fontId="9" fillId="0" borderId="1" xfId="3" applyNumberFormat="1" applyFill="1" applyBorder="1" applyAlignment="1">
      <alignment horizontal="left" vertical="top" wrapText="1"/>
    </xf>
    <xf numFmtId="0" fontId="19" fillId="12" borderId="0" xfId="0" applyFont="1" applyFill="1" applyAlignment="1">
      <alignment horizontal="left" vertical="top" wrapText="1"/>
    </xf>
    <xf numFmtId="0" fontId="19" fillId="15" borderId="10" xfId="0" applyFont="1" applyFill="1" applyBorder="1" applyAlignment="1">
      <alignment vertical="center" wrapText="1"/>
    </xf>
    <xf numFmtId="0" fontId="0" fillId="15" borderId="0" xfId="0" applyFill="1" applyAlignment="1">
      <alignment horizontal="center" vertical="top"/>
    </xf>
    <xf numFmtId="0" fontId="0" fillId="0" borderId="0" xfId="0" applyFill="1" applyAlignment="1">
      <alignment horizontal="center" vertical="top"/>
    </xf>
    <xf numFmtId="0" fontId="56" fillId="46" borderId="42" xfId="0" applyFont="1" applyFill="1" applyBorder="1" applyAlignment="1">
      <alignment horizontal="center" vertical="center"/>
    </xf>
    <xf numFmtId="16" fontId="56" fillId="46" borderId="43" xfId="0" applyNumberFormat="1" applyFont="1" applyFill="1" applyBorder="1" applyAlignment="1">
      <alignment horizontal="center" vertical="center"/>
    </xf>
    <xf numFmtId="16" fontId="56" fillId="46" borderId="42" xfId="0" applyNumberFormat="1" applyFont="1" applyFill="1" applyBorder="1" applyAlignment="1">
      <alignment horizontal="center" vertical="center"/>
    </xf>
    <xf numFmtId="0" fontId="56" fillId="46" borderId="44" xfId="0" applyFont="1" applyFill="1" applyBorder="1" applyAlignment="1">
      <alignment horizontal="center" vertical="center"/>
    </xf>
    <xf numFmtId="20" fontId="12" fillId="4" borderId="45" xfId="2" applyNumberFormat="1" applyFont="1" applyFill="1" applyBorder="1" applyAlignment="1">
      <alignment horizontal="center" vertical="center" wrapText="1"/>
    </xf>
    <xf numFmtId="0" fontId="0" fillId="8" borderId="41" xfId="0" applyFill="1" applyBorder="1" applyAlignment="1">
      <alignment horizontal="center" vertical="center" wrapText="1"/>
    </xf>
    <xf numFmtId="0" fontId="0" fillId="47" borderId="41" xfId="0" applyFill="1" applyBorder="1" applyAlignment="1">
      <alignment horizontal="center" vertical="center"/>
    </xf>
    <xf numFmtId="20" fontId="0" fillId="0" borderId="46" xfId="0" applyNumberFormat="1" applyBorder="1" applyAlignment="1">
      <alignment horizontal="center"/>
    </xf>
    <xf numFmtId="0" fontId="0" fillId="4" borderId="41" xfId="0" applyFill="1" applyBorder="1" applyAlignment="1">
      <alignment horizontal="center" vertical="center" wrapText="1"/>
    </xf>
    <xf numFmtId="0" fontId="0" fillId="4" borderId="20" xfId="0" applyFill="1" applyBorder="1" applyAlignment="1">
      <alignment horizontal="center" vertical="center" wrapText="1"/>
    </xf>
    <xf numFmtId="0" fontId="0" fillId="48" borderId="20" xfId="0" applyFill="1" applyBorder="1" applyAlignment="1">
      <alignment horizontal="center" vertical="center" wrapText="1"/>
    </xf>
    <xf numFmtId="0" fontId="0" fillId="47" borderId="20" xfId="0" applyFill="1" applyBorder="1" applyAlignment="1">
      <alignment horizontal="center" vertical="center"/>
    </xf>
    <xf numFmtId="20" fontId="12" fillId="4" borderId="47" xfId="2" applyNumberFormat="1" applyFont="1" applyFill="1" applyBorder="1" applyAlignment="1">
      <alignment horizontal="center" vertical="center" wrapText="1"/>
    </xf>
    <xf numFmtId="20" fontId="0" fillId="0" borderId="50" xfId="0" applyNumberFormat="1" applyBorder="1" applyAlignment="1">
      <alignment horizontal="center"/>
    </xf>
    <xf numFmtId="0" fontId="0" fillId="43" borderId="20" xfId="0" applyFill="1" applyBorder="1" applyAlignment="1">
      <alignment horizontal="center" vertical="center" wrapText="1"/>
    </xf>
    <xf numFmtId="0" fontId="0" fillId="4" borderId="0" xfId="0" applyFont="1" applyFill="1"/>
    <xf numFmtId="0" fontId="0" fillId="0" borderId="0" xfId="0" applyFont="1" applyAlignment="1">
      <alignment horizontal="left" vertical="top"/>
    </xf>
    <xf numFmtId="0" fontId="10" fillId="49" borderId="0" xfId="0" applyFont="1" applyFill="1" applyAlignment="1">
      <alignment horizontal="left" vertical="top"/>
    </xf>
    <xf numFmtId="0" fontId="10" fillId="50" borderId="0" xfId="0" applyFont="1" applyFill="1" applyAlignment="1">
      <alignment horizontal="left" vertical="top" wrapText="1"/>
    </xf>
    <xf numFmtId="0" fontId="10" fillId="51" borderId="0" xfId="0" applyFont="1" applyFill="1" applyAlignment="1">
      <alignment horizontal="left" vertical="top"/>
    </xf>
    <xf numFmtId="0" fontId="10" fillId="52" borderId="0" xfId="0" applyFont="1" applyFill="1" applyAlignment="1">
      <alignment horizontal="left" vertical="top"/>
    </xf>
    <xf numFmtId="0" fontId="10" fillId="53" borderId="0" xfId="0" applyFont="1" applyFill="1" applyAlignment="1">
      <alignment horizontal="left" vertical="top" wrapText="1"/>
    </xf>
    <xf numFmtId="0" fontId="10" fillId="54" borderId="0" xfId="0" applyFont="1" applyFill="1" applyAlignment="1">
      <alignment horizontal="left" vertical="top"/>
    </xf>
    <xf numFmtId="0" fontId="10" fillId="55" borderId="0" xfId="0" applyFont="1" applyFill="1" applyAlignment="1">
      <alignment horizontal="left" vertical="top"/>
    </xf>
    <xf numFmtId="0" fontId="0" fillId="56" borderId="0" xfId="0" applyFill="1" applyAlignment="1">
      <alignment horizontal="left" vertical="top"/>
    </xf>
    <xf numFmtId="0" fontId="10" fillId="56" borderId="0" xfId="0" applyFont="1" applyFill="1" applyAlignment="1">
      <alignment horizontal="left" vertical="top"/>
    </xf>
    <xf numFmtId="0" fontId="0" fillId="4" borderId="0" xfId="0" applyFont="1" applyFill="1" applyBorder="1" applyAlignment="1">
      <alignment horizontal="center" vertical="center" wrapText="1"/>
    </xf>
    <xf numFmtId="0" fontId="0" fillId="4" borderId="20" xfId="0" applyFont="1" applyFill="1" applyBorder="1" applyAlignment="1">
      <alignment horizontal="center" vertical="center" wrapText="1"/>
    </xf>
    <xf numFmtId="0" fontId="0" fillId="44" borderId="0" xfId="0" applyFont="1" applyFill="1" applyAlignment="1">
      <alignment horizontal="left" vertical="top"/>
    </xf>
    <xf numFmtId="0" fontId="0" fillId="57" borderId="0" xfId="0" applyFill="1" applyAlignment="1">
      <alignment horizontal="left" vertical="top"/>
    </xf>
    <xf numFmtId="0" fontId="10" fillId="57" borderId="0" xfId="0" applyFont="1" applyFill="1" applyAlignment="1">
      <alignment horizontal="left" vertical="top"/>
    </xf>
    <xf numFmtId="0" fontId="0" fillId="4" borderId="0" xfId="0" applyFont="1" applyFill="1" applyAlignment="1">
      <alignment horizontal="center" vertical="center"/>
    </xf>
    <xf numFmtId="0" fontId="12" fillId="15" borderId="51" xfId="0" applyFont="1" applyFill="1" applyBorder="1" applyAlignment="1">
      <alignment vertical="top" wrapText="1"/>
    </xf>
    <xf numFmtId="0" fontId="12" fillId="15" borderId="41" xfId="0" applyFont="1" applyFill="1" applyBorder="1" applyAlignment="1">
      <alignment horizontal="center" vertical="center" wrapText="1"/>
    </xf>
    <xf numFmtId="0" fontId="10" fillId="49" borderId="7" xfId="0" applyFont="1" applyFill="1" applyBorder="1" applyAlignment="1">
      <alignment horizontal="left" vertical="center"/>
    </xf>
    <xf numFmtId="0" fontId="10" fillId="50" borderId="7" xfId="0" applyFont="1" applyFill="1" applyBorder="1" applyAlignment="1">
      <alignment horizontal="left" vertical="center" wrapText="1"/>
    </xf>
    <xf numFmtId="0" fontId="10" fillId="57" borderId="7" xfId="0" applyFont="1" applyFill="1" applyBorder="1" applyAlignment="1">
      <alignment vertical="center" wrapText="1"/>
    </xf>
    <xf numFmtId="0" fontId="10" fillId="57" borderId="7" xfId="0" applyFont="1" applyFill="1" applyBorder="1" applyAlignment="1">
      <alignment horizontal="left" vertical="center"/>
    </xf>
    <xf numFmtId="0" fontId="10" fillId="51" borderId="7" xfId="0" applyFont="1" applyFill="1" applyBorder="1" applyAlignment="1">
      <alignment horizontal="left" vertical="center"/>
    </xf>
    <xf numFmtId="0" fontId="10" fillId="52" borderId="7" xfId="0" applyFont="1" applyFill="1" applyBorder="1" applyAlignment="1">
      <alignment vertical="center" wrapText="1"/>
    </xf>
    <xf numFmtId="0" fontId="10" fillId="52" borderId="7" xfId="0" applyFont="1" applyFill="1" applyBorder="1" applyAlignment="1">
      <alignment horizontal="left" vertical="center"/>
    </xf>
    <xf numFmtId="0" fontId="10" fillId="53" borderId="7" xfId="0" applyFont="1" applyFill="1" applyBorder="1" applyAlignment="1">
      <alignment vertical="center" wrapText="1"/>
    </xf>
    <xf numFmtId="0" fontId="10" fillId="53" borderId="7" xfId="0" applyFont="1" applyFill="1" applyBorder="1" applyAlignment="1">
      <alignment horizontal="left" vertical="center" wrapText="1"/>
    </xf>
    <xf numFmtId="0" fontId="10" fillId="54" borderId="7" xfId="0" applyFont="1" applyFill="1" applyBorder="1" applyAlignment="1">
      <alignment horizontal="left" vertical="center"/>
    </xf>
    <xf numFmtId="0" fontId="10" fillId="55" borderId="7" xfId="0" applyFont="1" applyFill="1" applyBorder="1" applyAlignment="1">
      <alignment horizontal="left" vertical="center"/>
    </xf>
    <xf numFmtId="0" fontId="10" fillId="56" borderId="7" xfId="0" applyFont="1" applyFill="1" applyBorder="1" applyAlignment="1">
      <alignment horizontal="left" vertical="center"/>
    </xf>
    <xf numFmtId="0" fontId="17" fillId="36" borderId="21" xfId="0" applyFont="1" applyFill="1" applyBorder="1" applyAlignment="1">
      <alignment horizontal="left" vertical="top" wrapText="1"/>
    </xf>
    <xf numFmtId="0" fontId="0" fillId="37" borderId="21" xfId="0" applyFont="1" applyFill="1" applyBorder="1" applyAlignment="1">
      <alignment horizontal="center" vertical="center"/>
    </xf>
    <xf numFmtId="0" fontId="12" fillId="4" borderId="21" xfId="0" applyFont="1" applyFill="1" applyBorder="1" applyAlignment="1">
      <alignment horizontal="left" vertical="top" wrapText="1"/>
    </xf>
    <xf numFmtId="0" fontId="12" fillId="4" borderId="21" xfId="0" applyFont="1" applyFill="1" applyBorder="1" applyAlignment="1">
      <alignment horizontal="center" vertical="center"/>
    </xf>
    <xf numFmtId="0" fontId="55" fillId="36" borderId="21" xfId="0" applyFont="1" applyFill="1" applyBorder="1" applyAlignment="1">
      <alignment horizontal="left" vertical="top" wrapText="1"/>
    </xf>
    <xf numFmtId="0" fontId="19" fillId="4" borderId="0" xfId="0" applyFont="1" applyFill="1" applyAlignment="1">
      <alignment horizontal="center" vertical="center"/>
    </xf>
    <xf numFmtId="0" fontId="19" fillId="4" borderId="0" xfId="0" applyFont="1" applyFill="1"/>
    <xf numFmtId="0" fontId="2" fillId="36" borderId="21" xfId="0" applyFont="1" applyFill="1" applyBorder="1" applyAlignment="1">
      <alignment horizontal="left" vertical="top" wrapText="1"/>
    </xf>
    <xf numFmtId="15" fontId="40" fillId="4" borderId="21" xfId="0" applyNumberFormat="1" applyFont="1" applyFill="1" applyBorder="1" applyAlignment="1">
      <alignment horizontal="left" vertical="top" wrapText="1"/>
    </xf>
    <xf numFmtId="15" fontId="34" fillId="4" borderId="21" xfId="0" applyNumberFormat="1" applyFont="1" applyFill="1" applyBorder="1" applyAlignment="1">
      <alignment horizontal="left" vertical="top" wrapText="1"/>
    </xf>
    <xf numFmtId="0" fontId="34" fillId="4" borderId="21" xfId="0" applyFont="1" applyFill="1" applyBorder="1" applyAlignment="1">
      <alignment horizontal="left" vertical="top" wrapText="1"/>
    </xf>
    <xf numFmtId="0" fontId="34" fillId="4" borderId="0" xfId="0" applyFont="1" applyFill="1" applyAlignment="1">
      <alignment horizontal="left" vertical="top" wrapText="1"/>
    </xf>
    <xf numFmtId="0" fontId="59" fillId="0" borderId="21" xfId="0" applyFont="1" applyBorder="1" applyAlignment="1">
      <alignment horizontal="left" vertical="top" wrapText="1"/>
    </xf>
    <xf numFmtId="0" fontId="34" fillId="0" borderId="21" xfId="0" applyFont="1" applyBorder="1" applyAlignment="1">
      <alignment horizontal="left" vertical="top" wrapText="1"/>
    </xf>
    <xf numFmtId="0" fontId="57" fillId="4" borderId="0" xfId="0" applyFont="1" applyFill="1" applyAlignment="1">
      <alignment horizontal="left" vertical="top" wrapText="1"/>
    </xf>
    <xf numFmtId="0" fontId="58" fillId="4" borderId="0" xfId="3" applyFont="1" applyFill="1" applyAlignment="1">
      <alignment horizontal="left" vertical="top" wrapText="1"/>
    </xf>
    <xf numFmtId="0" fontId="34" fillId="37" borderId="21" xfId="0" applyFont="1" applyFill="1" applyBorder="1" applyAlignment="1">
      <alignment horizontal="left" vertical="top" wrapText="1"/>
    </xf>
    <xf numFmtId="0" fontId="20" fillId="36" borderId="21" xfId="0" applyFont="1" applyFill="1" applyBorder="1" applyAlignment="1">
      <alignment vertical="top" wrapText="1"/>
    </xf>
    <xf numFmtId="15" fontId="19" fillId="4" borderId="21" xfId="0" applyNumberFormat="1" applyFont="1" applyFill="1" applyBorder="1" applyAlignment="1">
      <alignment vertical="top" wrapText="1"/>
    </xf>
    <xf numFmtId="0" fontId="19" fillId="4" borderId="3" xfId="0" applyFont="1" applyFill="1" applyBorder="1" applyAlignment="1">
      <alignment horizontal="left" vertical="top" wrapText="1"/>
    </xf>
    <xf numFmtId="0" fontId="22" fillId="4" borderId="0" xfId="0" applyFont="1" applyFill="1" applyBorder="1" applyAlignment="1">
      <alignment horizontal="left" vertical="top" wrapText="1"/>
    </xf>
    <xf numFmtId="0" fontId="34" fillId="14" borderId="3" xfId="0" applyFont="1" applyFill="1" applyBorder="1" applyAlignment="1">
      <alignment horizontal="left" vertical="center" wrapText="1"/>
    </xf>
    <xf numFmtId="166" fontId="34" fillId="14" borderId="3" xfId="0" applyNumberFormat="1" applyFont="1" applyFill="1" applyBorder="1" applyAlignment="1">
      <alignment horizontal="left" vertical="center" wrapText="1"/>
    </xf>
    <xf numFmtId="0" fontId="34" fillId="0" borderId="0" xfId="0" applyFont="1" applyAlignment="1">
      <alignment horizontal="center" vertical="center" wrapText="1"/>
    </xf>
    <xf numFmtId="0" fontId="34" fillId="12" borderId="0" xfId="0" applyFont="1" applyFill="1" applyAlignment="1">
      <alignment horizontal="left" vertical="top"/>
    </xf>
    <xf numFmtId="0" fontId="19" fillId="37" borderId="21" xfId="0" applyFont="1" applyFill="1" applyBorder="1"/>
    <xf numFmtId="15" fontId="19" fillId="4" borderId="21" xfId="0" applyNumberFormat="1" applyFont="1" applyFill="1" applyBorder="1" applyAlignment="1">
      <alignment horizontal="left" vertical="top" wrapText="1"/>
    </xf>
    <xf numFmtId="15" fontId="19" fillId="4" borderId="21" xfId="0" applyNumberFormat="1" applyFont="1" applyFill="1" applyBorder="1" applyAlignment="1">
      <alignment horizontal="left" vertical="center" wrapText="1"/>
    </xf>
    <xf numFmtId="170" fontId="19" fillId="4" borderId="21" xfId="0" applyNumberFormat="1" applyFont="1" applyFill="1" applyBorder="1" applyAlignment="1">
      <alignment horizontal="center" vertical="center" wrapText="1"/>
    </xf>
    <xf numFmtId="0" fontId="19" fillId="4" borderId="0" xfId="0" applyFont="1" applyFill="1" applyAlignment="1">
      <alignment horizontal="left" vertical="center" wrapText="1"/>
    </xf>
    <xf numFmtId="0" fontId="19" fillId="4" borderId="0" xfId="709" applyFont="1" applyFill="1" applyAlignment="1">
      <alignment horizontal="left" vertical="center" wrapText="1"/>
    </xf>
    <xf numFmtId="0" fontId="19" fillId="4" borderId="0" xfId="0" applyFont="1" applyFill="1" applyAlignment="1">
      <alignment wrapText="1"/>
    </xf>
    <xf numFmtId="1" fontId="19" fillId="4" borderId="21" xfId="0" applyNumberFormat="1" applyFont="1" applyFill="1" applyBorder="1" applyAlignment="1">
      <alignment horizontal="center" vertical="center" wrapText="1"/>
    </xf>
    <xf numFmtId="0" fontId="19" fillId="4" borderId="0" xfId="709" applyFont="1" applyFill="1" applyAlignment="1">
      <alignment horizontal="left" vertical="center"/>
    </xf>
    <xf numFmtId="0" fontId="0" fillId="0" borderId="41" xfId="0" applyFill="1" applyBorder="1" applyAlignment="1">
      <alignment horizontal="left" vertical="top" wrapText="1"/>
    </xf>
    <xf numFmtId="0" fontId="19" fillId="15" borderId="0" xfId="0" applyFont="1" applyFill="1" applyBorder="1" applyAlignment="1">
      <alignment vertical="center" wrapText="1"/>
    </xf>
    <xf numFmtId="0" fontId="19" fillId="0" borderId="0" xfId="0" applyFont="1" applyFill="1" applyAlignment="1">
      <alignment horizontal="left" vertical="top" wrapText="1"/>
    </xf>
    <xf numFmtId="0" fontId="0" fillId="0" borderId="7" xfId="0" applyBorder="1"/>
    <xf numFmtId="0" fontId="0" fillId="0" borderId="0" xfId="0" applyAlignment="1">
      <alignment vertical="top" wrapText="1"/>
    </xf>
    <xf numFmtId="0" fontId="0" fillId="0" borderId="0" xfId="0" applyAlignment="1">
      <alignment horizontal="right" vertical="top" wrapText="1"/>
    </xf>
    <xf numFmtId="0" fontId="19" fillId="0" borderId="0" xfId="0" applyFont="1" applyBorder="1" applyAlignment="1">
      <alignment horizontal="left" vertical="top" wrapText="1"/>
    </xf>
    <xf numFmtId="0" fontId="0" fillId="43" borderId="0" xfId="0" applyFill="1" applyAlignment="1">
      <alignment horizontal="left" vertical="top" wrapText="1"/>
    </xf>
    <xf numFmtId="0" fontId="0" fillId="6" borderId="0" xfId="0" applyFill="1" applyAlignment="1">
      <alignment horizontal="center" vertical="center"/>
    </xf>
    <xf numFmtId="0" fontId="44" fillId="29" borderId="0" xfId="0" applyFont="1" applyFill="1" applyAlignment="1">
      <alignment vertical="center" wrapText="1"/>
    </xf>
    <xf numFmtId="0" fontId="22" fillId="29" borderId="0" xfId="0" applyFont="1" applyFill="1" applyAlignment="1">
      <alignment vertical="center" wrapText="1"/>
    </xf>
    <xf numFmtId="0" fontId="61" fillId="29" borderId="0" xfId="0" applyFont="1" applyFill="1"/>
    <xf numFmtId="168" fontId="32" fillId="29" borderId="0" xfId="0" applyNumberFormat="1" applyFont="1" applyFill="1" applyAlignment="1">
      <alignment vertical="center"/>
    </xf>
    <xf numFmtId="0" fontId="61" fillId="0" borderId="0" xfId="0" applyFont="1"/>
    <xf numFmtId="0" fontId="13" fillId="15" borderId="21" xfId="0" applyFont="1" applyFill="1" applyBorder="1" applyAlignment="1">
      <alignment horizontal="center" vertical="center"/>
    </xf>
    <xf numFmtId="15" fontId="34" fillId="15" borderId="0" xfId="0" applyNumberFormat="1" applyFont="1" applyFill="1" applyAlignment="1">
      <alignment horizontal="left" vertical="top" wrapText="1"/>
    </xf>
    <xf numFmtId="0" fontId="19" fillId="41" borderId="0" xfId="0" applyFont="1" applyFill="1" applyAlignment="1">
      <alignment horizontal="center" vertical="top" wrapText="1"/>
    </xf>
    <xf numFmtId="0" fontId="0" fillId="0" borderId="0" xfId="0" applyFill="1" applyBorder="1" applyAlignment="1">
      <alignment horizontal="center" vertical="top"/>
    </xf>
    <xf numFmtId="0" fontId="12" fillId="19" borderId="0" xfId="0" applyFont="1" applyFill="1" applyAlignment="1">
      <alignment horizontal="left" vertical="top" wrapText="1"/>
    </xf>
    <xf numFmtId="0" fontId="0" fillId="19" borderId="0" xfId="0" applyFill="1" applyAlignment="1">
      <alignment horizontal="left" vertical="top" wrapText="1"/>
    </xf>
    <xf numFmtId="0" fontId="50" fillId="39" borderId="0" xfId="0" applyFont="1" applyFill="1" applyAlignment="1">
      <alignment vertical="center"/>
    </xf>
    <xf numFmtId="0" fontId="50" fillId="39" borderId="18" xfId="0" applyFont="1" applyFill="1" applyBorder="1" applyAlignment="1">
      <alignment vertical="center"/>
    </xf>
    <xf numFmtId="0" fontId="50" fillId="39" borderId="0" xfId="0" applyFont="1" applyFill="1" applyAlignment="1">
      <alignment vertical="center" wrapText="1"/>
    </xf>
    <xf numFmtId="0" fontId="50" fillId="39" borderId="18" xfId="0" applyFont="1" applyFill="1" applyBorder="1" applyAlignment="1">
      <alignment vertical="center" wrapText="1"/>
    </xf>
    <xf numFmtId="0" fontId="12" fillId="15" borderId="3" xfId="6" applyFont="1" applyFill="1" applyBorder="1" applyAlignment="1">
      <alignment horizontal="center" vertical="center" wrapText="1"/>
    </xf>
    <xf numFmtId="0" fontId="10" fillId="2" borderId="3" xfId="6" applyFont="1" applyFill="1" applyBorder="1" applyAlignment="1">
      <alignment horizontal="center" vertical="center" wrapText="1"/>
    </xf>
    <xf numFmtId="0" fontId="12" fillId="13" borderId="3" xfId="8" applyFont="1" applyFill="1" applyBorder="1" applyAlignment="1">
      <alignment horizontal="center" vertical="center" wrapText="1"/>
    </xf>
    <xf numFmtId="165" fontId="12" fillId="15" borderId="3" xfId="6" applyNumberFormat="1" applyFont="1" applyFill="1" applyBorder="1" applyAlignment="1">
      <alignment horizontal="center" vertical="center" wrapText="1"/>
    </xf>
    <xf numFmtId="0" fontId="12" fillId="6" borderId="3" xfId="8" applyFont="1" applyFill="1" applyBorder="1" applyAlignment="1">
      <alignment horizontal="center" vertical="center" wrapText="1"/>
    </xf>
    <xf numFmtId="0" fontId="12" fillId="4" borderId="3" xfId="8" applyFont="1" applyFill="1" applyBorder="1" applyAlignment="1">
      <alignment horizontal="center" vertical="center" wrapText="1"/>
    </xf>
    <xf numFmtId="20" fontId="12" fillId="6" borderId="3" xfId="8" applyNumberFormat="1" applyFont="1" applyFill="1" applyBorder="1" applyAlignment="1">
      <alignment horizontal="center" vertical="center" wrapText="1"/>
    </xf>
    <xf numFmtId="0" fontId="12" fillId="15" borderId="3" xfId="9" applyFont="1" applyFill="1" applyBorder="1" applyAlignment="1">
      <alignment horizontal="center" vertical="center" wrapText="1"/>
    </xf>
    <xf numFmtId="165" fontId="12" fillId="15" borderId="3" xfId="9" applyNumberFormat="1" applyFont="1" applyFill="1" applyBorder="1" applyAlignment="1">
      <alignment horizontal="center" vertical="center" wrapText="1"/>
    </xf>
    <xf numFmtId="0" fontId="12" fillId="6" borderId="35" xfId="8" applyFont="1" applyFill="1" applyBorder="1" applyAlignment="1">
      <alignment horizontal="center" vertical="center" wrapText="1"/>
    </xf>
    <xf numFmtId="0" fontId="12" fillId="6" borderId="38" xfId="8" applyFont="1" applyFill="1" applyBorder="1" applyAlignment="1">
      <alignment horizontal="center" vertical="center" wrapText="1"/>
    </xf>
    <xf numFmtId="0" fontId="12" fillId="6" borderId="39" xfId="8" applyFont="1" applyFill="1" applyBorder="1" applyAlignment="1">
      <alignment horizontal="center" vertical="center" wrapText="1"/>
    </xf>
    <xf numFmtId="0" fontId="12" fillId="8" borderId="3" xfId="8" applyFont="1" applyFill="1" applyBorder="1" applyAlignment="1">
      <alignment horizontal="center" vertical="center" wrapText="1"/>
    </xf>
    <xf numFmtId="0" fontId="12" fillId="22" borderId="3" xfId="7" applyFont="1" applyFill="1" applyBorder="1" applyAlignment="1">
      <alignment horizontal="center" vertical="center" wrapText="1"/>
    </xf>
    <xf numFmtId="0" fontId="12" fillId="8" borderId="29" xfId="8" applyFont="1" applyFill="1" applyBorder="1" applyAlignment="1">
      <alignment horizontal="center" vertical="center" wrapText="1"/>
    </xf>
    <xf numFmtId="0" fontId="12" fillId="8" borderId="30" xfId="8" applyFont="1" applyFill="1" applyBorder="1" applyAlignment="1">
      <alignment horizontal="center" vertical="center" wrapText="1"/>
    </xf>
    <xf numFmtId="0" fontId="12" fillId="8" borderId="31" xfId="8" applyFont="1" applyFill="1" applyBorder="1" applyAlignment="1">
      <alignment horizontal="center" vertical="center" wrapText="1"/>
    </xf>
    <xf numFmtId="0" fontId="12" fillId="8" borderId="32" xfId="8" applyFont="1" applyFill="1" applyBorder="1" applyAlignment="1">
      <alignment horizontal="center" vertical="center" wrapText="1"/>
    </xf>
    <xf numFmtId="0" fontId="12" fillId="8" borderId="33" xfId="8" applyFont="1" applyFill="1" applyBorder="1" applyAlignment="1">
      <alignment horizontal="center" vertical="center" wrapText="1"/>
    </xf>
    <xf numFmtId="0" fontId="12" fillId="8" borderId="34" xfId="8" applyFont="1" applyFill="1" applyBorder="1" applyAlignment="1">
      <alignment horizontal="center" vertical="center" wrapText="1"/>
    </xf>
    <xf numFmtId="0" fontId="12" fillId="4" borderId="29" xfId="8" applyFont="1" applyFill="1" applyBorder="1" applyAlignment="1">
      <alignment horizontal="center" vertical="center" wrapText="1"/>
    </xf>
    <xf numFmtId="0" fontId="12" fillId="4" borderId="30" xfId="8" applyFont="1" applyFill="1" applyBorder="1" applyAlignment="1">
      <alignment horizontal="center" vertical="center" wrapText="1"/>
    </xf>
    <xf numFmtId="0" fontId="12" fillId="4" borderId="31" xfId="8" applyFont="1" applyFill="1" applyBorder="1" applyAlignment="1">
      <alignment horizontal="center" vertical="center" wrapText="1"/>
    </xf>
    <xf numFmtId="0" fontId="12" fillId="4" borderId="56" xfId="8" applyFont="1" applyFill="1" applyBorder="1" applyAlignment="1">
      <alignment horizontal="center" vertical="center" wrapText="1"/>
    </xf>
    <xf numFmtId="0" fontId="12" fillId="4" borderId="0" xfId="8" applyFont="1" applyFill="1" applyBorder="1" applyAlignment="1">
      <alignment horizontal="center" vertical="center" wrapText="1"/>
    </xf>
    <xf numFmtId="0" fontId="12" fillId="4" borderId="57" xfId="8" applyFont="1" applyFill="1" applyBorder="1" applyAlignment="1">
      <alignment horizontal="center" vertical="center" wrapText="1"/>
    </xf>
    <xf numFmtId="0" fontId="12" fillId="4" borderId="32" xfId="8" applyFont="1" applyFill="1" applyBorder="1" applyAlignment="1">
      <alignment horizontal="center" vertical="center" wrapText="1"/>
    </xf>
    <xf numFmtId="0" fontId="12" fillId="4" borderId="33" xfId="8" applyFont="1" applyFill="1" applyBorder="1" applyAlignment="1">
      <alignment horizontal="center" vertical="center" wrapText="1"/>
    </xf>
    <xf numFmtId="0" fontId="12" fillId="4" borderId="34" xfId="8" applyFont="1" applyFill="1" applyBorder="1" applyAlignment="1">
      <alignment horizontal="center" vertical="center" wrapText="1"/>
    </xf>
    <xf numFmtId="0" fontId="12" fillId="22" borderId="29" xfId="7" applyFont="1" applyFill="1" applyBorder="1" applyAlignment="1">
      <alignment horizontal="center" vertical="center" wrapText="1"/>
    </xf>
    <xf numFmtId="0" fontId="12" fillId="22" borderId="30" xfId="7" applyFont="1" applyFill="1" applyBorder="1" applyAlignment="1">
      <alignment horizontal="center" vertical="center" wrapText="1"/>
    </xf>
    <xf numFmtId="0" fontId="12" fillId="22" borderId="31" xfId="7" applyFont="1" applyFill="1" applyBorder="1" applyAlignment="1">
      <alignment horizontal="center" vertical="center" wrapText="1"/>
    </xf>
    <xf numFmtId="0" fontId="12" fillId="22" borderId="32" xfId="7" applyFont="1" applyFill="1" applyBorder="1" applyAlignment="1">
      <alignment horizontal="center" vertical="center" wrapText="1"/>
    </xf>
    <xf numFmtId="0" fontId="12" fillId="22" borderId="33" xfId="7" applyFont="1" applyFill="1" applyBorder="1" applyAlignment="1">
      <alignment horizontal="center" vertical="center" wrapText="1"/>
    </xf>
    <xf numFmtId="0" fontId="12" fillId="22" borderId="34" xfId="7" applyFont="1" applyFill="1" applyBorder="1" applyAlignment="1">
      <alignment horizontal="center" vertical="center" wrapText="1"/>
    </xf>
    <xf numFmtId="0" fontId="0" fillId="12" borderId="29" xfId="0" applyFill="1" applyBorder="1" applyAlignment="1">
      <alignment horizontal="center" vertical="center"/>
    </xf>
    <xf numFmtId="0" fontId="0" fillId="12" borderId="30" xfId="0" applyFill="1" applyBorder="1" applyAlignment="1">
      <alignment horizontal="center" vertical="center"/>
    </xf>
    <xf numFmtId="0" fontId="0" fillId="12" borderId="31" xfId="0" applyFill="1" applyBorder="1" applyAlignment="1">
      <alignment horizontal="center" vertical="center"/>
    </xf>
    <xf numFmtId="0" fontId="0" fillId="12" borderId="32" xfId="0" applyFill="1" applyBorder="1" applyAlignment="1">
      <alignment horizontal="center" vertical="center"/>
    </xf>
    <xf numFmtId="0" fontId="0" fillId="12" borderId="33" xfId="0" applyFill="1" applyBorder="1" applyAlignment="1">
      <alignment horizontal="center" vertical="center"/>
    </xf>
    <xf numFmtId="0" fontId="0" fillId="12" borderId="34" xfId="0" applyFill="1" applyBorder="1" applyAlignment="1">
      <alignment horizontal="center" vertical="center"/>
    </xf>
    <xf numFmtId="0" fontId="0" fillId="4" borderId="20" xfId="0" applyFill="1" applyBorder="1" applyAlignment="1">
      <alignment horizontal="center" vertical="center" wrapText="1"/>
    </xf>
    <xf numFmtId="0" fontId="0" fillId="4" borderId="41" xfId="0" applyFill="1" applyBorder="1" applyAlignment="1">
      <alignment horizontal="center" vertical="center" wrapText="1"/>
    </xf>
    <xf numFmtId="0" fontId="0" fillId="14" borderId="41" xfId="0" applyFill="1" applyBorder="1" applyAlignment="1">
      <alignment horizontal="center" vertical="center" wrapText="1"/>
    </xf>
    <xf numFmtId="0" fontId="0" fillId="47" borderId="20" xfId="0" applyFill="1" applyBorder="1" applyAlignment="1">
      <alignment horizontal="center" vertical="center" wrapText="1"/>
    </xf>
    <xf numFmtId="0" fontId="0" fillId="28" borderId="41" xfId="0" applyFill="1" applyBorder="1" applyAlignment="1">
      <alignment horizontal="center" vertical="center" wrapText="1"/>
    </xf>
    <xf numFmtId="0" fontId="0" fillId="23" borderId="41" xfId="0" applyFill="1" applyBorder="1" applyAlignment="1">
      <alignment horizontal="center" vertical="center" wrapText="1"/>
    </xf>
    <xf numFmtId="0" fontId="0" fillId="23" borderId="20" xfId="0" applyFill="1" applyBorder="1" applyAlignment="1">
      <alignment horizontal="center" vertical="center" wrapText="1"/>
    </xf>
    <xf numFmtId="0" fontId="0" fillId="8" borderId="41" xfId="0" applyFill="1" applyBorder="1" applyAlignment="1">
      <alignment horizontal="center" vertical="center" wrapText="1"/>
    </xf>
    <xf numFmtId="0" fontId="1" fillId="48" borderId="48" xfId="928" applyFill="1" applyBorder="1" applyAlignment="1">
      <alignment horizontal="center" vertical="center" wrapText="1"/>
    </xf>
    <xf numFmtId="0" fontId="1" fillId="48" borderId="49" xfId="928" applyFill="1" applyBorder="1" applyAlignment="1">
      <alignment horizontal="center" vertical="center" wrapText="1"/>
    </xf>
    <xf numFmtId="0" fontId="0" fillId="4" borderId="51" xfId="0" applyFill="1" applyBorder="1" applyAlignment="1">
      <alignment horizontal="center" vertical="center" wrapText="1"/>
    </xf>
    <xf numFmtId="0" fontId="0" fillId="4" borderId="52" xfId="0" applyFill="1" applyBorder="1" applyAlignment="1">
      <alignment horizontal="center" vertical="center" wrapText="1"/>
    </xf>
    <xf numFmtId="0" fontId="0" fillId="4" borderId="53" xfId="0" applyFill="1" applyBorder="1" applyAlignment="1">
      <alignment horizontal="center" vertical="center" wrapText="1"/>
    </xf>
    <xf numFmtId="0" fontId="0" fillId="13" borderId="51" xfId="0" applyFill="1" applyBorder="1" applyAlignment="1">
      <alignment horizontal="center" vertical="center" wrapText="1"/>
    </xf>
    <xf numFmtId="0" fontId="0" fillId="13" borderId="52" xfId="0" applyFill="1" applyBorder="1" applyAlignment="1">
      <alignment horizontal="center" vertical="center" wrapText="1"/>
    </xf>
    <xf numFmtId="0" fontId="0" fillId="13" borderId="53" xfId="0" applyFill="1" applyBorder="1" applyAlignment="1">
      <alignment horizontal="center" vertical="center" wrapText="1"/>
    </xf>
    <xf numFmtId="0" fontId="40" fillId="0" borderId="21" xfId="0" applyFont="1" applyBorder="1" applyAlignment="1">
      <alignment horizontal="center" vertical="top" wrapText="1"/>
    </xf>
    <xf numFmtId="0" fontId="40" fillId="14" borderId="21" xfId="0" applyFont="1" applyFill="1" applyBorder="1" applyAlignment="1">
      <alignment horizontal="center" vertical="center" wrapText="1"/>
    </xf>
    <xf numFmtId="0" fontId="40" fillId="0" borderId="21" xfId="0" applyFont="1" applyBorder="1" applyAlignment="1">
      <alignment horizontal="center" vertical="center" wrapText="1"/>
    </xf>
    <xf numFmtId="0" fontId="40" fillId="34" borderId="21" xfId="0" applyFont="1" applyFill="1" applyBorder="1" applyAlignment="1">
      <alignment horizontal="center" vertical="center" wrapText="1"/>
    </xf>
    <xf numFmtId="0" fontId="40" fillId="14" borderId="22" xfId="0" applyFont="1" applyFill="1" applyBorder="1" applyAlignment="1">
      <alignment horizontal="center" vertical="center" wrapText="1"/>
    </xf>
    <xf numFmtId="0" fontId="40" fillId="14" borderId="24" xfId="0" applyFont="1" applyFill="1" applyBorder="1" applyAlignment="1">
      <alignment horizontal="center" vertical="center" wrapText="1"/>
    </xf>
    <xf numFmtId="0" fontId="40" fillId="14" borderId="23" xfId="0" applyFont="1" applyFill="1" applyBorder="1" applyAlignment="1">
      <alignment horizontal="center" vertical="center" wrapText="1"/>
    </xf>
    <xf numFmtId="0" fontId="40" fillId="0" borderId="22" xfId="0" applyFont="1" applyBorder="1" applyAlignment="1">
      <alignment horizontal="center" vertical="center" wrapText="1"/>
    </xf>
    <xf numFmtId="0" fontId="40" fillId="0" borderId="24" xfId="0" applyFont="1" applyBorder="1" applyAlignment="1">
      <alignment horizontal="center" vertical="center" wrapText="1"/>
    </xf>
    <xf numFmtId="0" fontId="40" fillId="0" borderId="23" xfId="0" applyFont="1" applyBorder="1" applyAlignment="1">
      <alignment horizontal="center" vertical="center" wrapText="1"/>
    </xf>
    <xf numFmtId="0" fontId="40" fillId="0" borderId="26" xfId="0" applyFont="1" applyBorder="1" applyAlignment="1">
      <alignment horizontal="center" vertical="top" wrapText="1"/>
    </xf>
    <xf numFmtId="0" fontId="40" fillId="0" borderId="27" xfId="0" applyFont="1" applyBorder="1" applyAlignment="1">
      <alignment horizontal="center" vertical="top" wrapText="1"/>
    </xf>
    <xf numFmtId="0" fontId="40" fillId="0" borderId="28" xfId="0" applyFont="1" applyBorder="1" applyAlignment="1">
      <alignment horizontal="center" vertical="top" wrapText="1"/>
    </xf>
    <xf numFmtId="0" fontId="40" fillId="34" borderId="26" xfId="0" applyFont="1" applyFill="1" applyBorder="1" applyAlignment="1">
      <alignment horizontal="center" vertical="center" wrapText="1"/>
    </xf>
    <xf numFmtId="0" fontId="40" fillId="34" borderId="28" xfId="0" applyFont="1" applyFill="1" applyBorder="1" applyAlignment="1">
      <alignment horizontal="center" vertical="center" wrapText="1"/>
    </xf>
    <xf numFmtId="15" fontId="39" fillId="29" borderId="0" xfId="0" applyNumberFormat="1" applyFont="1" applyFill="1" applyAlignment="1">
      <alignment horizontal="center"/>
    </xf>
    <xf numFmtId="15" fontId="60" fillId="29" borderId="0" xfId="0" applyNumberFormat="1" applyFont="1" applyFill="1" applyAlignment="1">
      <alignment horizontal="center" vertical="center" wrapText="1"/>
    </xf>
    <xf numFmtId="168" fontId="32" fillId="29" borderId="0" xfId="0" applyNumberFormat="1" applyFont="1" applyFill="1" applyAlignment="1">
      <alignment horizontal="center" vertical="center"/>
    </xf>
    <xf numFmtId="168" fontId="33" fillId="29" borderId="0" xfId="0" applyNumberFormat="1" applyFont="1" applyFill="1" applyAlignment="1">
      <alignment horizontal="center" vertical="center"/>
    </xf>
    <xf numFmtId="168" fontId="44" fillId="29" borderId="0" xfId="0" applyNumberFormat="1" applyFont="1" applyFill="1" applyAlignment="1">
      <alignment horizontal="center" vertical="center"/>
    </xf>
    <xf numFmtId="0" fontId="44" fillId="29" borderId="0" xfId="0" applyFont="1" applyFill="1" applyAlignment="1">
      <alignment horizontal="center" vertical="center"/>
    </xf>
    <xf numFmtId="1" fontId="44" fillId="29" borderId="0" xfId="0" applyNumberFormat="1" applyFont="1" applyFill="1" applyAlignment="1">
      <alignment horizontal="center" vertical="center"/>
    </xf>
    <xf numFmtId="0" fontId="38" fillId="32" borderId="0" xfId="0" applyFont="1" applyFill="1" applyAlignment="1">
      <alignment horizontal="left" vertical="top" wrapText="1" readingOrder="1"/>
    </xf>
    <xf numFmtId="0" fontId="10" fillId="55" borderId="7" xfId="0" applyFont="1" applyFill="1" applyBorder="1" applyAlignment="1">
      <alignment vertical="center" wrapText="1"/>
    </xf>
    <xf numFmtId="0" fontId="10" fillId="56" borderId="7" xfId="0" applyFont="1" applyFill="1" applyBorder="1" applyAlignment="1">
      <alignment vertical="center" wrapText="1"/>
    </xf>
    <xf numFmtId="0" fontId="10" fillId="36" borderId="22" xfId="0" applyFont="1" applyFill="1" applyBorder="1" applyAlignment="1">
      <alignment horizontal="left" vertical="top" wrapText="1"/>
    </xf>
    <xf numFmtId="0" fontId="10" fillId="36" borderId="24" xfId="0" applyFont="1" applyFill="1" applyBorder="1" applyAlignment="1">
      <alignment horizontal="left" vertical="top" wrapText="1"/>
    </xf>
    <xf numFmtId="0" fontId="6" fillId="37" borderId="54" xfId="0" applyFont="1" applyFill="1" applyBorder="1" applyAlignment="1">
      <alignment horizontal="left" vertical="center"/>
    </xf>
    <xf numFmtId="0" fontId="6" fillId="37" borderId="55" xfId="0" applyFont="1" applyFill="1" applyBorder="1" applyAlignment="1">
      <alignment horizontal="left" vertical="center"/>
    </xf>
    <xf numFmtId="0" fontId="10" fillId="49" borderId="7" xfId="0" applyFont="1" applyFill="1" applyBorder="1" applyAlignment="1">
      <alignment vertical="center" wrapText="1"/>
    </xf>
    <xf numFmtId="0" fontId="10" fillId="50" borderId="7" xfId="0" applyFont="1" applyFill="1" applyBorder="1" applyAlignment="1">
      <alignment vertical="center" wrapText="1"/>
    </xf>
    <xf numFmtId="0" fontId="10" fillId="51" borderId="7" xfId="0" applyFont="1" applyFill="1" applyBorder="1" applyAlignment="1">
      <alignment vertical="center" wrapText="1"/>
    </xf>
    <xf numFmtId="0" fontId="10" fillId="54" borderId="7" xfId="0" applyFont="1" applyFill="1" applyBorder="1" applyAlignment="1">
      <alignment vertical="center" wrapText="1"/>
    </xf>
    <xf numFmtId="0" fontId="22" fillId="4" borderId="26" xfId="1065" applyFont="1" applyFill="1" applyBorder="1" applyAlignment="1">
      <alignment horizontal="center" vertical="center" textRotation="90"/>
    </xf>
    <xf numFmtId="0" fontId="22" fillId="4" borderId="27" xfId="1065" applyFont="1" applyFill="1" applyBorder="1" applyAlignment="1">
      <alignment horizontal="center" vertical="center" textRotation="90"/>
    </xf>
    <xf numFmtId="0" fontId="22" fillId="4" borderId="28" xfId="1065" applyFont="1" applyFill="1" applyBorder="1" applyAlignment="1">
      <alignment horizontal="center" vertical="center" textRotation="90"/>
    </xf>
    <xf numFmtId="0" fontId="43" fillId="4" borderId="21" xfId="1065" applyFont="1" applyFill="1" applyBorder="1" applyAlignment="1">
      <alignment horizontal="center" vertical="center" textRotation="90" wrapText="1"/>
    </xf>
    <xf numFmtId="0" fontId="43" fillId="4" borderId="26" xfId="1065" applyFont="1" applyFill="1" applyBorder="1" applyAlignment="1">
      <alignment horizontal="center" vertical="center" textRotation="90" wrapText="1"/>
    </xf>
    <xf numFmtId="0" fontId="43" fillId="4" borderId="27" xfId="1065" applyFont="1" applyFill="1" applyBorder="1" applyAlignment="1">
      <alignment horizontal="center" vertical="center" textRotation="90" wrapText="1"/>
    </xf>
    <xf numFmtId="0" fontId="43" fillId="4" borderId="28" xfId="1065" applyFont="1" applyFill="1" applyBorder="1" applyAlignment="1">
      <alignment horizontal="center" vertical="center" textRotation="90" wrapText="1"/>
    </xf>
    <xf numFmtId="0" fontId="20" fillId="36" borderId="22" xfId="0" applyFont="1" applyFill="1" applyBorder="1" applyAlignment="1">
      <alignment horizontal="left" vertical="top" wrapText="1"/>
    </xf>
    <xf numFmtId="0" fontId="20" fillId="36" borderId="24" xfId="0" applyFont="1" applyFill="1" applyBorder="1" applyAlignment="1">
      <alignment horizontal="left" vertical="top" wrapText="1"/>
    </xf>
  </cellXfs>
  <cellStyles count="1947">
    <cellStyle name="Comma 10" xfId="66" xr:uid="{B7C18443-4E7D-4DEB-A914-B94B20E4F989}"/>
    <cellStyle name="Comma 10 2" xfId="1844" xr:uid="{68E23DE8-E3D5-4703-8C97-6E1C0073B531}"/>
    <cellStyle name="Comma 11" xfId="109" xr:uid="{2860A7C8-47D7-4578-B749-475BF45F8327}"/>
    <cellStyle name="Comma 11 2" xfId="1853" xr:uid="{21085DF4-F5BA-46EB-92AF-4CE0EE8F2FCF}"/>
    <cellStyle name="Comma 12" xfId="113" xr:uid="{70F6D72F-EEC1-4246-829D-69B54A084D70}"/>
    <cellStyle name="Comma 12 2" xfId="1854" xr:uid="{056E380B-446F-41C6-9EE7-95B8C66A3754}"/>
    <cellStyle name="Comma 13" xfId="116" xr:uid="{F2A99CA1-8FAA-4635-A374-0106254A4F2A}"/>
    <cellStyle name="Comma 13 2" xfId="1855" xr:uid="{4CA8DB8A-37FE-4D3D-9561-706E4AAB7DC1}"/>
    <cellStyle name="Comma 14" xfId="19" xr:uid="{E8D7F26F-23BD-4B15-ACBA-4D6C6DDC7BDD}"/>
    <cellStyle name="Comma 14 2" xfId="1839" xr:uid="{731CB994-13DC-48AB-A9CA-255B5B56ABC2}"/>
    <cellStyle name="Comma 2" xfId="39" xr:uid="{6C82AD09-DA52-475D-BE79-D7C7BDE8A8B6}"/>
    <cellStyle name="Comma 2 2" xfId="120" xr:uid="{181A01A2-11D7-4AC7-A25C-9D3A1A8F1325}"/>
    <cellStyle name="Comma 2 3" xfId="99" xr:uid="{180F48ED-E2CC-4F4E-88FD-067B1F2940B3}"/>
    <cellStyle name="Comma 3" xfId="29" xr:uid="{7CBF9D80-19C8-44E2-8C99-5F909142BC68}"/>
    <cellStyle name="Comma 3 2" xfId="122" xr:uid="{B61F7069-C999-412B-8FBA-166B9BD96523}"/>
    <cellStyle name="Comma 3 2 2" xfId="106" xr:uid="{283A762F-64F0-4823-B984-78462A2FA1A8}"/>
    <cellStyle name="Comma 3 2 2 2" xfId="1850" xr:uid="{F13DBA14-42E9-4200-ADDC-8D49CD22E74A}"/>
    <cellStyle name="Comma 3 2 3" xfId="108" xr:uid="{AEDA6D2E-1A2C-4B9A-8D73-8B12392930CF}"/>
    <cellStyle name="Comma 3 2 3 2" xfId="1852" xr:uid="{265EC9D9-8DDD-4805-A3B0-A743F0DCAF93}"/>
    <cellStyle name="Comma 3 2 4" xfId="1856" xr:uid="{B285ACA9-C2C4-449D-8653-56971BF5F806}"/>
    <cellStyle name="Comma 3 3" xfId="123" xr:uid="{28832916-4A88-4F9D-8F13-ECD4935579CD}"/>
    <cellStyle name="Comma 3 3 2" xfId="1857" xr:uid="{172D9465-E0F2-41D0-9E66-70B40EF17D5D}"/>
    <cellStyle name="Comma 3 4" xfId="78" xr:uid="{95BF450A-B3DE-414F-AAA3-3F9208124526}"/>
    <cellStyle name="Comma 3 4 2" xfId="1846" xr:uid="{ED1F722E-4AC5-4A88-9327-7AF6350B0E61}"/>
    <cellStyle name="Comma 3 5" xfId="1841" xr:uid="{C92277EF-3DF3-4C13-A7F8-0D4D2B59EC25}"/>
    <cellStyle name="Comma 4" xfId="103" xr:uid="{480D3CE2-44A1-4B6E-A698-88C65587A79E}"/>
    <cellStyle name="Comma 4 10" xfId="124" xr:uid="{5D417662-8142-44BC-A7D8-1B2E99B318AE}"/>
    <cellStyle name="Comma 4 10 2" xfId="1858" xr:uid="{BF38AF17-9A3D-45F7-BCBF-6739BFA56C43}"/>
    <cellStyle name="Comma 4 11" xfId="1848" xr:uid="{656F9D24-5D73-47EF-BBE9-1D3B07847759}"/>
    <cellStyle name="Comma 4 2" xfId="107" xr:uid="{F4059033-CA56-4522-BCED-7EF0BA020840}"/>
    <cellStyle name="Comma 4 2 10" xfId="1851" xr:uid="{56384895-2BB1-4B8A-8D21-2432F44DB2B6}"/>
    <cellStyle name="Comma 4 2 2" xfId="126" xr:uid="{8E42AC4F-A52C-4212-8479-16FBBF6420F3}"/>
    <cellStyle name="Comma 4 2 2 2" xfId="128" xr:uid="{F0463603-AF60-42E3-8EF9-085029B118D5}"/>
    <cellStyle name="Comma 4 2 2 2 2" xfId="130" xr:uid="{9A70C706-47C5-4289-8A48-CCD853416F22}"/>
    <cellStyle name="Comma 4 2 2 2 2 2" xfId="1862" xr:uid="{9E05D11A-3ADD-4F03-996B-F6BADE11D4FC}"/>
    <cellStyle name="Comma 4 2 2 2 3" xfId="134" xr:uid="{2B646D6A-76A0-4752-A611-6351A3D92743}"/>
    <cellStyle name="Comma 4 2 2 2 3 2" xfId="1864" xr:uid="{872D0CEB-C2AB-41B4-8463-357FED60A5BE}"/>
    <cellStyle name="Comma 4 2 2 2 4" xfId="1861" xr:uid="{EC0AF291-B7CA-4D77-8256-E5D7C9BF07AE}"/>
    <cellStyle name="Comma 4 2 2 3" xfId="139" xr:uid="{7DC4C309-6E9F-4239-AC7A-460D49CCCDBA}"/>
    <cellStyle name="Comma 4 2 2 3 2" xfId="1866" xr:uid="{4C01C461-91C4-45C0-BBDA-8DE3ABA221BF}"/>
    <cellStyle name="Comma 4 2 2 4" xfId="141" xr:uid="{1A04BA68-AD2D-4B7B-92D4-AA1CACF7AFA5}"/>
    <cellStyle name="Comma 4 2 2 4 2" xfId="1867" xr:uid="{8F67B824-D5DF-445E-A479-53E1672BAF2C}"/>
    <cellStyle name="Comma 4 2 2 5" xfId="143" xr:uid="{9B2E5CDE-24B3-40E4-B971-5088905BDD0E}"/>
    <cellStyle name="Comma 4 2 2 5 2" xfId="1868" xr:uid="{B8EB4C2D-4E00-4ACD-BBB1-987C6F08A960}"/>
    <cellStyle name="Comma 4 2 2 6" xfId="145" xr:uid="{F336AF79-4D4D-4604-9C1B-14373623CA70}"/>
    <cellStyle name="Comma 4 2 2 6 2" xfId="1869" xr:uid="{09789ECF-B9E8-4C5A-810E-817A7695116A}"/>
    <cellStyle name="Comma 4 2 2 7" xfId="1860" xr:uid="{5555B19D-A0C0-4DF4-A896-BED37316D389}"/>
    <cellStyle name="Comma 4 2 3" xfId="146" xr:uid="{E3CE81D8-24EF-492F-8A2B-5C1A57C0B385}"/>
    <cellStyle name="Comma 4 2 3 2" xfId="147" xr:uid="{BC64F334-504A-41FD-A98F-42F068BE3D34}"/>
    <cellStyle name="Comma 4 2 3 2 2" xfId="150" xr:uid="{45600087-389F-4FBE-8EE5-D9834D26461B}"/>
    <cellStyle name="Comma 4 2 3 2 2 2" xfId="1872" xr:uid="{82BD743F-843F-4C71-B36E-E6F5AD985FA4}"/>
    <cellStyle name="Comma 4 2 3 2 3" xfId="154" xr:uid="{9A86844A-AB1A-4C7B-BD16-3101401208D2}"/>
    <cellStyle name="Comma 4 2 3 2 3 2" xfId="1874" xr:uid="{8296741A-4241-47FC-BC41-65EA0AB8B52A}"/>
    <cellStyle name="Comma 4 2 3 2 4" xfId="1871" xr:uid="{3B39ED14-DC90-4F0D-A9C5-1206C863547B}"/>
    <cellStyle name="Comma 4 2 3 3" xfId="158" xr:uid="{8D772759-EDEE-4A8A-8CD7-EDC1D44352D0}"/>
    <cellStyle name="Comma 4 2 3 3 2" xfId="1875" xr:uid="{C7F65C7F-5BA0-4476-88FE-95EE90F5E81E}"/>
    <cellStyle name="Comma 4 2 3 4" xfId="76" xr:uid="{41ED0F13-A836-4273-B841-363A4F4E4D4F}"/>
    <cellStyle name="Comma 4 2 3 4 2" xfId="1845" xr:uid="{1D23755B-6DB0-489C-8B86-2405E0E02D00}"/>
    <cellStyle name="Comma 4 2 3 5" xfId="79" xr:uid="{60F8ECD4-3E6D-459E-ACFC-D54214869A9C}"/>
    <cellStyle name="Comma 4 2 3 5 2" xfId="1847" xr:uid="{C4FE7A25-5B6C-427D-AA0C-2CACC413EB12}"/>
    <cellStyle name="Comma 4 2 3 6" xfId="15" xr:uid="{D69C27DB-20EB-4F6F-9318-A37B3BF1844C}"/>
    <cellStyle name="Comma 4 2 3 6 2" xfId="1838" xr:uid="{402BD0F9-9116-4B94-BA88-5B90F3B1F5C2}"/>
    <cellStyle name="Comma 4 2 3 7" xfId="1870" xr:uid="{6505E915-D6DF-490F-8E6A-C39E80538DA3}"/>
    <cellStyle name="Comma 4 2 4" xfId="161" xr:uid="{B63164F9-72F2-456B-BCC5-46B7E1FAD663}"/>
    <cellStyle name="Comma 4 2 4 2" xfId="105" xr:uid="{AC7CFEF1-E240-416A-9869-EAA10A8D9C5A}"/>
    <cellStyle name="Comma 4 2 4 2 2" xfId="1849" xr:uid="{4BB00B69-B37A-4386-88EE-43EF2FA51751}"/>
    <cellStyle name="Comma 4 2 4 3" xfId="165" xr:uid="{A3707598-86AD-4FAE-B2DC-D4A670F9A594}"/>
    <cellStyle name="Comma 4 2 4 3 2" xfId="1877" xr:uid="{4FC242D0-7B77-4B12-9C3F-A5217D7ADCB2}"/>
    <cellStyle name="Comma 4 2 4 4" xfId="1876" xr:uid="{7DFB5256-F723-442B-ABF7-8A1A29BD9CD6}"/>
    <cellStyle name="Comma 4 2 5" xfId="168" xr:uid="{8F11C99F-77E8-4D41-970C-A8323D239CCE}"/>
    <cellStyle name="Comma 4 2 5 2" xfId="171" xr:uid="{064FC38C-98A5-46C1-9FC0-81A0574F7EE8}"/>
    <cellStyle name="Comma 4 2 5 2 2" xfId="1880" xr:uid="{5819E75A-B6F0-4C28-BA8B-95635AA580E3}"/>
    <cellStyle name="Comma 4 2 5 3" xfId="173" xr:uid="{A6CF872E-39D2-40AA-98C2-B629AFCADAC9}"/>
    <cellStyle name="Comma 4 2 5 3 2" xfId="1881" xr:uid="{D116A3FF-3E7B-4CF3-B0ED-E792944D717D}"/>
    <cellStyle name="Comma 4 2 5 4" xfId="1879" xr:uid="{7E121305-AEDF-403F-A5A5-CB191C3BD383}"/>
    <cellStyle name="Comma 4 2 6" xfId="132" xr:uid="{166652ED-C907-4639-AAED-191DE4C2B48E}"/>
    <cellStyle name="Comma 4 2 6 2" xfId="1863" xr:uid="{7890D06E-BF9A-4C17-BDBA-98940138AD5F}"/>
    <cellStyle name="Comma 4 2 7" xfId="136" xr:uid="{40FE40E6-C787-4148-B668-2ED6577A2CA3}"/>
    <cellStyle name="Comma 4 2 7 2" xfId="1865" xr:uid="{328FF1B6-6D67-46E1-8B6A-854D66EA68AC}"/>
    <cellStyle name="Comma 4 2 8" xfId="176" xr:uid="{2BC6891F-2E30-4566-BBAE-7EC5F52124E1}"/>
    <cellStyle name="Comma 4 2 8 2" xfId="1882" xr:uid="{00CFE4B4-47C0-4096-8A5E-119EF159E254}"/>
    <cellStyle name="Comma 4 2 9" xfId="178" xr:uid="{66F72477-168F-4DAB-90AE-81086F61A0D9}"/>
    <cellStyle name="Comma 4 2 9 2" xfId="1883" xr:uid="{A14B84BB-D47A-494F-ADEE-E6DE50F8D990}"/>
    <cellStyle name="Comma 4 3" xfId="179" xr:uid="{FBD23F21-5DC8-471B-89DC-D834DC3BB594}"/>
    <cellStyle name="Comma 4 3 2" xfId="180" xr:uid="{5DDFFB83-47F0-4A29-9607-1315DF221D55}"/>
    <cellStyle name="Comma 4 3 2 2" xfId="26" xr:uid="{B52269AB-954C-4B34-A894-D8667BB8CA6C}"/>
    <cellStyle name="Comma 4 3 2 2 2" xfId="1840" xr:uid="{D2ADA257-7636-4880-91E6-970545411945}"/>
    <cellStyle name="Comma 4 3 2 3" xfId="56" xr:uid="{9D8E61B3-6411-4903-A596-691C7DB75795}"/>
    <cellStyle name="Comma 4 3 2 3 2" xfId="1843" xr:uid="{CF764434-0280-4A3C-9421-9E26A517BA29}"/>
    <cellStyle name="Comma 4 3 2 4" xfId="1885" xr:uid="{97D6DE8E-4DED-4B85-9425-4E59973FDA5C}"/>
    <cellStyle name="Comma 4 3 3" xfId="181" xr:uid="{DABF11D2-194D-4816-AEFE-5024AEE5D0FE}"/>
    <cellStyle name="Comma 4 3 3 2" xfId="1886" xr:uid="{67A8517C-4FC1-4DB3-95B6-C1DB3A60D578}"/>
    <cellStyle name="Comma 4 3 4" xfId="183" xr:uid="{E2DEC008-781F-41AB-BBDC-33958D016479}"/>
    <cellStyle name="Comma 4 3 4 2" xfId="1887" xr:uid="{90CE4027-6826-44E6-B541-26B5516D6E6A}"/>
    <cellStyle name="Comma 4 3 5" xfId="185" xr:uid="{236A86CD-19ED-4D39-82CB-3572AE74E21F}"/>
    <cellStyle name="Comma 4 3 5 2" xfId="1888" xr:uid="{3E66C556-2EF6-48EC-93B9-191851ADBB2E}"/>
    <cellStyle name="Comma 4 3 6" xfId="125" xr:uid="{2397BEDC-F60B-43B9-8429-ACA0CC310963}"/>
    <cellStyle name="Comma 4 3 6 2" xfId="1859" xr:uid="{30852313-5D20-4970-8232-A6D72AFB7D26}"/>
    <cellStyle name="Comma 4 3 7" xfId="1884" xr:uid="{028FE193-B949-42CB-9AAC-65D3EA9C5B3E}"/>
    <cellStyle name="Comma 4 4" xfId="186" xr:uid="{5874E28F-3D02-4D08-957E-1ADF29EAAE1E}"/>
    <cellStyle name="Comma 4 4 2" xfId="187" xr:uid="{AC2C8B29-71E9-4298-9CE9-DD80519DEC27}"/>
    <cellStyle name="Comma 4 4 2 2" xfId="188" xr:uid="{3305A27D-A655-4381-B425-481C831EE7F7}"/>
    <cellStyle name="Comma 4 4 2 2 2" xfId="1891" xr:uid="{28651208-58BD-4DD8-8B08-3402D916F249}"/>
    <cellStyle name="Comma 4 4 2 3" xfId="190" xr:uid="{0EF7014C-3F48-4BFA-8027-FF72875B9170}"/>
    <cellStyle name="Comma 4 4 2 3 2" xfId="1892" xr:uid="{3E306EF5-C526-48FD-A244-36BFAE75F127}"/>
    <cellStyle name="Comma 4 4 2 4" xfId="1890" xr:uid="{0E634B9D-9B70-4BE4-9224-3394A76EB634}"/>
    <cellStyle name="Comma 4 4 3" xfId="191" xr:uid="{07454117-8392-4982-8919-3E44E714B1DA}"/>
    <cellStyle name="Comma 4 4 3 2" xfId="1893" xr:uid="{80381A84-7470-4D80-A004-DD141A003565}"/>
    <cellStyle name="Comma 4 4 4" xfId="192" xr:uid="{3961448F-E26B-4CE2-9181-CA08BB36DBC7}"/>
    <cellStyle name="Comma 4 4 4 2" xfId="1894" xr:uid="{2F7B62B2-FD67-4265-A24D-9A11808B7859}"/>
    <cellStyle name="Comma 4 4 5" xfId="193" xr:uid="{180E0CBA-6B34-4D61-904C-9E506D4CC752}"/>
    <cellStyle name="Comma 4 4 5 2" xfId="1895" xr:uid="{1B20FE1B-875C-4EF0-BBEA-79F24B780846}"/>
    <cellStyle name="Comma 4 4 6" xfId="194" xr:uid="{F89D9E5F-1242-4D34-AD73-1E1E2ECB7680}"/>
    <cellStyle name="Comma 4 4 6 2" xfId="1896" xr:uid="{413ABD52-6B2D-4B3D-9FB8-B1C1423F9461}"/>
    <cellStyle name="Comma 4 4 7" xfId="1889" xr:uid="{C1D5A976-CC49-4930-9B94-574C86268064}"/>
    <cellStyle name="Comma 4 5" xfId="195" xr:uid="{A01D1BA5-CFB7-4CDF-83F1-303F37648714}"/>
    <cellStyle name="Comma 4 5 2" xfId="196" xr:uid="{9C4A3ACC-946B-4E79-8B57-19A24677E84D}"/>
    <cellStyle name="Comma 4 5 2 2" xfId="1898" xr:uid="{69A223D3-6A19-481A-9B6A-E662C3F68A1A}"/>
    <cellStyle name="Comma 4 5 3" xfId="197" xr:uid="{D499AE92-6864-4218-8F33-98E098215307}"/>
    <cellStyle name="Comma 4 5 3 2" xfId="1899" xr:uid="{C17ECEF2-B6DA-4D70-8523-9CAFC0B9FDF8}"/>
    <cellStyle name="Comma 4 5 4" xfId="1897" xr:uid="{4A8AC9BE-8BC7-4488-8FE2-83E6F8FE2A3F}"/>
    <cellStyle name="Comma 4 6" xfId="198" xr:uid="{C56E1175-2CE5-4B7B-BCE9-4701A30A8558}"/>
    <cellStyle name="Comma 4 6 2" xfId="199" xr:uid="{1C5C093F-44B7-4670-8A62-826852D220BF}"/>
    <cellStyle name="Comma 4 6 2 2" xfId="1901" xr:uid="{8DEB2C5C-970E-482A-944B-7D279F8CFCDD}"/>
    <cellStyle name="Comma 4 6 3" xfId="201" xr:uid="{429BF5B8-19AF-4195-B587-B29A20A0971A}"/>
    <cellStyle name="Comma 4 6 3 2" xfId="1902" xr:uid="{ABFD909F-39D0-4EE9-A595-3F55E12AD82C}"/>
    <cellStyle name="Comma 4 6 4" xfId="1900" xr:uid="{741F21F9-8486-466D-B14D-AFD1E751B7A0}"/>
    <cellStyle name="Comma 4 7" xfId="202" xr:uid="{338C0598-891B-453B-9565-DCAC0C660383}"/>
    <cellStyle name="Comma 4 7 2" xfId="1903" xr:uid="{DD1154A9-A890-4838-BE99-5E8BF88ECBBC}"/>
    <cellStyle name="Comma 4 8" xfId="204" xr:uid="{35707519-561B-49AB-9084-DCC79541D175}"/>
    <cellStyle name="Comma 4 8 2" xfId="1904" xr:uid="{1270AB13-A74F-4934-B4D8-D511770A101B}"/>
    <cellStyle name="Comma 4 9" xfId="207" xr:uid="{62829775-EEBF-4185-873F-4C7E3A4AD791}"/>
    <cellStyle name="Comma 4 9 2" xfId="1905" xr:uid="{275F0061-F319-4B1E-A9EA-8CC8683D951E}"/>
    <cellStyle name="Comma 5" xfId="166" xr:uid="{31CF7742-EFB7-42E5-AE23-346EFD535F8C}"/>
    <cellStyle name="Comma 5 10" xfId="1878" xr:uid="{E8995F1F-C4F2-4762-885D-7F109D6831FB}"/>
    <cellStyle name="Comma 5 2" xfId="212" xr:uid="{D7788A07-F3B0-4A87-9E51-23A306CECABF}"/>
    <cellStyle name="Comma 5 2 2" xfId="215" xr:uid="{1D31098F-F047-435A-9AFD-A74648F5E231}"/>
    <cellStyle name="Comma 5 2 2 2" xfId="216" xr:uid="{B286724B-C559-4FBF-8B0B-EC02C9FADAD3}"/>
    <cellStyle name="Comma 5 2 2 2 2" xfId="1908" xr:uid="{F8F2C53A-426D-4BDA-953F-D20F61F4A104}"/>
    <cellStyle name="Comma 5 2 2 3" xfId="217" xr:uid="{A54FC1FF-ACF2-4C3D-86AE-902446875FF7}"/>
    <cellStyle name="Comma 5 2 2 3 2" xfId="1909" xr:uid="{612433F2-9183-4E6A-8627-7B05BF89C710}"/>
    <cellStyle name="Comma 5 2 2 4" xfId="1907" xr:uid="{2D4D0D4A-F7C1-46FA-9F61-6CD199A4D79A}"/>
    <cellStyle name="Comma 5 2 3" xfId="218" xr:uid="{70BCC129-BB0C-4E0C-8FC1-3B55A582553C}"/>
    <cellStyle name="Comma 5 2 3 2" xfId="1910" xr:uid="{3CF7AB7A-18FD-4FD4-A322-6AF2CD816A82}"/>
    <cellStyle name="Comma 5 2 4" xfId="220" xr:uid="{8462197F-4C76-49B5-A877-E607B0981FAD}"/>
    <cellStyle name="Comma 5 2 4 2" xfId="1911" xr:uid="{3D476F50-7AA8-4870-A9F8-7EAF4DA233C8}"/>
    <cellStyle name="Comma 5 2 5" xfId="222" xr:uid="{DFDD8053-783E-4F6D-A5F0-1EC54F36CBAF}"/>
    <cellStyle name="Comma 5 2 5 2" xfId="1912" xr:uid="{0539F6E7-0573-4C2D-8717-4B24D77DEC07}"/>
    <cellStyle name="Comma 5 2 6" xfId="152" xr:uid="{5988C622-2F64-4C35-A9D7-A12097882A5A}"/>
    <cellStyle name="Comma 5 2 6 2" xfId="1873" xr:uid="{EC842610-BCAA-4DE8-9994-ECD2A973ABE5}"/>
    <cellStyle name="Comma 5 2 7" xfId="1906" xr:uid="{D8830F08-D0FC-40B4-BF0B-84352586DB08}"/>
    <cellStyle name="Comma 5 3" xfId="223" xr:uid="{824318C5-DAD9-4A0E-9291-224A5A05F4D3}"/>
    <cellStyle name="Comma 5 3 2" xfId="224" xr:uid="{F3E04CED-CE1D-4AB6-A095-7DF7274ED82A}"/>
    <cellStyle name="Comma 5 3 2 2" xfId="227" xr:uid="{10A8B3FB-D5A1-4C41-BC39-F989CA285ED9}"/>
    <cellStyle name="Comma 5 3 2 2 2" xfId="1916" xr:uid="{59C142B9-D62E-4E7C-AB85-9B2BFB4402A1}"/>
    <cellStyle name="Comma 5 3 2 3" xfId="230" xr:uid="{A542F899-0430-4106-8227-62FB39DA9294}"/>
    <cellStyle name="Comma 5 3 2 3 2" xfId="1918" xr:uid="{56130B89-EEFA-4769-AE6D-FC1657DD5B04}"/>
    <cellStyle name="Comma 5 3 2 4" xfId="1914" xr:uid="{4009A485-6515-423B-A1C2-899629A41DE7}"/>
    <cellStyle name="Comma 5 3 3" xfId="232" xr:uid="{2EBEEEEC-E7C6-4FA9-BC2F-A55A22047A39}"/>
    <cellStyle name="Comma 5 3 3 2" xfId="1919" xr:uid="{E75BB986-20D2-4A7E-891A-0058E2A0692D}"/>
    <cellStyle name="Comma 5 3 4" xfId="234" xr:uid="{BAEF718D-14F8-4B0E-B2AF-B423D944C431}"/>
    <cellStyle name="Comma 5 3 4 2" xfId="1920" xr:uid="{65A95168-C723-4420-B2AC-60790C99B9DC}"/>
    <cellStyle name="Comma 5 3 5" xfId="237" xr:uid="{D022726C-D2A0-457B-B853-E9ECB9EB0ECE}"/>
    <cellStyle name="Comma 5 3 5 2" xfId="1921" xr:uid="{DB74DA3B-6AD7-4621-98EC-07A55667C6CB}"/>
    <cellStyle name="Comma 5 3 6" xfId="240" xr:uid="{D55DA0E6-5386-429F-840E-13B79B2797A8}"/>
    <cellStyle name="Comma 5 3 6 2" xfId="1922" xr:uid="{828D1E9B-AD98-45C2-982C-2E09E0470A4F}"/>
    <cellStyle name="Comma 5 3 7" xfId="1913" xr:uid="{FC93B7D1-9147-4235-B028-11D60B6F883B}"/>
    <cellStyle name="Comma 5 4" xfId="242" xr:uid="{98303F96-0ED5-4CCD-88BE-6DF844B83D22}"/>
    <cellStyle name="Comma 5 4 2" xfId="243" xr:uid="{7C6872EA-3168-4843-B8CC-E8D37F6A0461}"/>
    <cellStyle name="Comma 5 4 2 2" xfId="1924" xr:uid="{633D54F2-1982-41C6-AC12-A07DC61365BC}"/>
    <cellStyle name="Comma 5 4 3" xfId="245" xr:uid="{9813777B-1DAC-4258-8CCA-0BA86ED27520}"/>
    <cellStyle name="Comma 5 4 3 2" xfId="1925" xr:uid="{5040AD65-81E4-4AD1-BEB6-3686C12CC525}"/>
    <cellStyle name="Comma 5 4 4" xfId="1923" xr:uid="{83AFC512-0F1F-4B3C-B079-460AC7A04A4F}"/>
    <cellStyle name="Comma 5 5" xfId="247" xr:uid="{80F9BD5C-04E9-4E37-9DA6-ABF09F7928F4}"/>
    <cellStyle name="Comma 5 5 2" xfId="248" xr:uid="{4AEB87B5-66FF-4716-897F-8BB1D20E79E0}"/>
    <cellStyle name="Comma 5 5 2 2" xfId="1927" xr:uid="{5D55C3AD-A1D9-4E5E-B189-F3147BD90A91}"/>
    <cellStyle name="Comma 5 5 3" xfId="250" xr:uid="{5E2B2145-016A-41B2-A953-1686A7AE2B32}"/>
    <cellStyle name="Comma 5 5 3 2" xfId="1928" xr:uid="{3F3B8A25-8EAC-4BE4-9EA1-C2B2831FA608}"/>
    <cellStyle name="Comma 5 5 4" xfId="1926" xr:uid="{AACCCDBE-0739-41CA-AECD-00B713966BD7}"/>
    <cellStyle name="Comma 5 6" xfId="252" xr:uid="{94CA0885-6563-47D5-A44B-13688A5B752C}"/>
    <cellStyle name="Comma 5 6 2" xfId="1929" xr:uid="{BC76E108-5E19-4880-8EF0-39A15D6C904C}"/>
    <cellStyle name="Comma 5 7" xfId="226" xr:uid="{2158BB91-A7F0-4BD2-9718-0384D644943A}"/>
    <cellStyle name="Comma 5 7 2" xfId="1915" xr:uid="{654A9479-DF27-4620-8A98-ED9AC6F81A85}"/>
    <cellStyle name="Comma 5 8" xfId="229" xr:uid="{48C6085B-466A-46F7-A2C1-7A0FE180778A}"/>
    <cellStyle name="Comma 5 8 2" xfId="1917" xr:uid="{B8767D9D-E80F-4D6F-B0D6-E350FF1898BD}"/>
    <cellStyle name="Comma 5 9" xfId="253" xr:uid="{16CBD390-8467-4F1F-8DF3-832904E31844}"/>
    <cellStyle name="Comma 5 9 2" xfId="1930" xr:uid="{CE085931-2080-445A-B68F-852C0B8DDB15}"/>
    <cellStyle name="Comma 6" xfId="255" xr:uid="{CE60CA79-4F9D-413F-B59F-447A9C8383A6}"/>
    <cellStyle name="Comma 6 2" xfId="256" xr:uid="{11EC1D52-59BD-499C-A8E0-BF0ACA85ABB1}"/>
    <cellStyle name="Comma 6 2 2" xfId="260" xr:uid="{583E077D-D9A7-4296-B7BE-59423E7A786B}"/>
    <cellStyle name="Comma 6 2 2 2" xfId="1933" xr:uid="{7974FBCE-CDA8-48C2-A0FE-68C49E069CC6}"/>
    <cellStyle name="Comma 6 2 3" xfId="30" xr:uid="{DFB0DFA4-8664-42DF-AA80-51B9C56FAA69}"/>
    <cellStyle name="Comma 6 2 3 2" xfId="1842" xr:uid="{C248D7A8-3A9F-4D54-B9A8-0597CB4FC99D}"/>
    <cellStyle name="Comma 6 2 4" xfId="1932" xr:uid="{11CBE7AA-E13A-4A85-A7AD-A2A2F61892EE}"/>
    <cellStyle name="Comma 6 3" xfId="262" xr:uid="{1E80D440-F96C-4E62-BFAF-112FF82E9BA5}"/>
    <cellStyle name="Comma 6 3 2" xfId="1934" xr:uid="{3A343E54-68FB-4F9C-A0D3-2CA7CFAC6148}"/>
    <cellStyle name="Comma 6 4" xfId="263" xr:uid="{BE768EAA-412B-4418-AD5B-22727B5FA031}"/>
    <cellStyle name="Comma 6 4 2" xfId="1935" xr:uid="{D2B6E50C-99A4-4E4A-A6DA-2ADA75F1315C}"/>
    <cellStyle name="Comma 6 5" xfId="264" xr:uid="{B8686702-51DA-4FE1-9C67-BBEBBCC07BE2}"/>
    <cellStyle name="Comma 6 5 2" xfId="1936" xr:uid="{B1CF5EF1-56FC-4F0E-A33B-553363B77768}"/>
    <cellStyle name="Comma 6 6" xfId="266" xr:uid="{48A7F4BD-E33C-45E2-8AE6-AC5883C6578F}"/>
    <cellStyle name="Comma 6 6 2" xfId="1937" xr:uid="{54FA638B-F389-4A86-8960-2D17A6E32056}"/>
    <cellStyle name="Comma 6 7" xfId="1931" xr:uid="{F5B80B5D-3B7D-4FAC-A651-E9E8032B10F6}"/>
    <cellStyle name="Comma 7" xfId="268" xr:uid="{DE6E9625-7612-4E7D-9336-C89A3505FA28}"/>
    <cellStyle name="Comma 7 2" xfId="269" xr:uid="{FDED68AA-DF37-4430-8FBC-C7F93D7F02DF}"/>
    <cellStyle name="Comma 7 2 2" xfId="1939" xr:uid="{60018293-4B0A-4173-9EA6-F1029A79B618}"/>
    <cellStyle name="Comma 7 3" xfId="272" xr:uid="{FE7F8D70-7667-4F37-8AC5-F159EC1A6354}"/>
    <cellStyle name="Comma 7 3 2" xfId="1940" xr:uid="{D4BBDA47-9534-45D0-8FFB-31FBE17CFFC5}"/>
    <cellStyle name="Comma 7 4" xfId="1938" xr:uid="{9298DFE5-1AE0-411A-8A11-016AE3657CCE}"/>
    <cellStyle name="Comma 8" xfId="274" xr:uid="{62C13A3A-978F-4140-8A2C-5513145D0E31}"/>
    <cellStyle name="Comma 8 2" xfId="276" xr:uid="{810B03E3-9E1B-4315-9BAF-3DF8B08A0FE3}"/>
    <cellStyle name="Comma 8 2 2" xfId="1942" xr:uid="{BBF4EA3A-EA31-4639-A8DC-7593FA81A56E}"/>
    <cellStyle name="Comma 8 3" xfId="279" xr:uid="{2C298E82-8D85-40C2-852E-A66E7A243725}"/>
    <cellStyle name="Comma 8 3 2" xfId="1943" xr:uid="{48C04CAE-C1F3-42CF-968D-4B05DA6DA2D6}"/>
    <cellStyle name="Comma 8 4" xfId="1941" xr:uid="{AFBB8F9B-3524-4572-87DA-CB1E925988D3}"/>
    <cellStyle name="Comma 9" xfId="281" xr:uid="{29BDE332-6700-46E6-96E7-678EC0153B77}"/>
    <cellStyle name="Comma 9 2" xfId="282" xr:uid="{8BF10C97-A29A-4B64-A85C-CA2F499973D8}"/>
    <cellStyle name="Comma 9 2 2" xfId="1945" xr:uid="{2FA0DE36-9B7B-42E2-AB54-9C81431713C6}"/>
    <cellStyle name="Comma 9 3" xfId="287" xr:uid="{BFAFE5DD-BA3F-4ACA-8FD0-203AE2D303C4}"/>
    <cellStyle name="Comma 9 3 2" xfId="1946" xr:uid="{49542D08-E619-451B-91DC-39BEE414629C}"/>
    <cellStyle name="Comma 9 4" xfId="1944" xr:uid="{F5C3BD4B-AD1B-427E-A318-FE45E0633DAF}"/>
    <cellStyle name="Hyperlink" xfId="3" builtinId="8"/>
    <cellStyle name="Hyperlink 2" xfId="81" xr:uid="{249C086A-540C-42B4-A785-25F497F99810}"/>
    <cellStyle name="Hyperlink 2 2" xfId="289" xr:uid="{63E0C5BC-0D1C-4C9D-B7BF-B6C3FF874EEF}"/>
    <cellStyle name="Hyperlink 2 2 2" xfId="292" xr:uid="{D6B7372B-BC28-4633-A582-3DD5A7ECA982}"/>
    <cellStyle name="Hyperlink 2 3" xfId="297" xr:uid="{41F0369C-A3D4-453D-98A6-36E387B9AD0E}"/>
    <cellStyle name="Hyperlink 2 4" xfId="214" xr:uid="{F56A32E8-C5A9-4E63-B728-D85A0D092C65}"/>
    <cellStyle name="Hyperlink 3" xfId="85" xr:uid="{3BD1D346-9217-4D5E-9BA6-82E61DE11AE4}"/>
    <cellStyle name="Hyperlink 3 2" xfId="301" xr:uid="{E25EFC2E-BE8C-4652-BBE3-E1FDAA41DE4C}"/>
    <cellStyle name="Hyperlink 3 2 2" xfId="303" xr:uid="{BA8786CB-E8D7-4C5B-9350-B35190B83A24}"/>
    <cellStyle name="Hyperlink 3 3" xfId="306" xr:uid="{B7BD86C5-25BD-4EAC-BDED-20EBDFFE28DC}"/>
    <cellStyle name="Hyperlink 3 4" xfId="259" xr:uid="{6C4A22B3-A86D-4272-B4AD-3CE57F2E31D9}"/>
    <cellStyle name="Hyperlink 4" xfId="90" xr:uid="{FB14D9B1-DD3B-4D4E-A7C8-F829B384CE9C}"/>
    <cellStyle name="Hyperlink 4 2" xfId="309" xr:uid="{E6C38227-0491-4A70-AB64-6A5F18DC65BA}"/>
    <cellStyle name="Hyperlink 4 2 2" xfId="313" xr:uid="{661A7FD5-CBCE-4218-B69A-6495FDA55D48}"/>
    <cellStyle name="Hyperlink 4 3" xfId="317" xr:uid="{630D9811-D335-40C4-A49F-D7D5FD87DA77}"/>
    <cellStyle name="Hyperlink 4 4" xfId="271" xr:uid="{7123038D-3FC8-4688-AF46-67E0B661924C}"/>
    <cellStyle name="Hyperlink 5" xfId="94" xr:uid="{0C6F5AF5-F792-42E0-BDA9-9FA4B8EB694D}"/>
    <cellStyle name="Hyperlink 5 2" xfId="323" xr:uid="{C02456D9-0AFB-4DD3-B346-9C4404E3B379}"/>
    <cellStyle name="Hyperlink 6" xfId="327" xr:uid="{5D041574-0C6B-4FCC-8045-E9B506DDDD72}"/>
    <cellStyle name="Hyperlink 7" xfId="329" xr:uid="{670A0344-4B46-4C01-98BA-5717771AFBEF}"/>
    <cellStyle name="Hyperlink 8" xfId="1837" xr:uid="{97AEF02D-029B-47F4-8814-E68B80D1E4F7}"/>
    <cellStyle name="Normal" xfId="0" builtinId="0"/>
    <cellStyle name="Normal 10" xfId="330" xr:uid="{B4CAC0A1-5D96-4A64-8F17-761DD3903FCC}"/>
    <cellStyle name="Normal 10 10" xfId="331" xr:uid="{7FB85DE0-3AFF-4E34-8642-0709A2E14024}"/>
    <cellStyle name="Normal 10 2" xfId="265" xr:uid="{EA0FCF63-5870-4E75-B03F-8EB1E202CC2C}"/>
    <cellStyle name="Normal 10 2 2" xfId="335" xr:uid="{3705F37C-F810-466B-A4CF-31F4E4342910}"/>
    <cellStyle name="Normal 10 2 2 2" xfId="337" xr:uid="{262E60DB-ADC9-4B14-B703-FA62F0AB8792}"/>
    <cellStyle name="Normal 10 2 2 2 2" xfId="342" xr:uid="{1367B030-EAFD-40C8-BF19-14FDF920AF2E}"/>
    <cellStyle name="Normal 10 2 2 2 2 2" xfId="343" xr:uid="{24E3A050-0A24-4E20-B237-9F76FD526EC6}"/>
    <cellStyle name="Normal 10 2 2 2 2 3" xfId="345" xr:uid="{ECC3F461-D715-4B6E-A165-699A9A93A797}"/>
    <cellStyle name="Normal 10 2 2 2 3" xfId="261" xr:uid="{EF804AF0-0279-4FB1-A5C2-7A9888007968}"/>
    <cellStyle name="Normal 10 2 2 2 4" xfId="31" xr:uid="{DFCEF996-B149-4E71-AF57-EDBD771B77B4}"/>
    <cellStyle name="Normal 10 2 2 2 5" xfId="347" xr:uid="{194E8103-BD96-48C4-8D6D-F0294E3AD2A7}"/>
    <cellStyle name="Normal 10 2 2 2 6" xfId="349" xr:uid="{828D86DF-A9CC-4F06-BDBB-07415502E623}"/>
    <cellStyle name="Normal 10 2 2 3" xfId="351" xr:uid="{13AB072B-DB77-43EB-BAC4-7D1846A93B19}"/>
    <cellStyle name="Normal 10 2 2 3 2" xfId="353" xr:uid="{92C70FAB-6A60-4156-9BEE-4FA075203F28}"/>
    <cellStyle name="Normal 10 2 2 3 2 2" xfId="357" xr:uid="{11085E08-6D01-4F29-A719-7B88B2E29689}"/>
    <cellStyle name="Normal 10 2 2 3 2 3" xfId="359" xr:uid="{15FA51F2-8AAA-4147-BC1A-90281B928178}"/>
    <cellStyle name="Normal 10 2 2 3 3" xfId="361" xr:uid="{0483462A-6396-4F7B-95E7-BFF0654E90E4}"/>
    <cellStyle name="Normal 10 2 2 3 4" xfId="362" xr:uid="{2E14382C-F96F-464A-8C72-6913DEEC6703}"/>
    <cellStyle name="Normal 10 2 2 3 5" xfId="290" xr:uid="{322E7F68-F2F8-4EDB-98BF-CE58C2FE8226}"/>
    <cellStyle name="Normal 10 2 2 3 6" xfId="298" xr:uid="{5BB91E14-6AD2-439E-8C19-83A279FBB5EC}"/>
    <cellStyle name="Normal 10 2 2 4" xfId="363" xr:uid="{BAFB5F8B-D1E1-4AD7-815D-14FDDF79A3A8}"/>
    <cellStyle name="Normal 10 2 2 4 2" xfId="365" xr:uid="{EE238CA8-808B-416A-A7B4-A55001CBD246}"/>
    <cellStyle name="Normal 10 2 2 4 3" xfId="367" xr:uid="{57CCCE3A-6FA1-4F96-97B4-CAA45FFF5927}"/>
    <cellStyle name="Normal 10 2 2 5" xfId="369" xr:uid="{D2E113E9-E399-4025-9273-9D5426C64485}"/>
    <cellStyle name="Normal 10 2 2 5 2" xfId="371" xr:uid="{71843D99-6DBF-43FF-96C5-01BADAE6F7EF}"/>
    <cellStyle name="Normal 10 2 2 5 3" xfId="336" xr:uid="{837CCE5D-BFD8-42E1-8295-E7419913C76B}"/>
    <cellStyle name="Normal 10 2 2 6" xfId="372" xr:uid="{78E85BF5-658F-4DB1-B7FA-B19CD59F66C2}"/>
    <cellStyle name="Normal 10 2 2 7" xfId="374" xr:uid="{51FB2D26-08EC-4CC7-AFD0-FF60DBD54D06}"/>
    <cellStyle name="Normal 10 2 2 8" xfId="33" xr:uid="{A18A7E57-5544-4096-872F-3048D0BDC450}"/>
    <cellStyle name="Normal 10 2 2 9" xfId="377" xr:uid="{7F3F4FA0-E4C9-4CDC-9CCE-16DFAED08D28}"/>
    <cellStyle name="Normal 10 2 3" xfId="378" xr:uid="{798AAA1B-AF29-4A9C-AF77-BA49854ED582}"/>
    <cellStyle name="Normal 10 2 3 2" xfId="379" xr:uid="{E4525ACE-D413-43D2-A503-594E1EF2D015}"/>
    <cellStyle name="Normal 10 2 3 3" xfId="18" xr:uid="{5B47D02E-E048-4E83-A642-81E09ECD154C}"/>
    <cellStyle name="Normal 10 2 4" xfId="312" xr:uid="{6C00A604-4E39-4C9A-BBA5-EEF338422127}"/>
    <cellStyle name="Normal 10 2 5" xfId="319" xr:uid="{610C65EE-14CC-4906-AEA0-3C60EF22A9B3}"/>
    <cellStyle name="Normal 10 3" xfId="267" xr:uid="{75BEF921-F8B1-41EC-AA40-536E30B6A0A1}"/>
    <cellStyle name="Normal 10 3 2" xfId="381" xr:uid="{48FEB08B-6EA0-44A7-BDC0-B84291F1A111}"/>
    <cellStyle name="Normal 10 3 2 2" xfId="382" xr:uid="{25C5D451-2D3B-4F83-BB0A-177B5C71E787}"/>
    <cellStyle name="Normal 10 3 2 3" xfId="385" xr:uid="{130F34EF-6A51-480F-A17E-6C2E13ABD364}"/>
    <cellStyle name="Normal 10 3 3" xfId="387" xr:uid="{37995CAE-B71A-4EFF-A858-46ADF015E6BB}"/>
    <cellStyle name="Normal 10 3 4" xfId="325" xr:uid="{04CDAA86-D523-4E61-AA57-1C003F4599D1}"/>
    <cellStyle name="Normal 10 3 5" xfId="389" xr:uid="{69EF30BE-6AD7-4F06-826B-50F116672C32}"/>
    <cellStyle name="Normal 10 3 6" xfId="278" xr:uid="{BFCE75CC-A366-4FF6-8216-D72CF8FB221F}"/>
    <cellStyle name="Normal 10 4" xfId="390" xr:uid="{B991AA94-B039-4188-85A6-B558DEE04F0F}"/>
    <cellStyle name="Normal 10 4 2" xfId="392" xr:uid="{422726DB-984E-4533-8355-C2A79CAE8F9B}"/>
    <cellStyle name="Normal 10 4 2 2" xfId="393" xr:uid="{74C603D1-CC17-4098-B28E-B10DB8B3EDE1}"/>
    <cellStyle name="Normal 10 4 2 3" xfId="396" xr:uid="{EAB45961-9499-456E-95BF-2B65267AAE49}"/>
    <cellStyle name="Normal 10 4 3" xfId="383" xr:uid="{40F0EE0E-DD31-402D-86D6-2B8EC76708A8}"/>
    <cellStyle name="Normal 10 4 4" xfId="386" xr:uid="{331327C0-8F0D-43A1-A219-DD7496DE9026}"/>
    <cellStyle name="Normal 10 4 5" xfId="400" xr:uid="{AEA8B692-0668-4D9D-B256-194820E7F4F4}"/>
    <cellStyle name="Normal 10 4 6" xfId="284" xr:uid="{78295CF1-BFE7-48F6-8A40-7E0DF445BB9E}"/>
    <cellStyle name="Normal 10 5" xfId="404" xr:uid="{1557F5F6-3A47-4E1A-B652-93AC5CE95FCA}"/>
    <cellStyle name="Normal 10 5 2" xfId="406" xr:uid="{4097BEE4-33A2-4466-8205-C84EC868A128}"/>
    <cellStyle name="Normal 10 5 3" xfId="407" xr:uid="{B64949E2-2A33-4739-B519-E40B8638C393}"/>
    <cellStyle name="Normal 10 6" xfId="409" xr:uid="{115CC711-CCAA-4806-A9F1-66CEEFB5BA51}"/>
    <cellStyle name="Normal 10 6 2" xfId="20" xr:uid="{41CD8544-8AC4-4050-A311-FB38EF9DEE84}"/>
    <cellStyle name="Normal 10 6 3" xfId="411" xr:uid="{5A1548CC-2886-4AD5-9CAD-F4A54E79FCB4}"/>
    <cellStyle name="Normal 10 7" xfId="412" xr:uid="{D472DFE9-2DE2-441D-94C0-7E6B7BF50A69}"/>
    <cellStyle name="Normal 10 8" xfId="314" xr:uid="{C8C8098F-90D0-4556-952C-E9CC0D2F4B87}"/>
    <cellStyle name="Normal 10 9" xfId="413" xr:uid="{FBF379B5-9DE8-48CD-8DD0-0F2265AAB7A4}"/>
    <cellStyle name="Normal 11" xfId="414" xr:uid="{A3909E51-A65D-446B-BE94-35F949F30A18}"/>
    <cellStyle name="Normal 11 10" xfId="148" xr:uid="{CD59798F-9519-4DA3-B22B-A35257CDCCB9}"/>
    <cellStyle name="Normal 11 2" xfId="415" xr:uid="{62E0CF87-4FDA-4384-82D3-794BDDB4E78F}"/>
    <cellStyle name="Normal 11 2 2" xfId="418" xr:uid="{ECED2188-EAB4-4089-BDF7-05B54CC76B87}"/>
    <cellStyle name="Normal 11 2 2 2" xfId="420" xr:uid="{BBCA33FD-11A9-4C33-BCE6-1FDFCD84B66B}"/>
    <cellStyle name="Normal 11 2 2 2 2" xfId="422" xr:uid="{CA74B933-C2C3-4E32-A609-D4104F315C66}"/>
    <cellStyle name="Normal 11 2 2 2 3" xfId="424" xr:uid="{851CD2D2-8083-4D1A-9C5B-ED21B8583617}"/>
    <cellStyle name="Normal 11 2 2 3" xfId="50" xr:uid="{B8315349-87C5-475F-8982-8BF3F06E7F93}"/>
    <cellStyle name="Normal 11 2 2 4" xfId="37" xr:uid="{C82821E8-C0C9-40BA-958D-47A7BDFC783E}"/>
    <cellStyle name="Normal 11 2 2 5" xfId="24" xr:uid="{8A6EE88A-D018-4FA1-B695-5AC7E0A35B41}"/>
    <cellStyle name="Normal 11 2 2 6" xfId="58" xr:uid="{EA9DF9B7-651A-4B24-83F0-C912115C073C}"/>
    <cellStyle name="Normal 11 2 3" xfId="425" xr:uid="{5D003820-645C-4C6F-AE0E-F69CC784A564}"/>
    <cellStyle name="Normal 11 2 3 2" xfId="427" xr:uid="{950A875D-95A8-41E9-8615-0B8A22004D3D}"/>
    <cellStyle name="Normal 11 2 3 2 2" xfId="429" xr:uid="{CAE1FA3F-9C72-41FA-A2B8-C366581A8787}"/>
    <cellStyle name="Normal 11 2 3 2 3" xfId="417" xr:uid="{DC63FEAC-84A3-4126-B1FF-DA77AA58EEF3}"/>
    <cellStyle name="Normal 11 2 3 3" xfId="431" xr:uid="{92490E9B-48D8-40B0-9363-A7A8599171D4}"/>
    <cellStyle name="Normal 11 2 3 4" xfId="433" xr:uid="{47AD5C25-16F4-4C5C-B5AE-3253884287B7}"/>
    <cellStyle name="Normal 11 2 3 5" xfId="436" xr:uid="{3C371654-5DD9-4F79-B1EA-72B068AE1029}"/>
    <cellStyle name="Normal 11 2 3 6" xfId="439" xr:uid="{97C191B2-0B6F-496E-BF84-5829795724C4}"/>
    <cellStyle name="Normal 11 2 4" xfId="440" xr:uid="{17AC4EA9-4740-47AA-A391-8E269120EE86}"/>
    <cellStyle name="Normal 11 2 4 2" xfId="64" xr:uid="{9C6F2849-6539-43AE-B18A-6B947454CA28}"/>
    <cellStyle name="Normal 11 2 4 3" xfId="442" xr:uid="{AFC6D6E0-7277-450E-8F5E-6F3DF4BF49DE}"/>
    <cellStyle name="Normal 11 2 5" xfId="443" xr:uid="{EDC40FF5-EC37-43A0-B80D-7F758044716A}"/>
    <cellStyle name="Normal 11 2 5 2" xfId="115" xr:uid="{FC2320CA-4FD9-4D8E-B18D-995889D71F4D}"/>
    <cellStyle name="Normal 11 2 5 3" xfId="118" xr:uid="{FD5EAD23-A635-4697-9247-537BCAF86DD0}"/>
    <cellStyle name="Normal 11 2 6" xfId="444" xr:uid="{82B4EECF-5EB2-4F89-B276-C8C4A656BCE8}"/>
    <cellStyle name="Normal 11 2 7" xfId="149" xr:uid="{2B71C395-4151-4C93-A1E3-C8F1E2F50E75}"/>
    <cellStyle name="Normal 11 2 8" xfId="159" xr:uid="{79873D8F-A80B-433C-930B-B1572D62EEBC}"/>
    <cellStyle name="Normal 11 2 9" xfId="77" xr:uid="{2ECE55EC-4C91-4BDE-B43A-310DFD95ABF5}"/>
    <cellStyle name="Normal 11 3" xfId="445" xr:uid="{4F34A14E-94E5-4765-91AE-8BA482AF673C}"/>
    <cellStyle name="Normal 11 3 2" xfId="44" xr:uid="{8DFF7AC3-347E-47D3-AFFD-69781615BA35}"/>
    <cellStyle name="Normal 11 3 2 2" xfId="446" xr:uid="{3BD3C35B-CA7F-4369-B210-A0C922F1F77A}"/>
    <cellStyle name="Normal 11 3 2 3" xfId="448" xr:uid="{383ACF9D-84D0-41F8-845E-9EF874F17751}"/>
    <cellStyle name="Normal 11 3 3" xfId="47" xr:uid="{BBDCB787-BA9F-4451-A1C9-F8A990E9AC25}"/>
    <cellStyle name="Normal 11 3 4" xfId="52" xr:uid="{BF774CD5-AE44-4888-8B5A-D021FBC61E30}"/>
    <cellStyle name="Normal 11 3 5" xfId="41" xr:uid="{36E5FF81-971C-4B31-97E4-530C823031D0}"/>
    <cellStyle name="Normal 11 3 6" xfId="28" xr:uid="{6712CDE4-EA44-47F1-AE32-AF5A14D7E462}"/>
    <cellStyle name="Normal 11 4" xfId="449" xr:uid="{C47FD7E2-39C2-40E4-B745-438ED4203620}"/>
    <cellStyle name="Normal 11 4 2" xfId="451" xr:uid="{71B1C75E-6714-4B87-84C5-3F3AFAC46B5B}"/>
    <cellStyle name="Normal 11 4 2 2" xfId="71" xr:uid="{BE097FBC-BE44-4F90-B5B4-0034F46724A4}"/>
    <cellStyle name="Normal 11 4 2 3" xfId="454" xr:uid="{BB406C89-F1A5-471E-A8D4-B900D7275BD7}"/>
    <cellStyle name="Normal 11 4 3" xfId="394" xr:uid="{7FAB15C9-E772-4E5E-9774-421807CFC9DD}"/>
    <cellStyle name="Normal 11 4 4" xfId="397" xr:uid="{783E1A5B-1E60-4AE0-B68C-336244BBDBCD}"/>
    <cellStyle name="Normal 11 4 5" xfId="457" xr:uid="{3DC632BE-092C-40F3-A90E-F6CA168D1579}"/>
    <cellStyle name="Normal 11 4 6" xfId="460" xr:uid="{2A39E5E3-C03F-4636-B0D2-C7AE76EC17E1}"/>
    <cellStyle name="Normal 11 5" xfId="462" xr:uid="{786FCE3B-12F5-4E77-8E53-5D267FEF8E5E}"/>
    <cellStyle name="Normal 11 5 2" xfId="465" xr:uid="{47784CB3-995A-412C-9B51-B560FFFB993B}"/>
    <cellStyle name="Normal 11 5 3" xfId="466" xr:uid="{19BEA1D0-733A-49F6-AF5F-1C2876FE0C39}"/>
    <cellStyle name="Normal 11 6" xfId="467" xr:uid="{C1E38B4E-0E45-44AB-8E26-81605A18EC68}"/>
    <cellStyle name="Normal 11 6 2" xfId="162" xr:uid="{10D0A646-3613-4104-8D7B-40710C1D1E1A}"/>
    <cellStyle name="Normal 11 6 3" xfId="170" xr:uid="{EF8E1E8B-8FDB-428F-B23A-567A8AACCB82}"/>
    <cellStyle name="Normal 11 7" xfId="469" xr:uid="{CAAE380F-FA34-435A-8126-8F6E01BD2247}"/>
    <cellStyle name="Normal 11 8" xfId="471" xr:uid="{EC11A8D0-4B55-4FEF-ACE8-9DF5904DB9D9}"/>
    <cellStyle name="Normal 11 9" xfId="22" xr:uid="{6CDB34BE-AB65-40D7-9C80-E669477914CA}"/>
    <cellStyle name="Normal 12" xfId="472" xr:uid="{196DE8D2-685F-4189-A3EC-10980D936131}"/>
    <cellStyle name="Normal 12 2" xfId="473" xr:uid="{A8572FC3-8326-4F5A-8383-1E2EE34384F7}"/>
    <cellStyle name="Normal 12 2 2" xfId="474" xr:uid="{0391FFF6-6A4A-4DA3-B9A1-E4F88B7DD730}"/>
    <cellStyle name="Normal 12 3" xfId="475" xr:uid="{7CA9C162-750A-46FA-9433-0204969A650C}"/>
    <cellStyle name="Normal 12 4" xfId="477" xr:uid="{41D6CD26-586B-4ED8-94E5-BB42C73A03DD}"/>
    <cellStyle name="Normal 13" xfId="478" xr:uid="{F1253640-3CBF-46EA-AFA0-2FDBA50773F9}"/>
    <cellStyle name="Normal 13 2" xfId="479" xr:uid="{C854E61A-EE14-43A7-95BC-23C28032B78F}"/>
    <cellStyle name="Normal 13 2 2" xfId="480" xr:uid="{14882FF1-2733-4E42-9F99-5B1235D35E01}"/>
    <cellStyle name="Normal 13 2 2 2" xfId="481" xr:uid="{32AEE6E6-A857-450F-8F5E-85BE91A20BB2}"/>
    <cellStyle name="Normal 13 2 2 3" xfId="482" xr:uid="{C518353D-FCE2-46DA-A13B-ACF478B8E371}"/>
    <cellStyle name="Normal 13 2 3" xfId="483" xr:uid="{434DF63E-DFAF-4794-B477-82220ED629FE}"/>
    <cellStyle name="Normal 13 2 4" xfId="484" xr:uid="{C35F1BA2-AD0F-4ACA-B7A6-AB9116D54DA9}"/>
    <cellStyle name="Normal 13 2 5" xfId="485" xr:uid="{65F89AFF-4F8D-4F21-8139-A55FB49BD717}"/>
    <cellStyle name="Normal 13 2 6" xfId="486" xr:uid="{B04DA25A-D38A-4E6D-B95E-B5760E64111A}"/>
    <cellStyle name="Normal 13 3" xfId="487" xr:uid="{98457931-6F04-4F13-8FAF-E086309024BF}"/>
    <cellStyle name="Normal 13 3 2" xfId="488" xr:uid="{5221F5C4-36E3-4D2D-94C4-B50ADBAF6C41}"/>
    <cellStyle name="Normal 13 3 3" xfId="489" xr:uid="{2E0F6D48-212E-49DD-94F3-00841EC161C6}"/>
    <cellStyle name="Normal 13 4" xfId="492" xr:uid="{1D6BF05E-A036-482E-BC75-45C31CB2A191}"/>
    <cellStyle name="Normal 13 4 2" xfId="494" xr:uid="{E38AC8D5-439C-41B6-B636-B4B3B3F8DE13}"/>
    <cellStyle name="Normal 13 4 3" xfId="496" xr:uid="{517D0ECD-B0A2-49AF-8BA7-C8EF4EC22F4F}"/>
    <cellStyle name="Normal 13 5" xfId="73" xr:uid="{CF63CBAB-7DD4-4D01-B581-59E3F72A4869}"/>
    <cellStyle name="Normal 13 6" xfId="61" xr:uid="{F5EFBD75-456A-4FA3-8667-113ED5B528F6}"/>
    <cellStyle name="Normal 13 7" xfId="82" xr:uid="{70AE2BF2-F441-4019-846A-39C8B6D17546}"/>
    <cellStyle name="Normal 13 8" xfId="87" xr:uid="{491E3419-29EF-4748-8EA0-7D50505B66BC}"/>
    <cellStyle name="Normal 14" xfId="497" xr:uid="{CB839F3C-8BAE-4C85-A130-3811716E81F7}"/>
    <cellStyle name="Normal 14 2" xfId="17" xr:uid="{3F693377-FD34-4319-93A8-801F258EDAB0}"/>
    <cellStyle name="Normal 14 2 2" xfId="364" xr:uid="{E001D820-4BFB-4B3F-90FE-36691DC7653A}"/>
    <cellStyle name="Normal 14 2 2 2" xfId="366" xr:uid="{48A94FCC-0FE1-445E-962B-A2659191CB1C}"/>
    <cellStyle name="Normal 14 2 2 3" xfId="368" xr:uid="{6B0F5B14-9127-4670-9894-64020C951884}"/>
    <cellStyle name="Normal 14 2 3" xfId="370" xr:uid="{503DB9A8-DE85-4A6F-AFD9-934A46F24B25}"/>
    <cellStyle name="Normal 14 2 4" xfId="373" xr:uid="{76FB6B39-6A29-4708-A337-D539CA9136F3}"/>
    <cellStyle name="Normal 14 2 5" xfId="375" xr:uid="{10FE11F0-45B9-429B-AE54-C3C091CE1A8F}"/>
    <cellStyle name="Normal 14 2 6" xfId="34" xr:uid="{BED3A1F6-E1B5-4C0B-92FD-DEA694FBE8EA}"/>
    <cellStyle name="Normal 14 3" xfId="498" xr:uid="{A524B68A-27F2-413C-876F-2A0D0A27236B}"/>
    <cellStyle name="Normal 14 3 2" xfId="499" xr:uid="{0ED96B45-2519-47FE-A284-439F1DE2E0DF}"/>
    <cellStyle name="Normal 14 3 3" xfId="500" xr:uid="{A79B664B-4BF5-4722-889E-9149794AD9AE}"/>
    <cellStyle name="Normal 14 4" xfId="501" xr:uid="{FA74C515-1E85-45E7-8D33-8AF24AD0628A}"/>
    <cellStyle name="Normal 14 4 2" xfId="502" xr:uid="{DF09FD5E-4F4F-406F-9AA7-743C8CC6F9FC}"/>
    <cellStyle name="Normal 14 4 3" xfId="503" xr:uid="{2601F8A1-55BA-4BD9-A490-468A06BBCFF3}"/>
    <cellStyle name="Normal 14 5" xfId="504" xr:uid="{8FB5ED03-AE80-494F-A2E3-B49C113D9F81}"/>
    <cellStyle name="Normal 14 6" xfId="344" xr:uid="{4E6B8915-C325-4375-9FFC-B2561F75A444}"/>
    <cellStyle name="Normal 14 7" xfId="346" xr:uid="{1BA5EF45-CCCB-42A0-A281-F42DFE69D6E8}"/>
    <cellStyle name="Normal 14 8" xfId="505" xr:uid="{79EDC62B-6F86-4447-ABF0-16FC32749EDA}"/>
    <cellStyle name="Normal 15" xfId="508" xr:uid="{8557D7C3-2904-4E0A-9572-1E4ED7336B1D}"/>
    <cellStyle name="Normal 15 2" xfId="510" xr:uid="{9BB30CDD-EC5F-4450-B9A1-4379DF3BFA4D}"/>
    <cellStyle name="Normal 15 2 2" xfId="401" xr:uid="{82E5AB78-DCC8-4985-8A66-0064D32B70E1}"/>
    <cellStyle name="Normal 15 2 3" xfId="285" xr:uid="{7EBB0CE3-E9B7-49B5-A97E-7B997E938A27}"/>
    <cellStyle name="Normal 15 3" xfId="512" xr:uid="{564D8177-52FD-4950-956A-CCCF4FF2CC65}"/>
    <cellStyle name="Normal 16" xfId="294" xr:uid="{D361AF87-4908-4074-AA5B-C3AA90CB23E3}"/>
    <cellStyle name="Normal 16 2" xfId="514" xr:uid="{AB65BE39-7E54-4732-97C7-00ED172FD339}"/>
    <cellStyle name="Normal 16 2 2" xfId="458" xr:uid="{34A2884C-92C3-4323-A917-8E899DA611CC}"/>
    <cellStyle name="Normal 16 2 2 2" xfId="515" xr:uid="{CA5178A9-8538-4D43-80EF-3DBA541DDC29}"/>
    <cellStyle name="Normal 16 2 2 3" xfId="333" xr:uid="{0CC7B4CA-74C5-4D8D-B8FC-B12D2BADA2F7}"/>
    <cellStyle name="Normal 16 2 3" xfId="461" xr:uid="{D5A3E98A-309D-48A0-B64D-6DA3DCB3479B}"/>
    <cellStyle name="Normal 16 2 4" xfId="172" xr:uid="{F313FF6E-2D79-429C-8AEE-3A696923D650}"/>
    <cellStyle name="Normal 16 2 5" xfId="174" xr:uid="{4EBEA16B-F4BB-426A-913D-DA78D07AE238}"/>
    <cellStyle name="Normal 16 2 6" xfId="517" xr:uid="{049257FB-7C20-40EA-8BA0-865E06170DB5}"/>
    <cellStyle name="Normal 16 3" xfId="519" xr:uid="{F7D80217-73F4-41A4-A3EC-CB56F88C0865}"/>
    <cellStyle name="Normal 16 3 2" xfId="520" xr:uid="{5517A702-3719-4B8A-8C91-D0400206E3DC}"/>
    <cellStyle name="Normal 16 3 3" xfId="521" xr:uid="{B0B75048-85C5-4577-87A2-AD8088B9FA61}"/>
    <cellStyle name="Normal 16 4" xfId="523" xr:uid="{6878EC05-BBE5-4FE1-AFF9-2329872BEC9D}"/>
    <cellStyle name="Normal 16 4 2" xfId="137" xr:uid="{D62B2189-ED71-4D9C-909F-EE3504FADCFA}"/>
    <cellStyle name="Normal 16 4 3" xfId="177" xr:uid="{EEB27024-C50A-4B35-9B4E-A6CB694CE867}"/>
    <cellStyle name="Normal 16 5" xfId="524" xr:uid="{A001611F-1409-4D66-B12D-4C35B6A992BD}"/>
    <cellStyle name="Normal 16 6" xfId="525" xr:uid="{60B3C0A8-3B1F-44E7-8813-502CBF8CFD22}"/>
    <cellStyle name="Normal 16 7" xfId="527" xr:uid="{F3CE6D52-3ABF-4191-ADC8-79CE2DA1B5A7}"/>
    <cellStyle name="Normal 16 8" xfId="45" xr:uid="{D8FE4335-F5EA-4E40-A34A-62BE68615DB4}"/>
    <cellStyle name="Normal 17" xfId="529" xr:uid="{988C4B3D-76E8-4F23-9134-A3469F3D60BF}"/>
    <cellStyle name="Normal 17 2" xfId="32" xr:uid="{56725E92-A714-4579-9D50-CDD311A1AF3B}"/>
    <cellStyle name="Normal 17 2 2" xfId="119" xr:uid="{E1FAEA70-CFEC-4982-A198-F47BCD28019E}"/>
    <cellStyle name="Normal 17 2 2 2" xfId="531" xr:uid="{160C2211-827B-452C-9A11-66FEA06A6CD1}"/>
    <cellStyle name="Normal 17 2 2 3" xfId="533" xr:uid="{5E1F3A9B-307C-473C-A27C-D6B06CDC8D54}"/>
    <cellStyle name="Normal 17 2 3" xfId="534" xr:uid="{302E218C-7144-436C-9861-2AB03A271A65}"/>
    <cellStyle name="Normal 17 2 4" xfId="535" xr:uid="{56D5B9EA-D2BB-4C72-BC83-EA66723778D8}"/>
    <cellStyle name="Normal 17 2 5" xfId="536" xr:uid="{CDD72C4F-E9EB-4675-9138-4B0BC7AD90E8}"/>
    <cellStyle name="Normal 17 2 6" xfId="537" xr:uid="{DDE92322-C9ED-4C68-A07C-8B47EC63DCD6}"/>
    <cellStyle name="Normal 17 3" xfId="538" xr:uid="{E48749B9-CAFD-4D85-B0EC-4617BC29D4AD}"/>
    <cellStyle name="Normal 17 3 2" xfId="539" xr:uid="{4095E76D-C4C7-4321-9D57-10954567E54F}"/>
    <cellStyle name="Normal 17 3 3" xfId="541" xr:uid="{E1720D2D-CC00-444E-AEA6-CDF53C4198CA}"/>
    <cellStyle name="Normal 17 4" xfId="542" xr:uid="{1D3A8653-CC91-4AED-9399-E81769F80BC6}"/>
    <cellStyle name="Normal 17 4 2" xfId="156" xr:uid="{C1E573DF-BFCC-49BC-AF69-51C2D3F011F8}"/>
    <cellStyle name="Normal 17 4 3" xfId="543" xr:uid="{70C9C2B1-EDA0-4C93-B217-3B2C2EF39880}"/>
    <cellStyle name="Normal 17 5" xfId="545" xr:uid="{6F0F2E35-EF69-4CAE-A9D5-5ABB6D35B268}"/>
    <cellStyle name="Normal 17 6" xfId="547" xr:uid="{34318168-6554-4A1F-AD92-E5092EEA8FE9}"/>
    <cellStyle name="Normal 17 7" xfId="548" xr:uid="{3394D997-666E-405C-B6D6-DC32ACF49E79}"/>
    <cellStyle name="Normal 17 8" xfId="452" xr:uid="{6CCB50F7-EF77-4106-93A6-B5168B2CE61F}"/>
    <cellStyle name="Normal 18" xfId="67" xr:uid="{8295A306-B261-4F07-A4FF-9246528E16F1}"/>
    <cellStyle name="Normal 18 2" xfId="549" xr:uid="{B56FD4D3-18C4-4C05-AAED-5DE4A06F4059}"/>
    <cellStyle name="Normal 18 2 2" xfId="100" xr:uid="{8B553DA5-2ECA-4257-9529-D60ADAB12413}"/>
    <cellStyle name="Normal 18 2 3" xfId="552" xr:uid="{C17C4B7B-EC66-48B0-BA97-6055AB51E719}"/>
    <cellStyle name="Normal 18 3" xfId="553" xr:uid="{52ABF8B2-8B7A-4245-A5B5-131B42A2F895}"/>
    <cellStyle name="Normal 18 4" xfId="554" xr:uid="{FCF779CC-7EB7-4DC9-9059-DF1234E8095F}"/>
    <cellStyle name="Normal 18 5" xfId="555" xr:uid="{33C25F85-606E-4C6A-9BC7-863343B4E7E3}"/>
    <cellStyle name="Normal 18 6" xfId="14" xr:uid="{7C370E9F-A060-4D6E-A1AA-83D5413DAA36}"/>
    <cellStyle name="Normal 19" xfId="110" xr:uid="{D443D8F3-3035-411E-AEB9-6392F845CDA8}"/>
    <cellStyle name="Normal 19 2" xfId="59" xr:uid="{47259A64-4C4B-4B79-900C-670703B8245A}"/>
    <cellStyle name="Normal 19 2 2" xfId="334" xr:uid="{8147AA68-AB3A-45EC-A727-B217357C4A0B}"/>
    <cellStyle name="Normal 19 2 3" xfId="556" xr:uid="{5617D597-D929-4265-9B05-C86277D9930C}"/>
    <cellStyle name="Normal 19 3" xfId="92" xr:uid="{E642C463-E96E-4C7C-829B-E4E3A6FD79BE}"/>
    <cellStyle name="Normal 19 4" xfId="98" xr:uid="{432133E2-9D5F-4370-AAFC-6B27618189BF}"/>
    <cellStyle name="Normal 19 5" xfId="557" xr:uid="{24330F56-BB3A-4569-8A39-2F8CA3C5281F}"/>
    <cellStyle name="Normal 19 6" xfId="127" xr:uid="{49EDF8D0-1124-4047-8EAE-0ADA94DA93CE}"/>
    <cellStyle name="Normal 2" xfId="1" xr:uid="{9EF07030-D524-4A3A-93A1-383054BB551A}"/>
    <cellStyle name="Normal 2 2" xfId="2" xr:uid="{A50D0F76-7090-4A81-AA7C-4F2A45E966F3}"/>
    <cellStyle name="Normal 2 2 2" xfId="5" xr:uid="{AF0405D3-D0FE-4770-8070-818AB9824372}"/>
    <cellStyle name="Normal 2 2 2 2" xfId="453" xr:uid="{4DC1F059-9573-4BEA-A2AE-7DA426AEE37B}"/>
    <cellStyle name="Normal 2 2 2 3" xfId="395" xr:uid="{539C05A1-DBF9-4550-93B9-7556634C2B71}"/>
    <cellStyle name="Normal 2 2 3" xfId="463" xr:uid="{6377AA0F-15DF-4053-8F43-99D464013121}"/>
    <cellStyle name="Normal 2 2 4" xfId="468" xr:uid="{FD845667-652C-4A2E-A16A-E47257405BD4}"/>
    <cellStyle name="Normal 2 2 5" xfId="470" xr:uid="{74FCBE27-ED65-413D-BA71-A4A8F4E11A24}"/>
    <cellStyle name="Normal 2 2 6" xfId="8" xr:uid="{4EF0A08C-E7D4-4FA5-864D-6E59E703E938}"/>
    <cellStyle name="Normal 2 2 7" xfId="11" xr:uid="{9567DDF7-F6AF-4907-BE13-D80B347236BF}"/>
    <cellStyle name="Normal 2 3" xfId="236" xr:uid="{9B503429-3070-4958-8D6E-89F0C43743F7}"/>
    <cellStyle name="Normal 2 3 2" xfId="476" xr:uid="{12C9F9E7-B649-4BCC-9232-9F3D7D73AE68}"/>
    <cellStyle name="Normal 2 3 2 2" xfId="68" xr:uid="{AC316E28-44AA-4C09-907A-ABB5BDB85D36}"/>
    <cellStyle name="Normal 2 3 2 3" xfId="112" xr:uid="{AF2AB38D-4180-4212-8EEF-4C34D06AB9E9}"/>
    <cellStyle name="Normal 2 3 3" xfId="559" xr:uid="{8A16D842-C062-4F4E-A084-75E036C9554B}"/>
    <cellStyle name="Normal 2 3 4" xfId="560" xr:uid="{6FDFC4F7-ACDF-474C-B00D-AB04D702066C}"/>
    <cellStyle name="Normal 2 4" xfId="239" xr:uid="{B989C850-057E-4533-89A8-592E6584D349}"/>
    <cellStyle name="Normal 2 4 2" xfId="490" xr:uid="{D1EF7641-A713-4256-9C53-154A067D320B}"/>
    <cellStyle name="Normal 2 4 2 2" xfId="493" xr:uid="{82C61A9E-E1F8-464E-95EC-16186D1C7CEB}"/>
    <cellStyle name="Normal 2 4 2 2 2" xfId="205" xr:uid="{558B1D6D-C0D5-4E15-A56B-4DD71C8C0964}"/>
    <cellStyle name="Normal 2 4 2 2 3" xfId="208" xr:uid="{23D47DAD-1968-428B-A87D-E8D96E90890D}"/>
    <cellStyle name="Normal 2 4 2 3" xfId="495" xr:uid="{87E0EA88-89D5-417F-9C97-C374D12F95AF}"/>
    <cellStyle name="Normal 2 4 2 4" xfId="121" xr:uid="{7DE8350B-2391-4C37-9BEF-92B8B7E4CEAF}"/>
    <cellStyle name="Normal 2 4 2 5" xfId="102" xr:uid="{066C70B0-8DC1-46FF-9B68-58AF6127D032}"/>
    <cellStyle name="Normal 2 4 2 6" xfId="550" xr:uid="{4B44E780-346D-4CA5-8917-B3DC854B31B1}"/>
    <cellStyle name="Normal 2 4 3" xfId="74" xr:uid="{92A0853B-A464-42D9-851F-574CEC85ADB4}"/>
    <cellStyle name="Normal 2 4 3 2" xfId="561" xr:uid="{3B30D9D5-C0BE-4CD4-ACAA-C3D68ADB8F69}"/>
    <cellStyle name="Normal 2 4 3 3" xfId="562" xr:uid="{F0762898-EB68-421E-A2CE-57E62205E43E}"/>
    <cellStyle name="Normal 2 4 4" xfId="62" xr:uid="{D9876FD5-746C-4507-9E33-926A23682B6B}"/>
    <cellStyle name="Normal 2 4 4 2" xfId="348" xr:uid="{A180FD13-49D2-4B7F-B004-3576EB6E6C01}"/>
    <cellStyle name="Normal 2 4 4 3" xfId="350" xr:uid="{E57FC3B7-9A84-49F1-A724-80D504E1211B}"/>
    <cellStyle name="Normal 2 4 5" xfId="83" xr:uid="{0FF581EB-6156-499C-8C57-10A5043D3CC9}"/>
    <cellStyle name="Normal 2 4 6" xfId="88" xr:uid="{68C97F92-46D4-49F5-A1C8-042303508C87}"/>
    <cellStyle name="Normal 2 4 7" xfId="91" xr:uid="{EE86303F-1C68-4C17-9BB7-752233FCEDBF}"/>
    <cellStyle name="Normal 2 4 8" xfId="95" xr:uid="{D5DA8ED5-F1AC-40E1-8261-A197D5B45B1C}"/>
    <cellStyle name="Normal 2 5" xfId="564" xr:uid="{67E2F7DF-F4E2-4125-A7F5-73DCA07FA44F}"/>
    <cellStyle name="Normal 2 6" xfId="566" xr:uid="{96E69E2F-7E40-4AB4-B336-C2813316246C}"/>
    <cellStyle name="Normal 2 7" xfId="558" xr:uid="{982D57E0-E180-4EA0-894F-305D26437F92}"/>
    <cellStyle name="Normal 2 8" xfId="1835" xr:uid="{135DE5F6-2110-4E4E-AB3C-CD23597B33B7}"/>
    <cellStyle name="Normal 2 9" xfId="10" xr:uid="{223FE815-3790-4E4A-8CD5-4345CFE6D311}"/>
    <cellStyle name="Normal 20" xfId="507" xr:uid="{80831B85-0E45-4256-BC41-7D5C5E353D46}"/>
    <cellStyle name="Normal 20 2" xfId="509" xr:uid="{C73D0D77-F046-4F8D-B8EA-A032401D33DF}"/>
    <cellStyle name="Normal 20 2 2" xfId="402" xr:uid="{B76E0359-C911-4DE8-9671-794D76AABEF6}"/>
    <cellStyle name="Normal 20 2 3" xfId="286" xr:uid="{C10BCE1B-B955-4813-A753-628861C0C0C7}"/>
    <cellStyle name="Normal 20 3" xfId="511" xr:uid="{A4F779FA-D432-425C-8E9D-40696EF18264}"/>
    <cellStyle name="Normal 20 4" xfId="567" xr:uid="{A69582EB-2CC2-49D1-88E6-AC36E4BC66F2}"/>
    <cellStyle name="Normal 20 5" xfId="568" xr:uid="{FB0B6209-AD35-4A01-9BDC-D28A6FD4C259}"/>
    <cellStyle name="Normal 20 6" xfId="569" xr:uid="{C02F0072-2030-468A-B2CD-FD19DA4141F2}"/>
    <cellStyle name="Normal 21" xfId="295" xr:uid="{6AC2006C-EA92-4486-8502-F41CA6552C6C}"/>
    <cellStyle name="Normal 21 2" xfId="513" xr:uid="{E00D02DD-2189-4801-9BED-04DE5DC58942}"/>
    <cellStyle name="Normal 21 2 2" xfId="459" xr:uid="{E0C9A0C9-BFBA-4B0C-902B-8F8F1750CABD}"/>
    <cellStyle name="Normal 21 3" xfId="518" xr:uid="{C70C6900-140A-41B3-A1A2-5CE8EC69806E}"/>
    <cellStyle name="Normal 21 4" xfId="522" xr:uid="{75C18D03-F2AB-4724-B120-A3328F8E8876}"/>
    <cellStyle name="Normal 22" xfId="7" xr:uid="{B1DDAA7F-5ADD-4019-86B9-FF8377548CB0}"/>
    <cellStyle name="Normal 22 2" xfId="1836" xr:uid="{A48C7F87-73F9-4211-A341-59635A751EAA}"/>
    <cellStyle name="Normal 3" xfId="4" xr:uid="{545AF33D-1C9D-4D69-82A7-31A50175D9A3}"/>
    <cellStyle name="Normal 3 2" xfId="572" xr:uid="{FA7A76A9-1A21-4956-9945-085CDFA2E752}"/>
    <cellStyle name="Normal 3 3" xfId="574" xr:uid="{E631F1D3-60E9-4B78-BF87-BAA89EE8702E}"/>
    <cellStyle name="Normal 3 4" xfId="570" xr:uid="{E89DE2FF-84D7-4982-B7FA-A5A4B8755A09}"/>
    <cellStyle name="Normal 4" xfId="576" xr:uid="{6DECD1D6-32CA-4039-A96F-26955EE183BC}"/>
    <cellStyle name="Normal 4 2" xfId="579" xr:uid="{4620D44D-06BB-4362-AD58-5A0DDA326DFD}"/>
    <cellStyle name="Normal 4 3" xfId="582" xr:uid="{CACAA3E8-4883-4851-B81D-6F8DCD774DCE}"/>
    <cellStyle name="Normal 5" xfId="583" xr:uid="{51921C26-692F-44EF-8B81-A4016B9D62AB}"/>
    <cellStyle name="Normal 5 10" xfId="398" xr:uid="{D7ED17D0-B492-423F-B522-6AD895368404}"/>
    <cellStyle name="Normal 5 2" xfId="584" xr:uid="{71E0D6E8-3A7E-4499-A46E-1D5B08353CFE}"/>
    <cellStyle name="Normal 5 2 2" xfId="585" xr:uid="{8998B66E-AFC4-4E01-90E5-5AE19FD0382F}"/>
    <cellStyle name="Normal 5 2 2 2" xfId="203" xr:uid="{8AE081FB-06F2-405A-917B-B6C0F1AB8129}"/>
    <cellStyle name="Normal 5 2 2 2 2" xfId="587" xr:uid="{A8A76862-E8FB-400A-B6DC-4CEB408EB176}"/>
    <cellStyle name="Normal 5 2 2 2 3" xfId="589" xr:uid="{B2332A58-CB71-406C-8A60-FFE107FBFA33}"/>
    <cellStyle name="Normal 5 2 2 3" xfId="206" xr:uid="{0A594C5D-8679-499B-BE92-1493DE64FD58}"/>
    <cellStyle name="Normal 5 2 2 4" xfId="209" xr:uid="{50E360AE-2DAC-4DC6-B1DE-5444F84F094E}"/>
    <cellStyle name="Normal 5 2 2 5" xfId="594" xr:uid="{7CE64610-E80A-41F0-800A-966D04A1286F}"/>
    <cellStyle name="Normal 5 2 2 6" xfId="339" xr:uid="{C7784B54-8CF9-4664-B14A-ED1ABA446C05}"/>
    <cellStyle name="Normal 5 2 3" xfId="225" xr:uid="{F44BDB64-E4F5-4F74-ACF4-8055221106C7}"/>
    <cellStyle name="Normal 5 2 3 2" xfId="228" xr:uid="{75C9A7DA-C02F-495B-AA8D-27E1ED6932EB}"/>
    <cellStyle name="Normal 5 2 3 2 2" xfId="592" xr:uid="{887B177B-FD02-4408-90AA-CD1C97D071AA}"/>
    <cellStyle name="Normal 5 2 3 2 3" xfId="340" xr:uid="{7064C37D-997D-44D4-890C-8855ECA0F049}"/>
    <cellStyle name="Normal 5 2 3 3" xfId="231" xr:uid="{FB0AD322-E565-4335-AE24-FF661CCC909B}"/>
    <cellStyle name="Normal 5 2 3 4" xfId="254" xr:uid="{EBB1A5E4-8886-4B72-8DF1-850644261EF6}"/>
    <cellStyle name="Normal 5 2 3 5" xfId="596" xr:uid="{9E7C7EDA-DB9C-456C-83AE-1FCD3951FEF5}"/>
    <cellStyle name="Normal 5 2 3 6" xfId="380" xr:uid="{3EC3F6CB-F6AB-4635-9DF0-31A5C6ECD262}"/>
    <cellStyle name="Normal 5 2 4" xfId="233" xr:uid="{2D849DDC-0C3D-4E66-B2AD-1E6F537082EF}"/>
    <cellStyle name="Normal 5 2 4 2" xfId="391" xr:uid="{0E18132D-73E9-41C9-B4B0-E56E77199645}"/>
    <cellStyle name="Normal 5 2 4 3" xfId="405" xr:uid="{F7E35D42-C5B2-4BA5-B55C-6F4E7E8DBDEB}"/>
    <cellStyle name="Normal 5 2 5" xfId="235" xr:uid="{E8D55650-E373-4483-A924-AF570A2824A8}"/>
    <cellStyle name="Normal 5 2 5 2" xfId="450" xr:uid="{1ACC4890-998A-46BF-BAF9-E37B289FA9E4}"/>
    <cellStyle name="Normal 5 2 5 3" xfId="464" xr:uid="{DF4C8017-F20E-49D4-A371-E824A686DA72}"/>
    <cellStyle name="Normal 5 2 6" xfId="238" xr:uid="{1B209697-4800-46A9-8CA2-E39A8E0886E3}"/>
    <cellStyle name="Normal 5 2 7" xfId="241" xr:uid="{09C4069F-8C90-45F3-A585-FB79BC07DE00}"/>
    <cellStyle name="Normal 5 2 8" xfId="563" xr:uid="{0F8C0CF3-974A-4EC1-8DB9-AB6DBCAF0C47}"/>
    <cellStyle name="Normal 5 2 9" xfId="565" xr:uid="{7D5CB292-A00B-4696-8F01-E9A6316D709A}"/>
    <cellStyle name="Normal 5 3" xfId="597" xr:uid="{73506C78-F4C0-4F05-8B41-526CE5FEC4F0}"/>
    <cellStyle name="Normal 5 3 2" xfId="598" xr:uid="{2DAEFB11-C640-458D-AFAA-793F0F04799A}"/>
    <cellStyle name="Normal 5 3 2 2" xfId="600" xr:uid="{32B3E11C-4FFF-4B23-B59A-5669EA239B18}"/>
    <cellStyle name="Normal 5 3 2 3" xfId="601" xr:uid="{1D7B2DA8-DC80-44BB-92D8-486854F76600}"/>
    <cellStyle name="Normal 5 3 3" xfId="244" xr:uid="{513AC741-9839-4561-90C5-793B5C57588E}"/>
    <cellStyle name="Normal 5 3 4" xfId="246" xr:uid="{5131E4F2-4016-4C5F-960D-A1A4C9EE82BD}"/>
    <cellStyle name="Normal 5 3 5" xfId="571" xr:uid="{AC3CF87D-0542-4BE8-99B9-46738D28DCB4}"/>
    <cellStyle name="Normal 5 3 6" xfId="573" xr:uid="{F88FE261-6F89-47E4-A6ED-C3F7F7E6711D}"/>
    <cellStyle name="Normal 5 4" xfId="602" xr:uid="{BEA993B8-862F-4907-9594-7115D3E73D8F}"/>
    <cellStyle name="Normal 5 4 2" xfId="603" xr:uid="{200D4EB5-0233-4178-9C2F-4BCA0EEF9C46}"/>
    <cellStyle name="Normal 5 4 2 2" xfId="544" xr:uid="{DED386B5-1046-49F9-8F43-3C015805775D}"/>
    <cellStyle name="Normal 5 4 2 3" xfId="546" xr:uid="{D91D1D8A-41AD-4718-BCBE-84FF4AF60976}"/>
    <cellStyle name="Normal 5 4 3" xfId="249" xr:uid="{CC02CB26-B588-44F0-B0BE-5CDBAE92E915}"/>
    <cellStyle name="Normal 5 4 4" xfId="251" xr:uid="{7E75ACAA-7997-418B-9838-8232CEC842F9}"/>
    <cellStyle name="Normal 5 4 5" xfId="577" xr:uid="{228F0B7B-C4A4-4253-AC01-06EE104D36B9}"/>
    <cellStyle name="Normal 5 4 6" xfId="580" xr:uid="{7D7D8102-17C2-467D-BF04-12CAE8FDB0EC}"/>
    <cellStyle name="Normal 5 5" xfId="72" xr:uid="{D324BF4E-9D44-4A32-A995-C473F7967684}"/>
    <cellStyle name="Normal 5 5 2" xfId="97" xr:uid="{3160B889-5FDC-4C15-9EE9-891CB634A589}"/>
    <cellStyle name="Normal 5 5 3" xfId="604" xr:uid="{89A31A87-2A94-4783-B959-AB45CEDBE085}"/>
    <cellStyle name="Normal 5 6" xfId="456" xr:uid="{28DEBAF5-BEEE-42C0-A5E0-6996A3D919C7}"/>
    <cellStyle name="Normal 5 6 2" xfId="211" xr:uid="{B2EFA260-ABF6-460F-A243-18063162A3A6}"/>
    <cellStyle name="Normal 5 6 3" xfId="590" xr:uid="{42FF72E6-2DE3-4DAB-89C2-ABD4FF8157DC}"/>
    <cellStyle name="Normal 5 7" xfId="606" xr:uid="{E2EC4579-CEF8-4347-B1D7-AC68284C382A}"/>
    <cellStyle name="Normal 5 8" xfId="608" xr:uid="{25979E6C-5BCC-4453-8B39-AD5E0834FC35}"/>
    <cellStyle name="Normal 5 9" xfId="610" xr:uid="{91E747F3-C210-400A-A2C3-DB2B31706374}"/>
    <cellStyle name="Normal 6" xfId="612" xr:uid="{1B825019-B33F-470E-AF0E-882B9AC5A9B9}"/>
    <cellStyle name="Normal 6 10" xfId="613" xr:uid="{56DCD70B-6FAC-4D70-AB52-C970C5985338}"/>
    <cellStyle name="Normal 6 11" xfId="615" xr:uid="{A9A6443F-9E26-4469-AD16-605A61E6D447}"/>
    <cellStyle name="Normal 6 2" xfId="352" xr:uid="{E53B2C30-BDCB-430E-A2B0-000DEBDDB746}"/>
    <cellStyle name="Normal 6 2 2" xfId="355" xr:uid="{0BDBB3B3-0777-45AB-BE03-AEA50D43A737}"/>
    <cellStyle name="Normal 6 2 2 2" xfId="358" xr:uid="{D9F08501-6A3C-4D71-927E-F13BF1197FFB}"/>
    <cellStyle name="Normal 6 2 2 2 2" xfId="540" xr:uid="{94A55B99-B07F-4929-88D7-83E7B0B84547}"/>
    <cellStyle name="Normal 6 2 2 2 3" xfId="60" xr:uid="{A1BC9A42-5AEB-4930-8A6D-3D464EC5C5EE}"/>
    <cellStyle name="Normal 6 2 2 3" xfId="360" xr:uid="{0A4A15A4-9819-443D-A1A3-82FAF44B4DF6}"/>
    <cellStyle name="Normal 6 2 2 4" xfId="617" xr:uid="{B4F43761-4939-482B-B6A5-D85200442949}"/>
    <cellStyle name="Normal 6 2 2 5" xfId="618" xr:uid="{0904279F-6F2B-422E-8451-9BBC1EEA31AE}"/>
    <cellStyle name="Normal 6 2 2 6" xfId="619" xr:uid="{B3435374-BB6D-4CD7-A30C-73282E90E343}"/>
    <cellStyle name="Normal 6 2 3" xfId="620" xr:uid="{E6B9C79A-B9C6-4EA6-A6D8-42BE5713AA86}"/>
    <cellStyle name="Normal 6 2 3 2" xfId="621" xr:uid="{13D88CD4-F230-4D99-BB60-09CA2F683D4B}"/>
    <cellStyle name="Normal 6 2 3 2 2" xfId="622" xr:uid="{9DAA55BF-6548-440B-9F06-9EAF1E7399BE}"/>
    <cellStyle name="Normal 6 2 3 2 3" xfId="623" xr:uid="{2D28433E-F41F-4226-83FA-F92F3F4C8948}"/>
    <cellStyle name="Normal 6 2 3 3" xfId="624" xr:uid="{6B573436-047D-4AE4-9D4B-2F9B9D68FC30}"/>
    <cellStyle name="Normal 6 2 3 4" xfId="625" xr:uid="{E87EB5EE-40CE-4E26-AB17-8CD36BEFAF9D}"/>
    <cellStyle name="Normal 6 2 3 5" xfId="626" xr:uid="{9DF9BC91-8C8C-4835-9CAB-FEDB5BDBCA1F}"/>
    <cellStyle name="Normal 6 2 3 6" xfId="627" xr:uid="{F56D99E1-5D50-4138-975C-334662C78699}"/>
    <cellStyle name="Normal 6 2 4" xfId="628" xr:uid="{C45495AE-D729-44F4-AB1A-59C5A11D9CC1}"/>
    <cellStyle name="Normal 6 2 4 2" xfId="629" xr:uid="{5B498058-D1B6-43CC-ACF9-CE105CB10F3F}"/>
    <cellStyle name="Normal 6 2 4 3" xfId="630" xr:uid="{7CE90E4C-A0ED-4E96-B691-5FA3BEFAE414}"/>
    <cellStyle name="Normal 6 2 5" xfId="631" xr:uid="{EA74AED2-1EE8-46B7-89B4-F1EF698CAB4E}"/>
    <cellStyle name="Normal 6 2 5 2" xfId="293" xr:uid="{05C459CA-C848-4FD2-BF55-25BD603C2898}"/>
    <cellStyle name="Normal 6 2 5 3" xfId="530" xr:uid="{9A61EBA0-F70E-440B-9B81-16E6F2AEC0CE}"/>
    <cellStyle name="Normal 6 2 6" xfId="632" xr:uid="{5F60233E-C34E-4F31-8E40-A88BDE79DE92}"/>
    <cellStyle name="Normal 6 2 7" xfId="633" xr:uid="{A5FA0D95-3019-499E-A5DB-29C781BD1D0E}"/>
    <cellStyle name="Normal 6 2 8" xfId="634" xr:uid="{110994E3-72C8-410D-8A32-3E6DF80577CD}"/>
    <cellStyle name="Normal 6 2 9" xfId="635" xr:uid="{BC33182E-30FA-42E4-A0B8-D00B3D990964}"/>
    <cellStyle name="Normal 6 3" xfId="636" xr:uid="{2360A045-F3A1-4AE3-992B-E25ED4591F72}"/>
    <cellStyle name="Normal 6 3 10" xfId="638" xr:uid="{C27CD38D-06EB-43CB-ADA7-0222B99ABB66}"/>
    <cellStyle name="Normal 6 3 2" xfId="639" xr:uid="{33FC4EB8-1C9F-46E1-9465-D961E5F063FB}"/>
    <cellStyle name="Normal 6 3 2 2" xfId="200" xr:uid="{D3CDF5DD-109A-4563-8A70-70E8989C7839}"/>
    <cellStyle name="Normal 6 3 2 2 2" xfId="640" xr:uid="{598D1877-198F-42B4-A245-9B4933C35F17}"/>
    <cellStyle name="Normal 6 3 2 2 3" xfId="491" xr:uid="{1C1AB6AB-642B-4102-8DCF-AACAB76BDC9D}"/>
    <cellStyle name="Normal 6 3 2 3" xfId="641" xr:uid="{945E4FE1-B780-4FF0-80F3-49C9F73564C6}"/>
    <cellStyle name="Normal 6 3 2 4" xfId="642" xr:uid="{E78CAF21-D2A2-4CB0-945C-F8F856E53A2D}"/>
    <cellStyle name="Normal 6 3 2 5" xfId="643" xr:uid="{B3E37D59-9408-4003-AE0E-464C8E29B3B3}"/>
    <cellStyle name="Normal 6 3 2 6" xfId="644" xr:uid="{E3A71DF3-5B69-452F-B3B1-C50D68F5D405}"/>
    <cellStyle name="Normal 6 3 3" xfId="645" xr:uid="{D4C87276-79FA-4FDE-89FE-E5697D352472}"/>
    <cellStyle name="Normal 6 3 3 2" xfId="646" xr:uid="{B361276F-6044-4705-B9D9-83A11D840E8D}"/>
    <cellStyle name="Normal 6 3 3 2 2" xfId="647" xr:uid="{CB306AFB-4B40-4C64-9226-03FA2C2E0338}"/>
    <cellStyle name="Normal 6 3 3 2 2 2" xfId="648" xr:uid="{21B84734-9A30-4D08-8A84-6015441DAECC}"/>
    <cellStyle name="Normal 6 3 3 2 2 3" xfId="649" xr:uid="{36CD741A-D6A4-45CC-B0EA-A1B23A7D4B3E}"/>
    <cellStyle name="Normal 6 3 3 2 3" xfId="650" xr:uid="{4DCB90E3-82D3-4834-BDB9-21D4928B9C75}"/>
    <cellStyle name="Normal 6 3 3 2 4" xfId="651" xr:uid="{2E158A21-C6E4-40FE-A214-002F6EFBFC79}"/>
    <cellStyle name="Normal 6 3 3 2 5" xfId="652" xr:uid="{8F426507-5D4D-48C6-8E53-0A2D15D8142C}"/>
    <cellStyle name="Normal 6 3 3 2 6" xfId="653" xr:uid="{B49C88C7-FFAD-4D79-95C6-D2B29B79047B}"/>
    <cellStyle name="Normal 6 3 3 3" xfId="654" xr:uid="{80AA96D0-BDBC-432E-8441-AD1920B9E166}"/>
    <cellStyle name="Normal 6 3 3 3 2" xfId="655" xr:uid="{1E2707B2-70A5-404E-B777-5087FFA6D227}"/>
    <cellStyle name="Normal 6 3 3 3 3" xfId="656" xr:uid="{12801D56-881E-4B8C-ABCD-CBF9D753796F}"/>
    <cellStyle name="Normal 6 3 3 4" xfId="657" xr:uid="{9832C362-2231-4D0A-BB80-863E8ED803CB}"/>
    <cellStyle name="Normal 6 3 3 4 2" xfId="658" xr:uid="{9B9BF3F7-C9AF-459F-A585-7F090029654F}"/>
    <cellStyle name="Normal 6 3 3 4 3" xfId="659" xr:uid="{9FC4A364-A07F-481F-BF60-1BE732D5C548}"/>
    <cellStyle name="Normal 6 3 3 5" xfId="661" xr:uid="{5B70B112-1761-4280-8AE8-C965DBFE25F4}"/>
    <cellStyle name="Normal 6 3 3 6" xfId="662" xr:uid="{D951F70C-1DFD-4599-8AAB-A10C699E488E}"/>
    <cellStyle name="Normal 6 3 3 7" xfId="663" xr:uid="{2B661C13-1DCE-4F1F-BB2C-09984C295430}"/>
    <cellStyle name="Normal 6 3 3 8" xfId="664" xr:uid="{962A4A22-1D2B-4861-AC7B-9EABBF6AC5F8}"/>
    <cellStyle name="Normal 6 3 4" xfId="665" xr:uid="{FB2D27A1-EAFF-4564-8795-62276196CA08}"/>
    <cellStyle name="Normal 6 3 4 2" xfId="666" xr:uid="{CAA75592-79F2-4713-B5FA-04D28F500167}"/>
    <cellStyle name="Normal 6 3 4 2 2" xfId="667" xr:uid="{CCEA91B4-2457-4C77-AB41-CD9B2B3705F3}"/>
    <cellStyle name="Normal 6 3 4 2 3" xfId="668" xr:uid="{73AEE7CC-2B70-4E9D-A5C6-B0D4840DAEE8}"/>
    <cellStyle name="Normal 6 3 4 3" xfId="669" xr:uid="{F15F06A0-DB61-4236-83B2-D4D1D456D333}"/>
    <cellStyle name="Normal 6 3 4 4" xfId="670" xr:uid="{CA954EA0-926D-4A85-AE2D-D357D4A0F162}"/>
    <cellStyle name="Normal 6 3 4 5" xfId="671" xr:uid="{3B43DBAD-CBD7-4C40-9CC9-A92F33D044F2}"/>
    <cellStyle name="Normal 6 3 4 6" xfId="672" xr:uid="{E960CDC5-E70A-4860-9A6C-82120F0C614F}"/>
    <cellStyle name="Normal 6 3 5" xfId="673" xr:uid="{625F4046-CCC5-4910-8176-1A86C2A115B0}"/>
    <cellStyle name="Normal 6 3 5 2" xfId="674" xr:uid="{220B723A-8460-4C3B-BFEF-E2F2FBEAB7C8}"/>
    <cellStyle name="Normal 6 3 5 3" xfId="675" xr:uid="{457054D5-F4AB-4F48-82BB-9DCEB69E74BB}"/>
    <cellStyle name="Normal 6 3 6" xfId="676" xr:uid="{0E23E6FE-1240-4DD7-BA05-02B2E18D0A0E}"/>
    <cellStyle name="Normal 6 3 6 2" xfId="677" xr:uid="{1E168393-854C-455E-81CA-D66E59CEB159}"/>
    <cellStyle name="Normal 6 3 6 3" xfId="678" xr:uid="{7401F5D0-3AA3-489D-BBCF-D56F4158CF89}"/>
    <cellStyle name="Normal 6 3 7" xfId="679" xr:uid="{1EB865A1-F30B-4092-AC7D-B2BB72DFF19F}"/>
    <cellStyle name="Normal 6 3 8" xfId="680" xr:uid="{CCA36A6D-F22D-4647-9759-A156239139D2}"/>
    <cellStyle name="Normal 6 3 9" xfId="681" xr:uid="{0EAB28D9-988F-40DB-9E8B-B9D5ED38BD78}"/>
    <cellStyle name="Normal 6 4" xfId="682" xr:uid="{329134AA-71B1-481E-ACE7-BFF67E61060D}"/>
    <cellStyle name="Normal 6 4 2" xfId="684" xr:uid="{EB79F276-831F-41BC-9F99-1BA5F27C9987}"/>
    <cellStyle name="Normal 6 4 2 2" xfId="685" xr:uid="{3A137B36-0205-483B-B3A7-12B325C1BFC3}"/>
    <cellStyle name="Normal 6 4 2 3" xfId="686" xr:uid="{C21B6B48-F866-4F1C-8F7C-684AF18C9712}"/>
    <cellStyle name="Normal 6 4 3" xfId="687" xr:uid="{FB6FD6F8-DA77-47ED-BE82-4CE84F3356D2}"/>
    <cellStyle name="Normal 6 4 4" xfId="688" xr:uid="{D014D7B6-EF52-4B63-B961-26F99A562C14}"/>
    <cellStyle name="Normal 6 4 5" xfId="689" xr:uid="{ED5D07F2-1F17-4740-8EE6-8FC1CA4BE495}"/>
    <cellStyle name="Normal 6 4 6" xfId="690" xr:uid="{26FFBD69-AF35-4803-B641-F062120B2405}"/>
    <cellStyle name="Normal 6 5" xfId="691" xr:uid="{88AB8AB1-8430-419F-9D72-6C9CA0ADD371}"/>
    <cellStyle name="Normal 6 5 2" xfId="692" xr:uid="{EFA8CBFF-EEFC-430A-84D1-810F7FF95611}"/>
    <cellStyle name="Normal 6 5 2 2" xfId="693" xr:uid="{7E1D3464-44EF-4C0A-B124-9738C64B3612}"/>
    <cellStyle name="Normal 6 5 2 3" xfId="695" xr:uid="{8CE8E5A2-10A5-4D27-962B-9401315C9D87}"/>
    <cellStyle name="Normal 6 5 3" xfId="697" xr:uid="{E9CA7835-E91A-430D-87EC-F7CC506E405B}"/>
    <cellStyle name="Normal 6 5 4" xfId="694" xr:uid="{A2446AA5-F934-45E6-A83D-C333439871E2}"/>
    <cellStyle name="Normal 6 5 5" xfId="696" xr:uid="{F041C174-579C-4CC6-B4BA-CB8C445CCFFB}"/>
    <cellStyle name="Normal 6 5 6" xfId="698" xr:uid="{A810B1FE-F2D8-4C05-9734-E45BF67C5177}"/>
    <cellStyle name="Normal 6 6" xfId="699" xr:uid="{B26D724E-2C12-44E9-8CCC-BDE2EDEE3FD3}"/>
    <cellStyle name="Normal 6 6 2" xfId="701" xr:uid="{E7675DC5-D214-4874-ADD6-998F8BD58478}"/>
    <cellStyle name="Normal 6 6 3" xfId="702" xr:uid="{6D8308CD-2F0A-49DB-91F9-B7970F76923A}"/>
    <cellStyle name="Normal 6 7" xfId="703" xr:uid="{F321FDE4-1085-43D5-A3E6-7FAC16EED9CA}"/>
    <cellStyle name="Normal 6 7 2" xfId="705" xr:uid="{D79415AE-2FFF-485F-8702-BF6C71013CE6}"/>
    <cellStyle name="Normal 6 7 3" xfId="706" xr:uid="{6C0B07B1-A9C8-4E4F-A079-4EECBE7847A3}"/>
    <cellStyle name="Normal 6 8" xfId="707" xr:uid="{BBF4306C-0CD0-479A-8BA9-84C2E16BA2D2}"/>
    <cellStyle name="Normal 6 9" xfId="708" xr:uid="{5C8E88D8-5067-484D-AAAD-F00AE55BDF90}"/>
    <cellStyle name="Normal 7" xfId="709" xr:uid="{E900BCE4-DE99-4F9C-9194-FF5695D3E344}"/>
    <cellStyle name="Normal 7 10" xfId="710" xr:uid="{AD94558D-D2C5-4FD3-B29E-DB8B4DC1E49C}"/>
    <cellStyle name="Normal 7 10 2" xfId="713" xr:uid="{57F36B5E-857D-4E2A-B56D-CE7D1D1A4B44}"/>
    <cellStyle name="Normal 7 10 2 2" xfId="716" xr:uid="{C87D0B3A-D723-4142-86E4-5DA4D1D5598D}"/>
    <cellStyle name="Normal 7 10 2 2 2" xfId="717" xr:uid="{7C8F6326-A226-4879-9E91-8D091E76991B}"/>
    <cellStyle name="Normal 7 10 2 2 3" xfId="718" xr:uid="{2F667784-8919-4DEC-B4EE-33828DCB2636}"/>
    <cellStyle name="Normal 7 10 2 3" xfId="719" xr:uid="{197D238C-A5A9-4E65-9150-3B81EA792FC3}"/>
    <cellStyle name="Normal 7 10 2 4" xfId="721" xr:uid="{6459D609-62B4-4B7F-8ED8-0595C2BB5B77}"/>
    <cellStyle name="Normal 7 10 2 5" xfId="723" xr:uid="{1FA7A6A4-402B-46B4-89F2-BE0431E42B6C}"/>
    <cellStyle name="Normal 7 10 2 6" xfId="725" xr:uid="{2EB79ED5-343C-42B4-8A84-FF36D65CAEE4}"/>
    <cellStyle name="Normal 7 10 3" xfId="727" xr:uid="{CCD16203-E4DD-4FFA-B519-59CFBFB0C30C}"/>
    <cellStyle name="Normal 7 10 3 2" xfId="730" xr:uid="{92E1C2AD-93D6-4823-A307-C4E5F6FAE833}"/>
    <cellStyle name="Normal 7 10 3 3" xfId="731" xr:uid="{38CA9E2D-E58F-482C-B70C-9E8340F5525D}"/>
    <cellStyle name="Normal 7 10 4" xfId="733" xr:uid="{97171468-1CC6-446E-9046-71B172A04284}"/>
    <cellStyle name="Normal 7 10 4 2" xfId="734" xr:uid="{6D252540-5CFC-4720-B23A-3487AE610B4B}"/>
    <cellStyle name="Normal 7 10 4 3" xfId="736" xr:uid="{6F609160-0DE6-4833-9DBD-2BF3C801FEFB}"/>
    <cellStyle name="Normal 7 10 5" xfId="739" xr:uid="{0F71357E-8714-4DB5-89E4-6D24263FC362}"/>
    <cellStyle name="Normal 7 10 6" xfId="740" xr:uid="{9B651E20-7F6D-4F6D-88C2-3D9883619FF6}"/>
    <cellStyle name="Normal 7 10 7" xfId="741" xr:uid="{A65CBDA2-3994-40A1-9997-9708E9CD99B7}"/>
    <cellStyle name="Normal 7 10 8" xfId="742" xr:uid="{9C134107-DE82-4B7C-BDD0-201D54E1161D}"/>
    <cellStyle name="Normal 7 11" xfId="743" xr:uid="{C56D990A-42B8-4D7F-BBA1-EB20582348F4}"/>
    <cellStyle name="Normal 7 11 2" xfId="746" xr:uid="{2ECF8AE9-5CDD-4212-A48C-42D8C88C9A49}"/>
    <cellStyle name="Normal 7 11 2 2" xfId="749" xr:uid="{11FDF25D-A89A-421E-878A-9476CB4BCE8A}"/>
    <cellStyle name="Normal 7 11 2 2 2" xfId="750" xr:uid="{435B1158-F65E-4A20-BF54-3AFADB5ED6D0}"/>
    <cellStyle name="Normal 7 11 2 2 3" xfId="751" xr:uid="{40802F6E-BC91-4B7E-9AF6-46DF80511FB3}"/>
    <cellStyle name="Normal 7 11 2 3" xfId="752" xr:uid="{5DE944DF-E682-4C14-8389-48C6CBB2D3EA}"/>
    <cellStyle name="Normal 7 11 2 4" xfId="754" xr:uid="{B8AD9389-C025-4CD7-AECB-CCA2C857A034}"/>
    <cellStyle name="Normal 7 11 2 5" xfId="756" xr:uid="{0B9F69DB-9860-47BB-9A29-E13A44763DEF}"/>
    <cellStyle name="Normal 7 11 2 6" xfId="758" xr:uid="{590DF797-776E-4C14-93DA-78FDBD2CBD0D}"/>
    <cellStyle name="Normal 7 11 3" xfId="760" xr:uid="{A35892E9-1EF3-485B-AD74-BF4048E2EC31}"/>
    <cellStyle name="Normal 7 11 3 2" xfId="763" xr:uid="{50A8C3C8-657D-45BE-9064-1EADFEB51B06}"/>
    <cellStyle name="Normal 7 11 3 3" xfId="764" xr:uid="{D79D9810-B0DC-46C6-92A3-2B5653797837}"/>
    <cellStyle name="Normal 7 11 4" xfId="766" xr:uid="{F4B15E4A-755A-42FB-B49F-F155965BE144}"/>
    <cellStyle name="Normal 7 11 4 2" xfId="767" xr:uid="{B2F45B3D-3E62-4A6F-A4EF-AA06D992AB2D}"/>
    <cellStyle name="Normal 7 11 4 3" xfId="768" xr:uid="{DDF814C3-D0D9-4A26-BFCF-269B65EA9FBB}"/>
    <cellStyle name="Normal 7 11 5" xfId="770" xr:uid="{9384855B-2C27-4D0A-A748-3C28F6C789ED}"/>
    <cellStyle name="Normal 7 11 6" xfId="771" xr:uid="{5CD71C5F-7649-4F80-B8E9-E42D7F1D9B48}"/>
    <cellStyle name="Normal 7 11 7" xfId="772" xr:uid="{54DE909B-2B93-47D6-85F4-E254AB0520FC}"/>
    <cellStyle name="Normal 7 11 8" xfId="773" xr:uid="{61A21140-9E1E-4E2A-9AF5-8828526E99A7}"/>
    <cellStyle name="Normal 7 12" xfId="774" xr:uid="{0D86830D-C048-4EE0-A651-096778609E97}"/>
    <cellStyle name="Normal 7 12 2" xfId="775" xr:uid="{A522DADE-7D6E-4C9A-9130-D34E70548158}"/>
    <cellStyle name="Normal 7 12 2 2" xfId="776" xr:uid="{49AF69C8-E8C4-4A51-8BAA-B276ADB3C299}"/>
    <cellStyle name="Normal 7 12 2 3" xfId="777" xr:uid="{C6F84430-EDDF-45AF-ABCB-15EDA1E3279F}"/>
    <cellStyle name="Normal 7 12 3" xfId="779" xr:uid="{2D01A4ED-B4BA-4194-9E17-5C9FFB02917C}"/>
    <cellStyle name="Normal 7 12 4" xfId="780" xr:uid="{98053255-8F31-496C-B4F4-5C0B8C713E7E}"/>
    <cellStyle name="Normal 7 12 5" xfId="781" xr:uid="{8C9ABC1C-0564-4105-A5E2-BA56E90B3E82}"/>
    <cellStyle name="Normal 7 12 6" xfId="782" xr:uid="{126E316C-B24C-49F5-878C-7362989049B2}"/>
    <cellStyle name="Normal 7 13" xfId="783" xr:uid="{FC942F4F-C814-475A-805D-3E25775A1211}"/>
    <cellStyle name="Normal 7 13 2" xfId="784" xr:uid="{0BF456BD-F86C-4580-83C8-9E2E3B7A4622}"/>
    <cellStyle name="Normal 7 13 2 2" xfId="785" xr:uid="{D4DFD729-F15B-43DA-A9E1-AB648C9FF386}"/>
    <cellStyle name="Normal 7 13 2 3" xfId="786" xr:uid="{D3B19E7E-4228-4142-8EA4-0D3AACDACEB6}"/>
    <cellStyle name="Normal 7 13 3" xfId="788" xr:uid="{7D3B48FF-02B8-4502-B969-C9C5C0AFB5BA}"/>
    <cellStyle name="Normal 7 13 4" xfId="789" xr:uid="{3798F937-1CB0-4A13-B950-6B3A0C1B041E}"/>
    <cellStyle name="Normal 7 13 5" xfId="790" xr:uid="{EAD4069A-2CA0-491E-A8AA-9CC3A02D2685}"/>
    <cellStyle name="Normal 7 13 6" xfId="791" xr:uid="{3033E062-AA3E-44B1-84EA-59223C618A10}"/>
    <cellStyle name="Normal 7 14" xfId="793" xr:uid="{BD0528F3-C867-4CA2-A086-97BA5BD9A11F}"/>
    <cellStyle name="Normal 7 14 2" xfId="794" xr:uid="{6A297F00-E11B-4026-9520-9C0C4AB2CC74}"/>
    <cellStyle name="Normal 7 14 2 2" xfId="795" xr:uid="{69679BE5-454C-4248-ABF7-0EC2C6665C23}"/>
    <cellStyle name="Normal 7 14 2 3" xfId="796" xr:uid="{E1F15047-16E6-4EB0-90D4-D28ACA128576}"/>
    <cellStyle name="Normal 7 14 3" xfId="798" xr:uid="{B30FBA4C-4F74-4ABC-9DDB-DDAC86CD82B4}"/>
    <cellStyle name="Normal 7 14 4" xfId="799" xr:uid="{3C79EDF9-76CA-47BE-A3A6-204E49CD53CB}"/>
    <cellStyle name="Normal 7 14 5" xfId="800" xr:uid="{928D3C6D-0F2E-4E78-A31E-A4AF1DCFA380}"/>
    <cellStyle name="Normal 7 14 6" xfId="801" xr:uid="{E92E4C18-0FEF-43DC-88BC-C4503ED709FC}"/>
    <cellStyle name="Normal 7 15" xfId="803" xr:uid="{A435469A-19D7-4C7A-8844-1129E17C0F34}"/>
    <cellStyle name="Normal 7 15 2" xfId="806" xr:uid="{420A599B-3D33-4277-B3F1-2A3B54FDCDBB}"/>
    <cellStyle name="Normal 7 15 3" xfId="807" xr:uid="{B1137DB0-A59E-4739-A2B7-5061CA1A1031}"/>
    <cellStyle name="Normal 7 16" xfId="808" xr:uid="{04544CEC-122E-4C73-936F-606040C80851}"/>
    <cellStyle name="Normal 7 16 2" xfId="811" xr:uid="{148969C4-D511-4C69-8230-E9095A60CB0C}"/>
    <cellStyle name="Normal 7 16 3" xfId="812" xr:uid="{823D086B-516A-45BA-8F9F-AD8AF9FA9E48}"/>
    <cellStyle name="Normal 7 17" xfId="813" xr:uid="{25B8860D-FA9E-469B-9824-674C72AF6970}"/>
    <cellStyle name="Normal 7 17 2" xfId="814" xr:uid="{EAD08BC9-B453-4480-AC28-79C1871C6355}"/>
    <cellStyle name="Normal 7 17 3" xfId="815" xr:uid="{2DADA948-E4F9-48A8-ADCA-F3707AC4B36E}"/>
    <cellStyle name="Normal 7 18" xfId="816" xr:uid="{9E459334-093A-42A1-8042-311CFE4743DE}"/>
    <cellStyle name="Normal 7 19" xfId="817" xr:uid="{813C48F1-DE9D-46CC-B124-FB3197A5932B}"/>
    <cellStyle name="Normal 7 2" xfId="818" xr:uid="{571699EE-631F-4FAA-BF58-E1CB6D37D3CA}"/>
    <cellStyle name="Normal 7 2 2" xfId="80" xr:uid="{EDD35E3B-110F-4FDE-8056-32FAA2D416E1}"/>
    <cellStyle name="Normal 7 2 2 2" xfId="288" xr:uid="{B06360FE-FB96-4FB6-8334-8A15C4C6ABEC}"/>
    <cellStyle name="Normal 7 2 2 2 2" xfId="291" xr:uid="{D69AC6E2-DEFE-4DEA-9B07-DB39242BEF7C}"/>
    <cellStyle name="Normal 7 2 2 2 3" xfId="819" xr:uid="{D95E4404-AC84-4D7E-8637-9E38AC47C2A0}"/>
    <cellStyle name="Normal 7 2 2 3" xfId="296" xr:uid="{B9FB78A5-9A39-443C-A0CE-1B41CF688B01}"/>
    <cellStyle name="Normal 7 2 2 4" xfId="213" xr:uid="{F4F3DD65-3535-48D5-B701-3CA01DDDB6EA}"/>
    <cellStyle name="Normal 7 2 2 5" xfId="820" xr:uid="{E0B41F8A-4A7D-4744-99EC-7855FD036588}"/>
    <cellStyle name="Normal 7 2 2 6" xfId="821" xr:uid="{06523C78-DB89-4B2B-BDA4-734063E43E42}"/>
    <cellStyle name="Normal 7 2 3" xfId="84" xr:uid="{D4D48368-032C-4FEB-93C0-A39DC312634B}"/>
    <cellStyle name="Normal 7 2 3 2" xfId="300" xr:uid="{812B3DFB-04F2-44E3-9138-668B213429EB}"/>
    <cellStyle name="Normal 7 2 3 2 2" xfId="302" xr:uid="{F2EAE63A-FF85-4DAE-9B01-711724A366D5}"/>
    <cellStyle name="Normal 7 2 3 2 3" xfId="822" xr:uid="{32B51465-9309-42B5-94D5-E45C9E51C9B1}"/>
    <cellStyle name="Normal 7 2 3 3" xfId="305" xr:uid="{B6BB4C45-3871-4E09-A743-82938981BFA0}"/>
    <cellStyle name="Normal 7 2 3 4" xfId="258" xr:uid="{BEB688C1-71C6-449D-A7C4-D08CF84E60F8}"/>
    <cellStyle name="Normal 7 2 3 5" xfId="823" xr:uid="{E29B8E42-18F8-4CF7-8EB1-B5EB02A74558}"/>
    <cellStyle name="Normal 7 2 3 6" xfId="824" xr:uid="{EDD41BE6-0784-440D-A912-85D29F33D801}"/>
    <cellStyle name="Normal 7 2 4" xfId="89" xr:uid="{65D30E5F-76AC-456F-BFAD-7EDFFAFF9138}"/>
    <cellStyle name="Normal 7 2 4 2" xfId="308" xr:uid="{D4FDAC82-5C0C-46CB-AB6D-43B0617CE6E1}"/>
    <cellStyle name="Normal 7 2 4 3" xfId="316" xr:uid="{0681B320-0DE7-4230-97EE-9888F4D619FC}"/>
    <cellStyle name="Normal 7 2 5" xfId="93" xr:uid="{D707B0AC-08B2-4E08-AD26-BEB2214470B4}"/>
    <cellStyle name="Normal 7 2 5 2" xfId="322" xr:uid="{3AED17E0-4D0D-4EDF-945C-2B468F52E0E8}"/>
    <cellStyle name="Normal 7 2 5 3" xfId="825" xr:uid="{66EC895D-C34E-477A-A9F7-13AE7BE3A100}"/>
    <cellStyle name="Normal 7 2 6" xfId="326" xr:uid="{C2EE3A4E-E0C7-4D3A-8E3F-ABC820E1C280}"/>
    <cellStyle name="Normal 7 2 7" xfId="328" xr:uid="{8A043BCA-6B9F-4D42-AAE1-4B8FDCA34838}"/>
    <cellStyle name="Normal 7 2 8" xfId="827" xr:uid="{EF5AFC6A-EAB1-47C9-85C6-0670BF97EC0B}"/>
    <cellStyle name="Normal 7 2 9" xfId="828" xr:uid="{FBC0EAA9-AE17-411D-95CA-B8F8333D40D7}"/>
    <cellStyle name="Normal 7 20" xfId="804" xr:uid="{0AAB04BE-DB31-4B98-A912-73143040023A}"/>
    <cellStyle name="Normal 7 21" xfId="809" xr:uid="{EEC98FD0-FA8D-47F9-B509-3939631DC1A2}"/>
    <cellStyle name="Normal 7 3" xfId="829" xr:uid="{5C7F3FDE-DF57-42B0-B973-5EFD9D9977FF}"/>
    <cellStyle name="Normal 7 3 10" xfId="830" xr:uid="{1DF96F28-856B-4328-BEBA-E419A29529C0}"/>
    <cellStyle name="Normal 7 3 2" xfId="831" xr:uid="{8B46C728-35FE-49C9-B73E-D7A819504078}"/>
    <cellStyle name="Normal 7 3 2 2" xfId="832" xr:uid="{8AC749A2-1D0C-494F-8F09-43D07ACC2B19}"/>
    <cellStyle name="Normal 7 3 2 2 2" xfId="324" xr:uid="{E42CD596-76D2-4FDC-81A3-542820D9F5F2}"/>
    <cellStyle name="Normal 7 3 2 2 2 2" xfId="410" xr:uid="{634D3343-5C63-4D8F-A163-3BCAA7FA43D1}"/>
    <cellStyle name="Normal 7 3 2 2 2 3" xfId="834" xr:uid="{404241DD-7321-4185-8193-AF80CB8DDC42}"/>
    <cellStyle name="Normal 7 3 2 2 3" xfId="388" xr:uid="{4D539DB8-D423-4DC8-938B-61F072A9110E}"/>
    <cellStyle name="Normal 7 3 2 2 4" xfId="277" xr:uid="{8E687B6A-631A-445C-B098-77DEE835E572}"/>
    <cellStyle name="Normal 7 3 2 2 5" xfId="836" xr:uid="{12B6994C-BC0C-4653-B5F3-4ABC2C4EB832}"/>
    <cellStyle name="Normal 7 3 2 2 6" xfId="837" xr:uid="{40F5A8C1-89CE-4E88-BF20-5058DEB5D155}"/>
    <cellStyle name="Normal 7 3 2 3" xfId="838" xr:uid="{5D2460E8-FE81-4275-AED1-FCBEEE761A4F}"/>
    <cellStyle name="Normal 7 3 2 3 2" xfId="384" xr:uid="{C61FF604-4C95-4DB4-9685-DCD70929B644}"/>
    <cellStyle name="Normal 7 3 2 3 2 2" xfId="169" xr:uid="{56FF4D84-5929-44A5-B4AB-3C16809975CC}"/>
    <cellStyle name="Normal 7 3 2 3 2 3" xfId="840" xr:uid="{1D8A9092-6516-42C4-ABA3-675CB6C7AC4C}"/>
    <cellStyle name="Normal 7 3 2 3 3" xfId="399" xr:uid="{F4C3890A-EEE1-4459-ABEC-BE7878F9363C}"/>
    <cellStyle name="Normal 7 3 2 3 4" xfId="283" xr:uid="{072D6BC7-BB8C-41AE-AA1B-EE6CA142B0D2}"/>
    <cellStyle name="Normal 7 3 2 3 5" xfId="841" xr:uid="{8D1D959D-81FB-4821-BC8D-32C036C3E763}"/>
    <cellStyle name="Normal 7 3 2 3 6" xfId="842" xr:uid="{0C326D72-8143-4EC0-AAB3-3E19C588B28B}"/>
    <cellStyle name="Normal 7 3 2 4" xfId="843" xr:uid="{ACE98A8C-8D5C-4402-8C42-014D6CD7AC12}"/>
    <cellStyle name="Normal 7 3 2 4 2" xfId="845" xr:uid="{CEAE9B07-4045-4490-B079-4D2641ED9D57}"/>
    <cellStyle name="Normal 7 3 2 4 3" xfId="846" xr:uid="{65E1C0D3-CB56-4470-8BCF-B70B1F9DB5D2}"/>
    <cellStyle name="Normal 7 3 2 5" xfId="847" xr:uid="{77E89724-633C-4D3E-8489-7787B004E14F}"/>
    <cellStyle name="Normal 7 3 2 5 2" xfId="835" xr:uid="{7FFF4FD0-14ED-479D-AFB3-E521FA183447}"/>
    <cellStyle name="Normal 7 3 2 5 3" xfId="849" xr:uid="{05E0ED5B-47B9-442C-9A11-AE2FBC76D547}"/>
    <cellStyle name="Normal 7 3 2 6" xfId="850" xr:uid="{5731386A-3ACA-4656-B845-BA5DD675E0F4}"/>
    <cellStyle name="Normal 7 3 2 7" xfId="851" xr:uid="{A49000FA-B975-40E9-8C3C-0510EA072BD9}"/>
    <cellStyle name="Normal 7 3 2 8" xfId="852" xr:uid="{F9751D97-8134-416A-BBF5-7DD030BBFBCE}"/>
    <cellStyle name="Normal 7 3 2 9" xfId="853" xr:uid="{F34737AB-7254-4B68-AB6E-2C58A4E07596}"/>
    <cellStyle name="Normal 7 3 3" xfId="854" xr:uid="{1F55AAF9-97E5-41A9-9F19-7C90A24A65D5}"/>
    <cellStyle name="Normal 7 3 3 2" xfId="855" xr:uid="{47C3BE03-81F3-4538-964C-EC3EA74A4309}"/>
    <cellStyle name="Normal 7 3 3 2 2" xfId="51" xr:uid="{49403B30-B548-4D29-BBD2-462F2B405618}"/>
    <cellStyle name="Normal 7 3 3 2 3" xfId="40" xr:uid="{6D934773-1E1F-4350-8F4D-156BF18F9E3F}"/>
    <cellStyle name="Normal 7 3 3 3" xfId="857" xr:uid="{7B98EE66-C609-45B9-85E7-EE832CD8D84C}"/>
    <cellStyle name="Normal 7 3 3 4" xfId="858" xr:uid="{98A98E22-5C2D-4D51-B195-107AF5DF09F2}"/>
    <cellStyle name="Normal 7 3 3 5" xfId="859" xr:uid="{6A84FA4F-F7FF-491E-84F6-A0956AE3F249}"/>
    <cellStyle name="Normal 7 3 3 6" xfId="860" xr:uid="{56DAF4BD-1C74-4BA5-B69E-8BE20816E984}"/>
    <cellStyle name="Normal 7 3 4" xfId="861" xr:uid="{E34D011E-C67A-4B01-8887-1B5CBF46EAF4}"/>
    <cellStyle name="Normal 7 3 4 2" xfId="862" xr:uid="{863BEA00-4CFF-45FC-8249-9055A5144699}"/>
    <cellStyle name="Normal 7 3 4 2 2" xfId="865" xr:uid="{A7E125C8-083A-43D0-A08C-2913A7FDAF66}"/>
    <cellStyle name="Normal 7 3 4 2 3" xfId="867" xr:uid="{6FC6FBC0-54DE-4013-93AA-6DBDC6577F13}"/>
    <cellStyle name="Normal 7 3 4 3" xfId="869" xr:uid="{9F10FB9A-29B0-4A79-B63A-3D4F9EAEAEFA}"/>
    <cellStyle name="Normal 7 3 4 4" xfId="870" xr:uid="{0AC42BBF-537D-47FD-A281-B7F7E572143E}"/>
    <cellStyle name="Normal 7 3 4 5" xfId="871" xr:uid="{E950CEDB-9787-48C9-8E56-96C8F81F0AF0}"/>
    <cellStyle name="Normal 7 3 4 6" xfId="872" xr:uid="{837CDC11-0BB7-4DE0-BE39-7D352EAAB112}"/>
    <cellStyle name="Normal 7 3 5" xfId="873" xr:uid="{B5AE5AE2-B84F-4741-AF0A-D7035DD32E45}"/>
    <cellStyle name="Normal 7 3 5 2" xfId="874" xr:uid="{8E42A27C-191A-4022-BE24-E68609BE2082}"/>
    <cellStyle name="Normal 7 3 5 3" xfId="38" xr:uid="{0F8E4725-1036-4CBB-BFC5-695A2DA34B27}"/>
    <cellStyle name="Normal 7 3 6" xfId="875" xr:uid="{E5AE5541-9990-4144-B289-5D69656D3648}"/>
    <cellStyle name="Normal 7 3 6 2" xfId="876" xr:uid="{8FBDD81E-025D-4E8B-9D79-701EDBE722AD}"/>
    <cellStyle name="Normal 7 3 6 3" xfId="878" xr:uid="{9A72BEE2-0515-4FD8-A7E3-C991E3736B83}"/>
    <cellStyle name="Normal 7 3 7" xfId="879" xr:uid="{CAEE2750-0A24-4E2D-A6A7-A7CEE7E5EF56}"/>
    <cellStyle name="Normal 7 3 8" xfId="880" xr:uid="{7AE587DB-8791-415D-8E91-D961E7CA2236}"/>
    <cellStyle name="Normal 7 3 9" xfId="881" xr:uid="{D966B86E-3CED-476D-A70F-C5C640D26569}"/>
    <cellStyle name="Normal 7 4" xfId="882" xr:uid="{D1CDD30E-1890-4CD0-87EE-E50446F8E8D2}"/>
    <cellStyle name="Normal 7 4 10" xfId="883" xr:uid="{798B9F6A-21D6-4EC1-B7FC-5909B4EA1E6B}"/>
    <cellStyle name="Normal 7 4 2" xfId="885" xr:uid="{8D51C5AC-6693-4F8C-BB4F-4F1BAEE6FFB8}"/>
    <cellStyle name="Normal 7 4 2 10" xfId="354" xr:uid="{F29F73DB-A02B-4FCB-BE4B-4819B6E808E9}"/>
    <cellStyle name="Normal 7 4 2 2" xfId="886" xr:uid="{4E7A4C0E-AC4A-4467-B7B0-1854654E4EFF}"/>
    <cellStyle name="Normal 7 4 2 2 2" xfId="887" xr:uid="{97C3651C-BD34-4CF3-B25D-615F7A3BEDA1}"/>
    <cellStyle name="Normal 7 4 2 2 2 10" xfId="888" xr:uid="{E21BB620-0465-48AF-AF9A-B3AA0A9D82A7}"/>
    <cellStyle name="Normal 7 4 2 2 2 10 2" xfId="889" xr:uid="{AE07CC04-EA93-4750-B95C-DD89D378BB8C}"/>
    <cellStyle name="Normal 7 4 2 2 2 10 2 2" xfId="160" xr:uid="{614FE06B-CCCA-462A-9843-DC410D8ADF7E}"/>
    <cellStyle name="Normal 7 4 2 2 2 10 2 2 2" xfId="104" xr:uid="{36FAC2C8-17A8-429E-8A6E-FAC92B72B647}"/>
    <cellStyle name="Normal 7 4 2 2 2 10 2 2 3" xfId="164" xr:uid="{771D1E2B-1373-4850-96E2-BC35CD75B892}"/>
    <cellStyle name="Normal 7 4 2 2 2 10 2 3" xfId="167" xr:uid="{3A61F2DE-3275-4BEF-830E-E974E6868A19}"/>
    <cellStyle name="Normal 7 4 2 2 2 10 2 4" xfId="131" xr:uid="{E726F1E3-C829-457C-86DC-9A53F963EE84}"/>
    <cellStyle name="Normal 7 4 2 2 2 10 2 5" xfId="135" xr:uid="{F24A54B2-43D1-41EE-A157-86EDEADD6C09}"/>
    <cellStyle name="Normal 7 4 2 2 2 10 2 6" xfId="175" xr:uid="{0F9F8F92-7E4A-4420-B2E5-9A737C485EAC}"/>
    <cellStyle name="Normal 7 4 2 2 2 10 3" xfId="890" xr:uid="{1EE2734A-696A-4412-90F9-96570B7519B2}"/>
    <cellStyle name="Normal 7 4 2 2 2 10 3 2" xfId="182" xr:uid="{C35DFA59-8C4A-4BE7-B035-F058E027FD7C}"/>
    <cellStyle name="Normal 7 4 2 2 2 10 3 3" xfId="184" xr:uid="{B2FD18E4-B5D2-439F-9B78-FB0B94064C5F}"/>
    <cellStyle name="Normal 7 4 2 2 2 10 4" xfId="891" xr:uid="{CEF274B7-F7EC-4ABE-AE74-9F98171EDEFD}"/>
    <cellStyle name="Normal 7 4 2 2 2 10 5" xfId="892" xr:uid="{38A7A417-4A11-4AD6-94F6-9733064C7CB7}"/>
    <cellStyle name="Normal 7 4 2 2 2 10 6" xfId="894" xr:uid="{B24C7C8C-0A26-4F56-AA6C-E137580B2A82}"/>
    <cellStyle name="Normal 7 4 2 2 2 10 7" xfId="896" xr:uid="{910FEAD3-A176-4520-9B53-009A478AED8B}"/>
    <cellStyle name="Normal 7 4 2 2 2 10 8" xfId="898" xr:uid="{3B35A27E-7F3D-4DDA-BF56-C6564794A430}"/>
    <cellStyle name="Normal 7 4 2 2 2 10 9" xfId="900" xr:uid="{727C8D23-8BE7-4AE7-BB8F-F838A214FB21}"/>
    <cellStyle name="Normal 7 4 2 2 2 11" xfId="902" xr:uid="{20061967-37D3-47FA-8A84-6424790BE4A5}"/>
    <cellStyle name="Normal 7 4 2 2 2 11 2" xfId="903" xr:uid="{EFF8DDCF-E27D-48DB-9DAA-92B9A0A35E81}"/>
    <cellStyle name="Normal 7 4 2 2 2 11 2 2" xfId="219" xr:uid="{B0D8CABF-768A-4310-B4B6-5DCBED202184}"/>
    <cellStyle name="Normal 7 4 2 2 2 11 2 3" xfId="221" xr:uid="{C4AC6D53-5C63-4A06-891E-F8F253308621}"/>
    <cellStyle name="Normal 7 4 2 2 2 11 3" xfId="904" xr:uid="{55773E62-3DDF-4E0D-BBEC-B61DC2AF261E}"/>
    <cellStyle name="Normal 7 4 2 2 2 11 4" xfId="905" xr:uid="{5F7A6439-266E-4D15-9CDC-315BFA565BFA}"/>
    <cellStyle name="Normal 7 4 2 2 2 11 5" xfId="906" xr:uid="{C9FAF3C1-64F9-484C-868F-56525BE59F72}"/>
    <cellStyle name="Normal 7 4 2 2 2 11 6" xfId="908" xr:uid="{414CAC43-D81C-4997-ABD3-47CFB61A0361}"/>
    <cellStyle name="Normal 7 4 2 2 2 12" xfId="910" xr:uid="{652B83F2-1B71-4D38-AF08-8CFDB3E6D723}"/>
    <cellStyle name="Normal 7 4 2 2 2 12 2" xfId="912" xr:uid="{ACE63DCF-2C79-4916-A66F-4D1B533DD0CA}"/>
    <cellStyle name="Normal 7 4 2 2 2 12 3" xfId="913" xr:uid="{97968F17-05F1-4A6C-8F8D-BBF176240EEE}"/>
    <cellStyle name="Normal 7 4 2 2 2 13" xfId="914" xr:uid="{FBADCF95-9D60-44B9-819C-8C22ED1A9A73}"/>
    <cellStyle name="Normal 7 4 2 2 2 13 2" xfId="916" xr:uid="{19AEB28E-BF1F-4CA6-A35F-BB9D123472B8}"/>
    <cellStyle name="Normal 7 4 2 2 2 13 3" xfId="917" xr:uid="{E21FA5C7-6114-40C7-82B3-FD798854BE29}"/>
    <cellStyle name="Normal 7 4 2 2 2 14" xfId="918" xr:uid="{79FB0468-D833-43A8-B84F-7AF739351598}"/>
    <cellStyle name="Normal 7 4 2 2 2 14 2" xfId="919" xr:uid="{9140502B-9058-4D15-A1B7-F88B9E945DE1}"/>
    <cellStyle name="Normal 7 4 2 2 2 14 3" xfId="920" xr:uid="{850B4E5C-D0FB-4AC1-AB1A-B1B81785D52A}"/>
    <cellStyle name="Normal 7 4 2 2 2 15" xfId="921" xr:uid="{525EE7F5-8EFF-428C-A49B-8AE6791CE36D}"/>
    <cellStyle name="Normal 7 4 2 2 2 15 2" xfId="922" xr:uid="{42AF321B-DC1F-4D96-BC1D-F5B18779F7D5}"/>
    <cellStyle name="Normal 7 4 2 2 2 15 3" xfId="923" xr:uid="{3BA0010F-27EA-4A67-853C-81355BB394E5}"/>
    <cellStyle name="Normal 7 4 2 2 2 16" xfId="924" xr:uid="{5CF61448-0A49-42F4-BA63-0EDACFBCECAB}"/>
    <cellStyle name="Normal 7 4 2 2 2 17" xfId="925" xr:uid="{30F3688C-93B4-42A2-9643-0464543DCE81}"/>
    <cellStyle name="Normal 7 4 2 2 2 18" xfId="926" xr:uid="{B710DBE5-781C-48AD-95FA-73228718A6D5}"/>
    <cellStyle name="Normal 7 4 2 2 2 19" xfId="927" xr:uid="{B1F8E190-DA1B-48A9-93DB-09A79E81CB0B}"/>
    <cellStyle name="Normal 7 4 2 2 2 19 2" xfId="928" xr:uid="{229CF188-5F9C-4CB3-ACB9-80196C25EF7A}"/>
    <cellStyle name="Normal 7 4 2 2 2 2" xfId="929" xr:uid="{5B1CF3E1-4E6C-411D-BDDA-ED1B17BC14F8}"/>
    <cellStyle name="Normal 7 4 2 2 2 2 10" xfId="930" xr:uid="{336437EA-D568-4ABB-8C43-B0941057079C}"/>
    <cellStyle name="Normal 7 4 2 2 2 2 2" xfId="792" xr:uid="{C19AE816-DDF0-43A3-B78A-E775D6D140AF}"/>
    <cellStyle name="Normal 7 4 2 2 2 2 2 10" xfId="931" xr:uid="{9DED5102-19AB-4024-B360-6EB5DD5B7AB4}"/>
    <cellStyle name="Normal 7 4 2 2 2 2 2 10 2" xfId="932" xr:uid="{96103D4D-52E0-4E65-A85D-FA956FCE2DDD}"/>
    <cellStyle name="Normal 7 4 2 2 2 2 2 11" xfId="934" xr:uid="{96B380ED-30E9-495D-B3B7-E3196BBB21A3}"/>
    <cellStyle name="Normal 7 4 2 2 2 2 2 2" xfId="935" xr:uid="{1BE0871C-3F5C-4624-BB1D-DC1590567BC1}"/>
    <cellStyle name="Normal 7 4 2 2 2 2 2 2 2" xfId="936" xr:uid="{971DD62F-E14B-4DD1-B887-35C7C0AB2904}"/>
    <cellStyle name="Normal 7 4 2 2 2 2 2 2 2 2" xfId="937" xr:uid="{9F2F18D5-AA2A-4E19-8766-65C068D72C97}"/>
    <cellStyle name="Normal 7 4 2 2 2 2 2 2 2 2 2" xfId="939" xr:uid="{7E77BB9E-4AA7-4EE2-B467-0829EECAA7BE}"/>
    <cellStyle name="Normal 7 4 2 2 2 2 2 2 2 2 3" xfId="593" xr:uid="{BE72D8DC-1C64-4454-935A-F544D39A7E11}"/>
    <cellStyle name="Normal 7 4 2 2 2 2 2 2 2 3" xfId="940" xr:uid="{1729113A-CF38-4788-ABC3-268756211271}"/>
    <cellStyle name="Normal 7 4 2 2 2 2 2 2 2 4" xfId="942" xr:uid="{42E3B6D9-B29B-4948-9C3E-8477092E6C39}"/>
    <cellStyle name="Normal 7 4 2 2 2 2 2 2 2 5" xfId="944" xr:uid="{8D5513CC-2E54-4096-AF5E-19FFC6DC72AF}"/>
    <cellStyle name="Normal 7 4 2 2 2 2 2 2 2 6" xfId="946" xr:uid="{D5268B24-3E49-4F8F-8C23-A13A0E17EB4D}"/>
    <cellStyle name="Normal 7 4 2 2 2 2 2 2 3" xfId="947" xr:uid="{5F7F930C-0993-49AB-884E-2F8C880A003A}"/>
    <cellStyle name="Normal 7 4 2 2 2 2 2 2 3 2" xfId="948" xr:uid="{129344DF-1296-442E-A392-33C58CFC2BAE}"/>
    <cellStyle name="Normal 7 4 2 2 2 2 2 2 3 3" xfId="950" xr:uid="{8094625B-50AA-4FBE-92A0-68EB2214D754}"/>
    <cellStyle name="Normal 7 4 2 2 2 2 2 2 4" xfId="27" xr:uid="{BF5F5805-DADE-4227-A1FB-561D2A56D48E}"/>
    <cellStyle name="Normal 7 4 2 2 2 2 2 2 4 2" xfId="952" xr:uid="{7564D2B9-AB5A-40D4-8BF1-F66650EBABD2}"/>
    <cellStyle name="Normal 7 4 2 2 2 2 2 2 4 3" xfId="954" xr:uid="{266E41CC-F5DB-4C94-9D4D-64B8668416F2}"/>
    <cellStyle name="Normal 7 4 2 2 2 2 2 2 5" xfId="55" xr:uid="{FF03434A-7DEA-450A-AA49-C37683A72478}"/>
    <cellStyle name="Normal 7 4 2 2 2 2 2 2 6" xfId="955" xr:uid="{7BA9A7E6-871F-4828-AACA-48144EE2B3C5}"/>
    <cellStyle name="Normal 7 4 2 2 2 2 2 2 7" xfId="957" xr:uid="{6DF8BA30-BF61-41C3-AD41-32B24F14FE31}"/>
    <cellStyle name="Normal 7 4 2 2 2 2 2 2 8" xfId="959" xr:uid="{B1436CCC-240C-4091-BD42-6785746156A8}"/>
    <cellStyle name="Normal 7 4 2 2 2 2 2 3" xfId="961" xr:uid="{E6DABDDC-A49A-4BE7-B9A6-11A917D17BA3}"/>
    <cellStyle name="Normal 7 4 2 2 2 2 2 3 2" xfId="962" xr:uid="{0C3FA7AF-6334-4C4C-9733-6FE52FF3FAD6}"/>
    <cellStyle name="Normal 7 4 2 2 2 2 2 3 2 2" xfId="963" xr:uid="{64B401E5-9999-4446-A0FC-BB534087BB9B}"/>
    <cellStyle name="Normal 7 4 2 2 2 2 2 3 2 3" xfId="965" xr:uid="{516571F9-CBB5-4B0F-83A8-8988BF97967D}"/>
    <cellStyle name="Normal 7 4 2 2 2 2 2 3 3" xfId="968" xr:uid="{9C393C04-FBE7-4883-B48C-EB67696B1D61}"/>
    <cellStyle name="Normal 7 4 2 2 2 2 2 3 3 2" xfId="969" xr:uid="{B0034024-0940-4E24-96D2-38391B8EC325}"/>
    <cellStyle name="Normal 7 4 2 2 2 2 2 3 3 3" xfId="971" xr:uid="{10FD553E-A744-47D6-8851-22E5E12E1AE1}"/>
    <cellStyle name="Normal 7 4 2 2 2 2 2 3 4" xfId="975" xr:uid="{B2415FF1-4B6C-4C5D-938F-12D326104995}"/>
    <cellStyle name="Normal 7 4 2 2 2 2 2 3 5" xfId="976" xr:uid="{6EBFF3BC-1D06-4C5A-B46C-73426A83502A}"/>
    <cellStyle name="Normal 7 4 2 2 2 2 2 3 6" xfId="978" xr:uid="{F6A9BF6E-34F2-4C82-851C-C597F96A9B16}"/>
    <cellStyle name="Normal 7 4 2 2 2 2 2 3 7" xfId="980" xr:uid="{2BF4F374-B030-442E-93B8-1E3D63089AAB}"/>
    <cellStyle name="Normal 7 4 2 2 2 2 2 4" xfId="981" xr:uid="{EDDA1000-C12B-47E2-873C-FC4E412BE02B}"/>
    <cellStyle name="Normal 7 4 2 2 2 2 2 4 2" xfId="982" xr:uid="{377AE9E2-B64F-4DC7-8E46-C907963DF28B}"/>
    <cellStyle name="Normal 7 4 2 2 2 2 2 4 3" xfId="983" xr:uid="{AD14242C-6D12-4EF5-83F9-875A3E186201}"/>
    <cellStyle name="Normal 7 4 2 2 2 2 2 5" xfId="984" xr:uid="{62204BEE-74AB-4494-B33F-6154BFD81BF0}"/>
    <cellStyle name="Normal 7 4 2 2 2 2 2 5 2" xfId="985" xr:uid="{7D3BEDF6-0BAD-4F12-B7E9-3AED184CB4F7}"/>
    <cellStyle name="Normal 7 4 2 2 2 2 2 5 3" xfId="986" xr:uid="{18014632-3375-462C-B597-37D21D6DDBB5}"/>
    <cellStyle name="Normal 7 4 2 2 2 2 2 6" xfId="987" xr:uid="{C0676F08-D051-4D0E-80A8-ECAF9E7B4C34}"/>
    <cellStyle name="Normal 7 4 2 2 2 2 2 6 2" xfId="988" xr:uid="{50FBC353-6C09-4F06-BA46-CA0916451A11}"/>
    <cellStyle name="Normal 7 4 2 2 2 2 2 6 3" xfId="989" xr:uid="{6464C0E0-AB50-47EA-ABCF-B62A60577395}"/>
    <cellStyle name="Normal 7 4 2 2 2 2 2 7" xfId="990" xr:uid="{66EDE3F4-F1EA-44B4-A719-3F6419FB6BD1}"/>
    <cellStyle name="Normal 7 4 2 2 2 2 2 8" xfId="991" xr:uid="{139E7B0A-D20B-45D8-9E7F-B6C60FEF0D7F}"/>
    <cellStyle name="Normal 7 4 2 2 2 2 2 9" xfId="992" xr:uid="{8CD3B802-2E24-4DA7-8973-F84ACC82480D}"/>
    <cellStyle name="Normal 7 4 2 2 2 2 3" xfId="993" xr:uid="{1A5437ED-61B2-48FF-8B46-59BAE5B67878}"/>
    <cellStyle name="Normal 7 4 2 2 2 2 3 2" xfId="994" xr:uid="{939BD467-885E-4E61-AEAA-DE0B4E2398BA}"/>
    <cellStyle name="Normal 7 4 2 2 2 2 3 2 2" xfId="995" xr:uid="{1B383827-22C0-42C3-B719-EEF522B63582}"/>
    <cellStyle name="Normal 7 4 2 2 2 2 3 2 3" xfId="996" xr:uid="{531B59AB-A77C-4AB7-BE33-0A58B6A716C1}"/>
    <cellStyle name="Normal 7 4 2 2 2 2 3 3" xfId="997" xr:uid="{A71FD8E4-C581-4718-973D-9CE344D3A1FF}"/>
    <cellStyle name="Normal 7 4 2 2 2 2 3 4" xfId="998" xr:uid="{25D5E0B6-D5C4-4D27-B586-6133B559FCA6}"/>
    <cellStyle name="Normal 7 4 2 2 2 2 3 5" xfId="999" xr:uid="{23C1C971-44BD-411E-B438-8ADB22F24D49}"/>
    <cellStyle name="Normal 7 4 2 2 2 2 3 6" xfId="1000" xr:uid="{C3185046-588B-408B-AFB8-A2C8EFD21F61}"/>
    <cellStyle name="Normal 7 4 2 2 2 2 4" xfId="1001" xr:uid="{F8A9FEDC-DA58-4BE1-8E67-5E418DFEFE1D}"/>
    <cellStyle name="Normal 7 4 2 2 2 2 4 2" xfId="1002" xr:uid="{E40F5CDB-1EAB-4CA9-A759-02D413648FEA}"/>
    <cellStyle name="Normal 7 4 2 2 2 2 4 2 2" xfId="1003" xr:uid="{08E19BAF-A8B1-48B1-9E1E-A3685C0CB6CA}"/>
    <cellStyle name="Normal 7 4 2 2 2 2 4 2 3" xfId="1004" xr:uid="{FEC00BD8-DB9B-44B2-80FD-C06B1AC6D632}"/>
    <cellStyle name="Normal 7 4 2 2 2 2 4 3" xfId="1005" xr:uid="{212998D5-61AD-4ABA-9054-AB41084C783B}"/>
    <cellStyle name="Normal 7 4 2 2 2 2 4 4" xfId="1006" xr:uid="{31B4D05C-2BD3-49DE-9BD7-28BD7C4AD57A}"/>
    <cellStyle name="Normal 7 4 2 2 2 2 4 5" xfId="1007" xr:uid="{B6EF749A-6E01-4260-8A96-376BBA33DA2E}"/>
    <cellStyle name="Normal 7 4 2 2 2 2 4 6" xfId="1008" xr:uid="{0CAE2E1C-6C39-4877-97F4-1B74CFF2A270}"/>
    <cellStyle name="Normal 7 4 2 2 2 2 5" xfId="1009" xr:uid="{1322625C-33BC-4092-B2F8-BB368DDE3316}"/>
    <cellStyle name="Normal 7 4 2 2 2 2 5 2" xfId="1010" xr:uid="{58FC1F70-A203-4F18-BB50-C1BD5A39B089}"/>
    <cellStyle name="Normal 7 4 2 2 2 2 5 3" xfId="1011" xr:uid="{0D0A3AF1-D233-4399-84C3-610E06A231BC}"/>
    <cellStyle name="Normal 7 4 2 2 2 2 6" xfId="1012" xr:uid="{A4457952-1B1D-4D4E-8CE4-C4A62D321536}"/>
    <cellStyle name="Normal 7 4 2 2 2 2 6 2" xfId="1013" xr:uid="{6668BB6C-BCA2-4B66-BBCC-FC6416F5DBEE}"/>
    <cellStyle name="Normal 7 4 2 2 2 2 6 3" xfId="1014" xr:uid="{CBC614A8-BBC4-4976-AFEF-8049684C4391}"/>
    <cellStyle name="Normal 7 4 2 2 2 2 7" xfId="1015" xr:uid="{09488867-41A6-4EA3-B20B-41C1C478A81E}"/>
    <cellStyle name="Normal 7 4 2 2 2 2 8" xfId="1016" xr:uid="{66674C73-8F42-4FE1-8BA4-ADFD051693BA}"/>
    <cellStyle name="Normal 7 4 2 2 2 2 9" xfId="1017" xr:uid="{4C230B1E-4219-46C5-B54D-678098C2E115}"/>
    <cellStyle name="Normal 7 4 2 2 2 3" xfId="1018" xr:uid="{E158E342-84ED-44A6-A76F-96854FBCF49D}"/>
    <cellStyle name="Normal 7 4 2 2 2 3 2" xfId="802" xr:uid="{3E1492B5-D3C0-4C24-84C9-6E1C20D9BE18}"/>
    <cellStyle name="Normal 7 4 2 2 2 3 2 2" xfId="1019" xr:uid="{98072618-A655-4B38-B018-3ECCA7881CF0}"/>
    <cellStyle name="Normal 7 4 2 2 2 3 2 2 2" xfId="1020" xr:uid="{CA2B80A2-AEBE-49F2-A8DE-436F1F8034E4}"/>
    <cellStyle name="Normal 7 4 2 2 2 3 2 2 3" xfId="1021" xr:uid="{AD75AF3D-95F8-4C21-9B72-0A6210A5A12D}"/>
    <cellStyle name="Normal 7 4 2 2 2 3 2 3" xfId="1022" xr:uid="{198943BA-A260-48B2-95C4-8483147FA288}"/>
    <cellStyle name="Normal 7 4 2 2 2 3 2 4" xfId="1023" xr:uid="{9CD27B51-7C46-45DA-B00D-FAEEEC59E0C1}"/>
    <cellStyle name="Normal 7 4 2 2 2 3 2 5" xfId="1024" xr:uid="{E88B6A57-3DB2-4D80-BCFF-763EA9F28E3F}"/>
    <cellStyle name="Normal 7 4 2 2 2 3 2 6" xfId="933" xr:uid="{8BEA2BCA-7265-4C53-9C84-1F61A52135FC}"/>
    <cellStyle name="Normal 7 4 2 2 2 3 3" xfId="1025" xr:uid="{FC4D389B-21AF-4479-B672-152AA12BD787}"/>
    <cellStyle name="Normal 7 4 2 2 2 3 3 2" xfId="1026" xr:uid="{145630CC-C27A-4CD9-8DC0-F8452D005960}"/>
    <cellStyle name="Normal 7 4 2 2 2 3 3 2 2" xfId="1027" xr:uid="{2E70B416-4B29-467A-B268-0E2C5C78C672}"/>
    <cellStyle name="Normal 7 4 2 2 2 3 3 2 3" xfId="1028" xr:uid="{2188638B-B539-4BFE-B3D8-2332E4FBBCAA}"/>
    <cellStyle name="Normal 7 4 2 2 2 3 3 3" xfId="1029" xr:uid="{7F4E74F3-51C3-462F-AB64-44E3A4AE94EA}"/>
    <cellStyle name="Normal 7 4 2 2 2 3 3 4" xfId="1030" xr:uid="{828B9A2D-F1FC-4337-BA43-8D5CC99395E8}"/>
    <cellStyle name="Normal 7 4 2 2 2 3 3 5" xfId="1031" xr:uid="{76F3CE71-BEA7-454F-953B-47D458609177}"/>
    <cellStyle name="Normal 7 4 2 2 2 3 3 6" xfId="1032" xr:uid="{23575F0E-E4BD-4F2F-AB7B-7A4F1B737742}"/>
    <cellStyle name="Normal 7 4 2 2 2 3 4" xfId="1033" xr:uid="{593DB969-11CF-4C84-95F9-2C11F56FB66B}"/>
    <cellStyle name="Normal 7 4 2 2 2 3 4 2" xfId="1034" xr:uid="{7749F2C5-87A2-455B-ABDD-8006D73E04C1}"/>
    <cellStyle name="Normal 7 4 2 2 2 3 4 3" xfId="1035" xr:uid="{695ECAE4-149F-4784-B16D-00245EE4D0C6}"/>
    <cellStyle name="Normal 7 4 2 2 2 3 5" xfId="1036" xr:uid="{A466FDC9-D9B3-407D-A8C3-617549B2960C}"/>
    <cellStyle name="Normal 7 4 2 2 2 3 5 2" xfId="1037" xr:uid="{32A324B8-6274-4E6D-AB5B-C6CACBAC444F}"/>
    <cellStyle name="Normal 7 4 2 2 2 3 5 3" xfId="1038" xr:uid="{79D2634F-73D4-42EA-A83D-0792675394FE}"/>
    <cellStyle name="Normal 7 4 2 2 2 3 6" xfId="1039" xr:uid="{782A1B40-C003-457A-BD31-9D7F71EB2893}"/>
    <cellStyle name="Normal 7 4 2 2 2 3 7" xfId="1040" xr:uid="{06DCD9A4-351E-445A-8D7B-59A385F4FE0A}"/>
    <cellStyle name="Normal 7 4 2 2 2 3 8" xfId="1041" xr:uid="{5FFD5828-8C5A-477C-93FA-2C14D06B6852}"/>
    <cellStyle name="Normal 7 4 2 2 2 3 9" xfId="1042" xr:uid="{067426D1-88F5-43EC-9F65-DAF7BEA296FE}"/>
    <cellStyle name="Normal 7 4 2 2 2 4" xfId="1043" xr:uid="{689641FE-347C-4D85-A651-7C53A318BD4F}"/>
    <cellStyle name="Normal 7 4 2 2 2 4 10" xfId="1044" xr:uid="{0AF7881C-67C5-4DC5-8071-21F4735B9BCA}"/>
    <cellStyle name="Normal 7 4 2 2 2 4 2" xfId="1045" xr:uid="{D0BCB0B5-CAE6-4FC8-AA50-7A8758684507}"/>
    <cellStyle name="Normal 7 4 2 2 2 4 2 2" xfId="1046" xr:uid="{ABFEAD9F-34AB-48F3-B9AE-CD9CD0570521}"/>
    <cellStyle name="Normal 7 4 2 2 2 4 2 2 2" xfId="660" xr:uid="{2B3E91DB-20F2-4698-8DE9-91C0DBCCA82C}"/>
    <cellStyle name="Normal 7 4 2 2 2 4 2 2 3" xfId="1047" xr:uid="{E3EFFA7D-46C2-4360-9911-3B47AF77361F}"/>
    <cellStyle name="Normal 7 4 2 2 2 4 2 3" xfId="1048" xr:uid="{2E6936A2-F47A-4C03-B529-BB99B1392C6B}"/>
    <cellStyle name="Normal 7 4 2 2 2 4 2 3 2" xfId="1050" xr:uid="{8D02B829-9079-4D58-B0FD-A667C93B20A1}"/>
    <cellStyle name="Normal 7 4 2 2 2 4 2 3 3" xfId="1051" xr:uid="{B8CB4F97-96A9-4958-BE1E-2C49492B238C}"/>
    <cellStyle name="Normal 7 4 2 2 2 4 2 4" xfId="1052" xr:uid="{7998C4CF-1997-4CFE-A133-6CB3BC170061}"/>
    <cellStyle name="Normal 7 4 2 2 2 4 2 5" xfId="1053" xr:uid="{A8D6B0E8-F17B-4A62-978E-06B6CE997F13}"/>
    <cellStyle name="Normal 7 4 2 2 2 4 2 6" xfId="1054" xr:uid="{92B12775-DDA6-4E80-8AF9-CAA3B0FAE081}"/>
    <cellStyle name="Normal 7 4 2 2 2 4 2 7" xfId="1055" xr:uid="{B63F7D0A-3963-4F48-9555-1697306D381B}"/>
    <cellStyle name="Normal 7 4 2 2 2 4 3" xfId="419" xr:uid="{AF5D951D-8DB1-46B2-BC11-746C420DBB25}"/>
    <cellStyle name="Normal 7 4 2 2 2 4 3 2" xfId="421" xr:uid="{C10D2468-AE47-4E73-912B-A2D30ED3FF9B}"/>
    <cellStyle name="Normal 7 4 2 2 2 4 3 2 2" xfId="1056" xr:uid="{3EAF5B73-EB5E-4265-B621-22E7972751DD}"/>
    <cellStyle name="Normal 7 4 2 2 2 4 3 2 3" xfId="1057" xr:uid="{0CB2134D-2923-4AD0-AF3F-BCF7E97EE70F}"/>
    <cellStyle name="Normal 7 4 2 2 2 4 3 3" xfId="423" xr:uid="{DD9DFDCF-18E0-4362-9589-68F0A224C492}"/>
    <cellStyle name="Normal 7 4 2 2 2 4 3 4" xfId="1058" xr:uid="{93C229BA-C702-49E8-B3E0-5110A8A7EE5F}"/>
    <cellStyle name="Normal 7 4 2 2 2 4 3 5" xfId="1059" xr:uid="{58154400-68F6-4E6B-9D12-2E0664D81325}"/>
    <cellStyle name="Normal 7 4 2 2 2 4 3 6" xfId="1060" xr:uid="{5F1BB0F9-D2FA-4807-8392-64FEA7939C83}"/>
    <cellStyle name="Normal 7 4 2 2 2 4 4" xfId="49" xr:uid="{69184551-9863-4AB2-B54A-54518515A72B}"/>
    <cellStyle name="Normal 7 4 2 2 2 4 4 2" xfId="455" xr:uid="{D258B288-2F9A-464C-BAB7-8B94EC837634}"/>
    <cellStyle name="Normal 7 4 2 2 2 4 4 2 2" xfId="210" xr:uid="{ADAC6A14-7E96-4160-921B-BC10E1FBAC13}"/>
    <cellStyle name="Normal 7 4 2 2 2 4 4 2 3" xfId="591" xr:uid="{73A25411-04F5-43A8-A7CE-3691405D3819}"/>
    <cellStyle name="Normal 7 4 2 2 2 4 4 3" xfId="607" xr:uid="{43630169-9330-49FC-8A82-BE52220A609C}"/>
    <cellStyle name="Normal 7 4 2 2 2 4 4 4" xfId="609" xr:uid="{ED41F361-C716-4798-8FA3-19F1C93479C0}"/>
    <cellStyle name="Normal 7 4 2 2 2 4 4 5" xfId="611" xr:uid="{EEB2EDDF-2309-4A1A-A23D-156A16C3298D}"/>
    <cellStyle name="Normal 7 4 2 2 2 4 4 6" xfId="1061" xr:uid="{05ECA210-206F-4107-AE8A-8F603116F6E1}"/>
    <cellStyle name="Normal 7 4 2 2 2 4 5" xfId="36" xr:uid="{39309A13-3CEB-4440-9F4F-5AF082C0BA61}"/>
    <cellStyle name="Normal 7 4 2 2 2 4 5 2" xfId="700" xr:uid="{F84B76E1-F4EF-4BC8-98C4-73127FA394FD}"/>
    <cellStyle name="Normal 7 4 2 2 2 4 5 3" xfId="704" xr:uid="{9E775174-F419-452D-A6A7-6124BE8A3A7A}"/>
    <cellStyle name="Normal 7 4 2 2 2 4 6" xfId="25" xr:uid="{D8696FC7-98A9-446C-80BC-611749C3FC96}"/>
    <cellStyle name="Normal 7 4 2 2 2 4 6 2" xfId="1062" xr:uid="{3DFFA690-EEE4-4A1F-9137-7AA1DD201FE5}"/>
    <cellStyle name="Normal 7 4 2 2 2 4 6 3" xfId="1064" xr:uid="{13424A95-F981-4E0F-8C3F-00D21E33FE47}"/>
    <cellStyle name="Normal 7 4 2 2 2 4 7" xfId="57" xr:uid="{0B931C08-C389-493F-A9E2-E1A2247C4984}"/>
    <cellStyle name="Normal 7 4 2 2 2 4 8" xfId="1066" xr:uid="{C94FDBA3-0EB3-42E9-903E-B6F657CF32B1}"/>
    <cellStyle name="Normal 7 4 2 2 2 4 9" xfId="1067" xr:uid="{68634003-2681-49BA-B4B4-E22C045EBB41}"/>
    <cellStyle name="Normal 7 4 2 2 2 5" xfId="1068" xr:uid="{1D1CFBCA-E3D9-418E-BD47-2C26DE562E54}"/>
    <cellStyle name="Normal 7 4 2 2 2 5 2" xfId="1069" xr:uid="{8FD09BA3-C276-42E2-8952-C62DFAC48397}"/>
    <cellStyle name="Normal 7 4 2 2 2 5 2 2" xfId="1070" xr:uid="{721BBDFB-405C-4E73-ACAC-F9D994A0A4F4}"/>
    <cellStyle name="Normal 7 4 2 2 2 5 2 2 2" xfId="1071" xr:uid="{01B46036-06B5-401C-9BFE-53C9F6E2F859}"/>
    <cellStyle name="Normal 7 4 2 2 2 5 2 2 3" xfId="1073" xr:uid="{E5637BF6-8BF1-4132-BBE4-AED2C4F96E62}"/>
    <cellStyle name="Normal 7 4 2 2 2 5 2 3" xfId="1075" xr:uid="{06B687AF-E75B-4CBE-BA8D-573C072679FA}"/>
    <cellStyle name="Normal 7 4 2 2 2 5 2 4" xfId="1076" xr:uid="{45606CEA-EC56-4884-BD9E-FAAA4F1538E6}"/>
    <cellStyle name="Normal 7 4 2 2 2 5 2 5" xfId="1077" xr:uid="{8EB1C09C-8A98-455E-8DE8-5DF98FC60D5A}"/>
    <cellStyle name="Normal 7 4 2 2 2 5 2 6" xfId="1078" xr:uid="{169B817E-E5D5-4D9B-BD0D-1B09324E479D}"/>
    <cellStyle name="Normal 7 4 2 2 2 5 3" xfId="426" xr:uid="{F8A61E89-8C05-401F-9546-B1FDEC65164C}"/>
    <cellStyle name="Normal 7 4 2 2 2 5 3 2" xfId="428" xr:uid="{898B3EE5-0C95-4B7B-8D5A-1EB1C1DAFA18}"/>
    <cellStyle name="Normal 7 4 2 2 2 5 3 3" xfId="416" xr:uid="{7901B825-32BB-4836-B5F5-B3D9766B53AC}"/>
    <cellStyle name="Normal 7 4 2 2 2 5 4" xfId="430" xr:uid="{8632C3E1-622C-48BA-8F41-EB5FCD9EDE8E}"/>
    <cellStyle name="Normal 7 4 2 2 2 5 4 2" xfId="1079" xr:uid="{EB227E30-92BA-4E94-917C-6EE75A78F900}"/>
    <cellStyle name="Normal 7 4 2 2 2 5 4 3" xfId="1080" xr:uid="{8333377B-69BE-4A30-A25A-397B34F2F8C2}"/>
    <cellStyle name="Normal 7 4 2 2 2 5 5" xfId="432" xr:uid="{46436F2D-3448-4AC9-BA19-4CB6D061C6F2}"/>
    <cellStyle name="Normal 7 4 2 2 2 5 6" xfId="435" xr:uid="{ACB8822B-803A-447A-8ACA-56D6DCA6D98A}"/>
    <cellStyle name="Normal 7 4 2 2 2 5 7" xfId="438" xr:uid="{92D571FC-2B0B-472B-9AF4-E0FA8338EB79}"/>
    <cellStyle name="Normal 7 4 2 2 2 5 8" xfId="1081" xr:uid="{F5A6CBCD-4CDD-447C-A54B-C83BAB93CBDA}"/>
    <cellStyle name="Normal 7 4 2 2 2 6" xfId="1083" xr:uid="{47764AEC-5CDB-4FDB-A0F0-7B923124CB34}"/>
    <cellStyle name="Normal 7 4 2 2 2 6 2" xfId="1084" xr:uid="{4211C283-07B7-4C73-BD34-BCFB4077A9BE}"/>
    <cellStyle name="Normal 7 4 2 2 2 6 2 2" xfId="138" xr:uid="{C0EC311B-BBC4-4044-9B1A-11F7F6997203}"/>
    <cellStyle name="Normal 7 4 2 2 2 6 2 2 2" xfId="1085" xr:uid="{4C2D765A-B42F-46CF-80DF-140304D32028}"/>
    <cellStyle name="Normal 7 4 2 2 2 6 2 2 3" xfId="1087" xr:uid="{F1ACD088-FB38-481E-A124-1C3F0A790793}"/>
    <cellStyle name="Normal 7 4 2 2 2 6 2 3" xfId="140" xr:uid="{4B9CADC9-2BAB-4F13-B9A2-37B72A334E6D}"/>
    <cellStyle name="Normal 7 4 2 2 2 6 2 4" xfId="142" xr:uid="{0FAF74BC-6706-4620-BCA6-2D70B5FC6CBE}"/>
    <cellStyle name="Normal 7 4 2 2 2 6 2 5" xfId="144" xr:uid="{2ECAA46C-C1B2-460C-9DDA-4062315BBEEF}"/>
    <cellStyle name="Normal 7 4 2 2 2 6 2 6" xfId="1089" xr:uid="{ED1C0147-D51C-4D1E-A4A6-5492413C7795}"/>
    <cellStyle name="Normal 7 4 2 2 2 6 3" xfId="63" xr:uid="{A472B070-886F-41B2-999C-97CAF3ABFB85}"/>
    <cellStyle name="Normal 7 4 2 2 2 6 3 2" xfId="157" xr:uid="{3DEBD636-CFA6-4688-86B6-7393F35C79A6}"/>
    <cellStyle name="Normal 7 4 2 2 2 6 3 3" xfId="75" xr:uid="{A54E97BD-FF9C-4E24-9EE2-AA89365446F3}"/>
    <cellStyle name="Normal 7 4 2 2 2 6 4" xfId="441" xr:uid="{03EB126A-5FC2-4C42-991A-596BAA59D33E}"/>
    <cellStyle name="Normal 7 4 2 2 2 6 4 2" xfId="163" xr:uid="{05B29DD1-705D-42B3-AA3E-1F3E588C4D5E}"/>
    <cellStyle name="Normal 7 4 2 2 2 6 4 3" xfId="1090" xr:uid="{8115966E-CC35-493E-B7CF-00FE7DE2740D}"/>
    <cellStyle name="Normal 7 4 2 2 2 6 5" xfId="1091" xr:uid="{DFCFC9ED-B17E-4CA7-9D26-ECEC137AD2E0}"/>
    <cellStyle name="Normal 7 4 2 2 2 6 6" xfId="1092" xr:uid="{9C560978-5FE1-4EC7-81F2-28F9B25847EB}"/>
    <cellStyle name="Normal 7 4 2 2 2 6 7" xfId="1095" xr:uid="{3F657115-CF88-4149-950C-0D263BEC95FA}"/>
    <cellStyle name="Normal 7 4 2 2 2 6 8" xfId="1098" xr:uid="{8A395D09-722B-46CA-A8DD-6CB74348FDA7}"/>
    <cellStyle name="Normal 7 4 2 2 2 7" xfId="1100" xr:uid="{DB63D1C3-8945-42D8-BC25-11C489E78791}"/>
    <cellStyle name="Normal 7 4 2 2 2 7 2" xfId="111" xr:uid="{D2BFA2FC-512F-49DF-8EDA-07A7BD8AE4D5}"/>
    <cellStyle name="Normal 7 4 2 2 2 7 2 2" xfId="54" xr:uid="{49E9FAB1-79E6-4BA6-A34F-B8C322293435}"/>
    <cellStyle name="Normal 7 4 2 2 2 7 2 2 2" xfId="1101" xr:uid="{F814C09F-EF52-4FAA-ADAF-4A3244CF8AAB}"/>
    <cellStyle name="Normal 7 4 2 2 2 7 2 2 3" xfId="1103" xr:uid="{AE8D8DE8-E67A-4E0F-8934-197E0FF28428}"/>
    <cellStyle name="Normal 7 4 2 2 2 7 2 3" xfId="956" xr:uid="{F76F382C-F2AE-43E4-8AF4-5592495E20B8}"/>
    <cellStyle name="Normal 7 4 2 2 2 7 2 4" xfId="958" xr:uid="{48061E9E-AE08-4AF1-870A-DBEF25417865}"/>
    <cellStyle name="Normal 7 4 2 2 2 7 2 5" xfId="960" xr:uid="{2DE7D56D-C78B-477E-854F-3C9D7753C98C}"/>
    <cellStyle name="Normal 7 4 2 2 2 7 2 6" xfId="1104" xr:uid="{C573192A-72EF-4CC2-9428-C04DC3BF5F80}"/>
    <cellStyle name="Normal 7 4 2 2 2 7 3" xfId="114" xr:uid="{8405EF1C-9D9E-4546-BD93-53EE05A3C31A}"/>
    <cellStyle name="Normal 7 4 2 2 2 7 3 2" xfId="977" xr:uid="{5D321636-1BEA-4842-AE61-E2E857F10B26}"/>
    <cellStyle name="Normal 7 4 2 2 2 7 3 3" xfId="979" xr:uid="{2E9A7017-D0B0-4689-882B-D30E892028DF}"/>
    <cellStyle name="Normal 7 4 2 2 2 7 4" xfId="117" xr:uid="{CE5719C8-9A3F-4A22-97E9-09995731F5FF}"/>
    <cellStyle name="Normal 7 4 2 2 2 7 4 2" xfId="1105" xr:uid="{3460D661-B28B-497D-853A-EF4332E1FC1D}"/>
    <cellStyle name="Normal 7 4 2 2 2 7 4 3" xfId="1106" xr:uid="{2942F0CF-018F-4C21-B356-340FDF18EDE7}"/>
    <cellStyle name="Normal 7 4 2 2 2 7 5" xfId="1107" xr:uid="{4ABFE9C3-39FA-4F33-B45C-0E858B7676D9}"/>
    <cellStyle name="Normal 7 4 2 2 2 7 6" xfId="1108" xr:uid="{CF493280-85CB-4347-98D7-6A359A286CA2}"/>
    <cellStyle name="Normal 7 4 2 2 2 7 7" xfId="1110" xr:uid="{C1987093-F6DC-4B85-9F7B-50756356E2F3}"/>
    <cellStyle name="Normal 7 4 2 2 2 7 8" xfId="1112" xr:uid="{B1908455-5193-441F-916D-A8F5BC8F1BD5}"/>
    <cellStyle name="Normal 7 4 2 2 2 8" xfId="1114" xr:uid="{4790401C-9D3B-4ECD-BF6B-C8B6446693D8}"/>
    <cellStyle name="Normal 7 4 2 2 2 8 10" xfId="1115" xr:uid="{67C9327D-8BCC-4742-9CC2-097B6536A7F2}"/>
    <cellStyle name="Normal 7 4 2 2 2 8 11" xfId="1116" xr:uid="{34F40FC1-96D5-4EA8-8DCA-1AFF7CF7C3E4}"/>
    <cellStyle name="Normal 7 4 2 2 2 8 12" xfId="6" xr:uid="{D32F2CD7-9E7D-4CAF-9E20-CC528AC41965}"/>
    <cellStyle name="Normal 7 4 2 2 2 8 2" xfId="1119" xr:uid="{56B791AA-D418-44DA-8905-BE1056A45021}"/>
    <cellStyle name="Normal 7 4 2 2 2 8 2 2" xfId="189" xr:uid="{E8ED5F1F-6312-40D9-9902-54C5B56BC60C}"/>
    <cellStyle name="Normal 7 4 2 2 2 8 2 2 2" xfId="1120" xr:uid="{0FAF6208-CA1F-407F-A8B3-96233025E263}"/>
    <cellStyle name="Normal 7 4 2 2 2 8 2 2 3" xfId="1121" xr:uid="{773E15E0-641C-42C4-97D3-D24DAB53A2AB}"/>
    <cellStyle name="Normal 7 4 2 2 2 8 2 3" xfId="1122" xr:uid="{0E4E6572-28AA-4991-8B62-27B9859484DC}"/>
    <cellStyle name="Normal 7 4 2 2 2 8 2 4" xfId="1123" xr:uid="{8F327309-6B3F-4E2E-B3B4-A1DE1167300D}"/>
    <cellStyle name="Normal 7 4 2 2 2 8 2 5" xfId="1124" xr:uid="{E1994013-DEBF-4D79-8D64-AE8A02910E46}"/>
    <cellStyle name="Normal 7 4 2 2 2 8 2 6" xfId="1126" xr:uid="{AD7EF2AD-DF05-463B-9E7E-54CF0E21C6E7}"/>
    <cellStyle name="Normal 7 4 2 2 2 8 3" xfId="1128" xr:uid="{8121534A-15A4-41FF-9719-C4EA88354684}"/>
    <cellStyle name="Normal 7 4 2 2 2 8 3 2" xfId="1129" xr:uid="{64E67CCE-8B72-44DD-BB9D-A75D7FD3C0EA}"/>
    <cellStyle name="Normal 7 4 2 2 2 8 3 2 2" xfId="1130" xr:uid="{23777779-8A31-4293-9C69-1B9CFC09852B}"/>
    <cellStyle name="Normal 7 4 2 2 2 8 3 2 3" xfId="1132" xr:uid="{146FC3EB-7B27-43F5-AEE0-60C6818CAF04}"/>
    <cellStyle name="Normal 7 4 2 2 2 8 3 3" xfId="1133" xr:uid="{127ED38A-DDDE-46F2-A83D-A2C2A70574F3}"/>
    <cellStyle name="Normal 7 4 2 2 2 8 3 4" xfId="1135" xr:uid="{5D060046-7A49-4C06-829F-AE63C75C9109}"/>
    <cellStyle name="Normal 7 4 2 2 2 8 3 5" xfId="1136" xr:uid="{03C80D66-B4DA-4F39-AC10-DBD9FA4BFD5D}"/>
    <cellStyle name="Normal 7 4 2 2 2 8 3 6" xfId="1138" xr:uid="{FE86E8CB-8BFD-4B7D-804D-405A9319B5A9}"/>
    <cellStyle name="Normal 7 4 2 2 2 8 3 7" xfId="1140" xr:uid="{AE6E09B0-B91E-4F1F-85FA-51E701FB70A3}"/>
    <cellStyle name="Normal 7 4 2 2 2 8 3 8" xfId="9" xr:uid="{680AD04D-190A-4D52-8A96-E4D96F7B75BD}"/>
    <cellStyle name="Normal 7 4 2 2 2 8 4" xfId="1141" xr:uid="{F0E2D422-C57D-41E4-9385-9BFD7299E6AD}"/>
    <cellStyle name="Normal 7 4 2 2 2 8 4 2" xfId="1142" xr:uid="{DFE8E0FC-A17A-4A22-A6F8-F0BF0CB09023}"/>
    <cellStyle name="Normal 7 4 2 2 2 8 4 3" xfId="1143" xr:uid="{2073E696-F94D-4A12-B673-14689323D4AF}"/>
    <cellStyle name="Normal 7 4 2 2 2 8 5" xfId="1144" xr:uid="{37D3715E-4B89-4D5A-AADF-A6F295BDB076}"/>
    <cellStyle name="Normal 7 4 2 2 2 8 5 2" xfId="1145" xr:uid="{27D3F7CF-E9CE-4633-979D-0A6DBAA38D91}"/>
    <cellStyle name="Normal 7 4 2 2 2 8 5 3" xfId="1146" xr:uid="{CCADFCC1-D4EB-4901-9D7E-5B2362A9E08D}"/>
    <cellStyle name="Normal 7 4 2 2 2 8 6" xfId="1147" xr:uid="{3C15EA14-9226-40DA-BC77-760A9C48FBB9}"/>
    <cellStyle name="Normal 7 4 2 2 2 8 6 2" xfId="805" xr:uid="{0E694FA3-AF3A-46E9-8344-3F0FFE3ED14F}"/>
    <cellStyle name="Normal 7 4 2 2 2 8 6 3" xfId="810" xr:uid="{A9C0526D-92B8-4AD3-848D-70EC49852FAF}"/>
    <cellStyle name="Normal 7 4 2 2 2 8 7" xfId="1148" xr:uid="{397B13E6-1332-4DC2-9A47-B31006536929}"/>
    <cellStyle name="Normal 7 4 2 2 2 8 8" xfId="1149" xr:uid="{B6B09D26-0C98-4711-A20C-65DB3E23A41F}"/>
    <cellStyle name="Normal 7 4 2 2 2 8 9" xfId="1150" xr:uid="{06AEBC50-2E57-4790-8EDF-8BF8E0F38E61}"/>
    <cellStyle name="Normal 7 4 2 2 2 9" xfId="1151" xr:uid="{62DE1DB8-7E5B-4231-91B1-4F7B479275CE}"/>
    <cellStyle name="Normal 7 4 2 2 2 9 2" xfId="1152" xr:uid="{0C115ED4-1933-44E6-B939-01DA80BF1824}"/>
    <cellStyle name="Normal 7 4 2 2 2 9 2 2" xfId="1153" xr:uid="{1B8B3BC1-5FF8-439E-BCDD-1AAC74A081A0}"/>
    <cellStyle name="Normal 7 4 2 2 2 9 2 3" xfId="1154" xr:uid="{5AF6066B-592C-440D-8406-6175C67574F7}"/>
    <cellStyle name="Normal 7 4 2 2 2 9 3" xfId="1155" xr:uid="{449AE737-502F-4B3A-8518-6633376EFB71}"/>
    <cellStyle name="Normal 7 4 2 2 2 9 4" xfId="1156" xr:uid="{3C753713-B5C0-4467-A85E-603B931027E9}"/>
    <cellStyle name="Normal 7 4 2 2 2 9 5" xfId="1157" xr:uid="{9670BCE9-D450-49F9-BBA1-9B25E69AEEFA}"/>
    <cellStyle name="Normal 7 4 2 2 2 9 6" xfId="1158" xr:uid="{FF9A8A26-ECB1-4D2F-8CE7-C6CD866DEA53}"/>
    <cellStyle name="Normal 7 4 2 2 3" xfId="1159" xr:uid="{BB76E80D-F7B4-4FC6-A4FC-4BA9092AD066}"/>
    <cellStyle name="Normal 7 4 2 2 3 2" xfId="1160" xr:uid="{6BAC0A6F-7A42-4D14-B5B5-3B45BF89B071}"/>
    <cellStyle name="Normal 7 4 2 2 3 2 2" xfId="1161" xr:uid="{5746E90B-6FE5-43EA-98E5-EA69EC0763A7}"/>
    <cellStyle name="Normal 7 4 2 2 3 2 3" xfId="1162" xr:uid="{713B718F-78BC-4BCE-9094-99985A0283C5}"/>
    <cellStyle name="Normal 7 4 2 2 3 3" xfId="1163" xr:uid="{118934F2-E7D6-4251-B3D6-08752313B666}"/>
    <cellStyle name="Normal 7 4 2 2 3 3 2" xfId="1164" xr:uid="{3E46153E-3985-44BB-980A-FC6A961988DA}"/>
    <cellStyle name="Normal 7 4 2 2 3 3 3" xfId="1166" xr:uid="{3CD64FDE-1C7B-434E-8A24-5D3209AB30E1}"/>
    <cellStyle name="Normal 7 4 2 2 3 4" xfId="1167" xr:uid="{8415DA5E-88E5-4991-A487-3ED613A1E0AC}"/>
    <cellStyle name="Normal 7 4 2 2 3 5" xfId="1168" xr:uid="{4540BB08-70D5-46B0-89BE-2307774215AE}"/>
    <cellStyle name="Normal 7 4 2 2 3 6" xfId="1170" xr:uid="{6FF04756-B12B-4467-B66D-3618541E4422}"/>
    <cellStyle name="Normal 7 4 2 2 3 7" xfId="1172" xr:uid="{02972E8B-2A13-45B0-90DC-0376BD22F0CB}"/>
    <cellStyle name="Normal 7 4 2 2 4" xfId="1173" xr:uid="{96B8D6C7-8F6E-41C3-AF98-7A5EE2B92D26}"/>
    <cellStyle name="Normal 7 4 2 2 4 2" xfId="1174" xr:uid="{E2DFDD65-00CD-4613-AB71-42613439E109}"/>
    <cellStyle name="Normal 7 4 2 2 4 3" xfId="1175" xr:uid="{6D8538D7-524B-41A2-978C-C71977BD24D3}"/>
    <cellStyle name="Normal 7 4 2 2 5" xfId="1176" xr:uid="{4C26C2A4-0A52-499E-8476-2E5261BC9EA5}"/>
    <cellStyle name="Normal 7 4 2 2 6" xfId="1177" xr:uid="{0902264A-1CF7-4EC2-8A2E-A4E2BBA6B340}"/>
    <cellStyle name="Normal 7 4 2 3" xfId="1178" xr:uid="{1F964806-BFCE-4DEC-855F-153E558173BE}"/>
    <cellStyle name="Normal 7 4 2 3 2" xfId="447" xr:uid="{962EA7A3-0F2F-4A71-9E56-59CE7A5E94B3}"/>
    <cellStyle name="Normal 7 4 2 3 2 2" xfId="1179" xr:uid="{62DF4E74-6391-43EE-AA6E-67F025872DA8}"/>
    <cellStyle name="Normal 7 4 2 3 2 3" xfId="1180" xr:uid="{55390417-33D7-4F4E-A7CE-CD6CD1C12E1C}"/>
    <cellStyle name="Normal 7 4 2 3 3" xfId="1181" xr:uid="{0AC2174C-0E51-4F7A-B344-A87CC2D83B81}"/>
    <cellStyle name="Normal 7 4 2 3 4" xfId="1182" xr:uid="{3F42F70D-56DE-4A60-A2A1-4417E85F188D}"/>
    <cellStyle name="Normal 7 4 2 3 5" xfId="1183" xr:uid="{6FD9A2AA-293E-4078-9411-1F0528DEAD62}"/>
    <cellStyle name="Normal 7 4 2 3 6" xfId="1184" xr:uid="{38AC4CDB-BE8C-4436-9164-94A34B513CB4}"/>
    <cellStyle name="Normal 7 4 2 4" xfId="1185" xr:uid="{C7C08B1F-565D-4DA9-9F9A-E01DE4EF3F32}"/>
    <cellStyle name="Normal 7 4 2 4 2" xfId="1186" xr:uid="{853E9861-863F-4B60-AA24-EBD2DBF2A21D}"/>
    <cellStyle name="Normal 7 4 2 4 2 2" xfId="1187" xr:uid="{E6992EB3-F0A8-4640-8DED-9A24DC8A8D0B}"/>
    <cellStyle name="Normal 7 4 2 4 2 3" xfId="1188" xr:uid="{972793FF-578E-4291-9704-CF51A5159767}"/>
    <cellStyle name="Normal 7 4 2 4 3" xfId="1189" xr:uid="{2346CAAB-0893-4A4B-A841-0C63C32E1981}"/>
    <cellStyle name="Normal 7 4 2 4 4" xfId="1190" xr:uid="{96EDDC9E-906D-4557-8E6D-DD3E2007B1EA}"/>
    <cellStyle name="Normal 7 4 2 4 5" xfId="1191" xr:uid="{B9A8066E-9C05-4295-83D1-76808D65566F}"/>
    <cellStyle name="Normal 7 4 2 4 6" xfId="1192" xr:uid="{EB86187B-C6B7-4CF5-8AF7-FE97081BA1DB}"/>
    <cellStyle name="Normal 7 4 2 5" xfId="1193" xr:uid="{367DF9F2-A504-42C7-80AF-EA32AE131312}"/>
    <cellStyle name="Normal 7 4 2 5 2" xfId="1194" xr:uid="{2E6386A5-CBD9-4A56-BF57-122B370B0541}"/>
    <cellStyle name="Normal 7 4 2 5 3" xfId="1195" xr:uid="{ECDBAF46-AA83-4770-B5AE-C586B02AB656}"/>
    <cellStyle name="Normal 7 4 2 6" xfId="1196" xr:uid="{FC8AF66D-3136-4AC8-8BA9-97EF3153BABD}"/>
    <cellStyle name="Normal 7 4 2 6 2" xfId="101" xr:uid="{9339A731-C4FB-443F-942D-9E45DEFED632}"/>
    <cellStyle name="Normal 7 4 2 6 3" xfId="551" xr:uid="{65746ED3-028B-488F-AEE2-B2888A3E6DA5}"/>
    <cellStyle name="Normal 7 4 2 7" xfId="1197" xr:uid="{C4D7124C-47E3-4CA9-B016-B4B47D5170BD}"/>
    <cellStyle name="Normal 7 4 2 8" xfId="1198" xr:uid="{9927CFD5-C9EB-4006-AFCA-A416C13B7176}"/>
    <cellStyle name="Normal 7 4 2 9" xfId="1199" xr:uid="{205D0ABD-F12E-4A93-A279-7B8285BDFD9B}"/>
    <cellStyle name="Normal 7 4 3" xfId="1200" xr:uid="{6653E886-6C33-4D79-853E-5AA0C247A539}"/>
    <cellStyle name="Normal 7 4 3 2" xfId="1201" xr:uid="{12568287-41B2-4C4B-AB3B-EE5F1D4E7CF5}"/>
    <cellStyle name="Normal 7 4 3 2 2" xfId="1202" xr:uid="{13BAB4A7-6562-4C52-9265-70F148B1A087}"/>
    <cellStyle name="Normal 7 4 3 2 3" xfId="1203" xr:uid="{AAA6B41C-F41A-4E1F-A806-DC9001FB9793}"/>
    <cellStyle name="Normal 7 4 3 3" xfId="48" xr:uid="{128F9593-29DA-4B15-B963-7256B15C34EC}"/>
    <cellStyle name="Normal 7 4 3 4" xfId="35" xr:uid="{FB6C4ACD-B092-4107-9104-351A7B12C07A}"/>
    <cellStyle name="Normal 7 4 3 5" xfId="23" xr:uid="{61D6EE8F-4F45-4AC2-9653-B50D7B0ECFA0}"/>
    <cellStyle name="Normal 7 4 3 6" xfId="53" xr:uid="{675FBAD8-9998-4064-B706-724416E8C0E0}"/>
    <cellStyle name="Normal 7 4 4" xfId="1204" xr:uid="{2E9CDE4E-7234-4A72-9801-54FD9225738A}"/>
    <cellStyle name="Normal 7 4 4 2" xfId="720" xr:uid="{1E17CACA-1962-45E5-A2F9-B16AC67DB3E5}"/>
    <cellStyle name="Normal 7 4 4 2 2" xfId="1205" xr:uid="{E1C23740-6188-4D8B-9B78-34057DD1447A}"/>
    <cellStyle name="Normal 7 4 4 2 3" xfId="1206" xr:uid="{52AB5446-05DE-4C1A-A338-DC460DB8EFD7}"/>
    <cellStyle name="Normal 7 4 4 3" xfId="722" xr:uid="{0702A07D-33A4-4447-9295-40C35D4B5246}"/>
    <cellStyle name="Normal 7 4 4 4" xfId="724" xr:uid="{6C12AA03-58A6-47C9-B327-E165606295FE}"/>
    <cellStyle name="Normal 7 4 4 5" xfId="726" xr:uid="{C0D4B564-C581-43AA-AA9B-F9172148A4DE}"/>
    <cellStyle name="Normal 7 4 4 6" xfId="1207" xr:uid="{4C19047A-9356-40C0-A2EC-4D843EB1AA82}"/>
    <cellStyle name="Normal 7 4 5" xfId="1208" xr:uid="{BEAD17E8-BD93-430D-BCAD-F949A7374D2F}"/>
    <cellStyle name="Normal 7 4 5 2" xfId="732" xr:uid="{7708A4F3-7EAF-4902-9595-C804AA9B61CA}"/>
    <cellStyle name="Normal 7 4 5 3" xfId="1209" xr:uid="{3F07DB72-53EA-4A85-B9D3-1011AF0320B0}"/>
    <cellStyle name="Normal 7 4 6" xfId="1210" xr:uid="{6E95E0AF-88AA-4ADD-886D-39DBF211642B}"/>
    <cellStyle name="Normal 7 4 6 2" xfId="737" xr:uid="{6DF10E10-2451-4DD5-A9EA-302E2B06BFA5}"/>
    <cellStyle name="Normal 7 4 6 3" xfId="1211" xr:uid="{33EE34B4-AFF0-47F9-AA70-21848681154C}"/>
    <cellStyle name="Normal 7 4 7" xfId="1212" xr:uid="{984A83E8-F19F-4F0F-B78E-7F8C93CB1A41}"/>
    <cellStyle name="Normal 7 4 8" xfId="1213" xr:uid="{E804007D-9D51-4D73-9377-77CE7FC7EF15}"/>
    <cellStyle name="Normal 7 4 9" xfId="1214" xr:uid="{C29B5802-7373-4734-B5DA-2AC1AEFB3DB7}"/>
    <cellStyle name="Normal 7 5" xfId="1215" xr:uid="{08A7426A-947D-46C4-9D56-B826B24092F6}"/>
    <cellStyle name="Normal 7 5 10" xfId="1093" xr:uid="{C7FD81F3-35EE-45EE-9A3B-94A84F69D767}"/>
    <cellStyle name="Normal 7 5 11" xfId="1096" xr:uid="{1F29C76E-BF64-4864-9393-6CD42A852AFB}"/>
    <cellStyle name="Normal 7 5 12" xfId="1099" xr:uid="{C92BFE4B-CEED-433E-A8E6-0AC7D16EFFF7}"/>
    <cellStyle name="Normal 7 5 13" xfId="1216" xr:uid="{16207BB1-953F-4D1C-A6FE-F2FE57D7E047}"/>
    <cellStyle name="Normal 7 5 2" xfId="1217" xr:uid="{FEDE06C9-E070-4C04-9B34-89FD25362919}"/>
    <cellStyle name="Normal 7 5 2 10" xfId="311" xr:uid="{C2C23D0F-0595-46EE-8F0F-C10240480B2B}"/>
    <cellStyle name="Normal 7 5 2 2" xfId="1218" xr:uid="{4CA0A3A2-DFEF-4FE7-BF35-AD943C34E14F}"/>
    <cellStyle name="Normal 7 5 2 2 2" xfId="1219" xr:uid="{DC75E624-25E6-4D31-8221-7DF4ED25DEBE}"/>
    <cellStyle name="Normal 7 5 2 2 2 2" xfId="1221" xr:uid="{6EEDFF14-405E-4158-8FF7-573E3EF76601}"/>
    <cellStyle name="Normal 7 5 2 2 2 2 2" xfId="1222" xr:uid="{6F0D7D40-FB29-44E8-AA8B-11DE3C00962E}"/>
    <cellStyle name="Normal 7 5 2 2 2 2 3" xfId="1223" xr:uid="{4D14AD3C-6561-47A7-8BD6-E6A47238D477}"/>
    <cellStyle name="Normal 7 5 2 2 2 3" xfId="1224" xr:uid="{577BE109-EF10-4B71-BFC9-35ADD762C9CE}"/>
    <cellStyle name="Normal 7 5 2 2 2 4" xfId="1225" xr:uid="{4CEDF3F0-58A8-401E-A153-2FBC81059523}"/>
    <cellStyle name="Normal 7 5 2 2 2 5" xfId="1226" xr:uid="{EC2A6FDE-A50C-410C-A400-9B9958271B61}"/>
    <cellStyle name="Normal 7 5 2 2 2 6" xfId="1227" xr:uid="{2FC3B09B-4115-4A14-8EB5-FB5939225B08}"/>
    <cellStyle name="Normal 7 5 2 2 3" xfId="1228" xr:uid="{43923E43-C22F-4778-B399-F5501003F3F8}"/>
    <cellStyle name="Normal 7 5 2 2 3 2" xfId="1229" xr:uid="{014AF7E5-B33B-4E91-AFDF-6A0B560154B8}"/>
    <cellStyle name="Normal 7 5 2 2 3 2 2" xfId="310" xr:uid="{B1F6D92A-F0B1-45B4-9316-E5E99D62639F}"/>
    <cellStyle name="Normal 7 5 2 2 3 2 3" xfId="318" xr:uid="{5D290C27-7569-44AC-9AE3-8D262F59B48F}"/>
    <cellStyle name="Normal 7 5 2 2 3 3" xfId="833" xr:uid="{26B76CB2-6891-4D70-BC93-7C9F9789D3E2}"/>
    <cellStyle name="Normal 7 5 2 2 3 4" xfId="839" xr:uid="{08D77D81-4BDA-44B5-8E67-C7A30E38451B}"/>
    <cellStyle name="Normal 7 5 2 2 3 5" xfId="844" xr:uid="{F4D31AE9-A4F3-4AA0-8F42-90380667F013}"/>
    <cellStyle name="Normal 7 5 2 2 3 6" xfId="848" xr:uid="{1F262836-884D-4638-98E2-75D7DA45C6B9}"/>
    <cellStyle name="Normal 7 5 2 2 4" xfId="1230" xr:uid="{7F9D3DF1-DDAF-48D4-B214-6F8AC2A12B48}"/>
    <cellStyle name="Normal 7 5 2 2 4 2" xfId="1231" xr:uid="{220ABB8A-1E01-4AE2-B86B-3B58C996106E}"/>
    <cellStyle name="Normal 7 5 2 2 4 3" xfId="856" xr:uid="{F16177C4-423C-4CD7-826B-FB78B39F3433}"/>
    <cellStyle name="Normal 7 5 2 2 5" xfId="1232" xr:uid="{29EA4BB1-F105-40A2-8E88-D1216E531902}"/>
    <cellStyle name="Normal 7 5 2 2 5 2" xfId="1234" xr:uid="{2C6EAB3D-1459-49AD-A21D-062C963B28E2}"/>
    <cellStyle name="Normal 7 5 2 2 5 3" xfId="863" xr:uid="{FD1E56BF-D095-4A49-AE5C-A5126CBAF979}"/>
    <cellStyle name="Normal 7 5 2 2 6" xfId="1236" xr:uid="{0A69FF48-F2C3-47B8-97F4-4539EA5C9281}"/>
    <cellStyle name="Normal 7 5 2 2 7" xfId="1238" xr:uid="{0C469BA1-19AB-429B-9EA1-3CA3D123C539}"/>
    <cellStyle name="Normal 7 5 2 2 8" xfId="1240" xr:uid="{C7DAAB6B-00EE-4EC7-959A-317E863F92D3}"/>
    <cellStyle name="Normal 7 5 2 2 9" xfId="1243" xr:uid="{A1C309D3-D807-420C-BF94-C7B5DD6DF0E5}"/>
    <cellStyle name="Normal 7 5 2 3" xfId="1246" xr:uid="{FE8AEA90-196D-4726-877B-E01AC8578E4D}"/>
    <cellStyle name="Normal 7 5 2 3 2" xfId="1247" xr:uid="{FB097B98-A5EE-4BA1-B22D-E602BD6F93F2}"/>
    <cellStyle name="Normal 7 5 2 3 2 2" xfId="1249" xr:uid="{07EAA6ED-A3C9-41BE-BF27-FAA6D072294D}"/>
    <cellStyle name="Normal 7 5 2 3 2 3" xfId="1251" xr:uid="{8726C7A4-25CD-4AC6-9760-B4A75F528BF3}"/>
    <cellStyle name="Normal 7 5 2 3 3" xfId="1252" xr:uid="{302F8701-512A-4257-AF40-4BA5C7C7167F}"/>
    <cellStyle name="Normal 7 5 2 3 4" xfId="1253" xr:uid="{16E245BA-4A86-4559-8778-287D33B7F88E}"/>
    <cellStyle name="Normal 7 5 2 3 5" xfId="714" xr:uid="{9CCDD5C4-C653-4BAF-AE5D-ECCE2A4AFAD8}"/>
    <cellStyle name="Normal 7 5 2 3 6" xfId="728" xr:uid="{5FE31177-0C2F-4A36-823F-898ABDAB8A35}"/>
    <cellStyle name="Normal 7 5 2 4" xfId="1254" xr:uid="{C171A2AA-24B3-4104-8802-B60876ED82CD}"/>
    <cellStyle name="Normal 7 5 2 4 2" xfId="1255" xr:uid="{673F4B55-3151-4EAC-BC76-0331FB3F24BF}"/>
    <cellStyle name="Normal 7 5 2 4 2 2" xfId="1256" xr:uid="{70F40443-72B6-49BC-8E6B-D40DAF9252BE}"/>
    <cellStyle name="Normal 7 5 2 4 2 3" xfId="1257" xr:uid="{AFC49A7A-5A46-4D1E-82FA-816BAEE4A3DC}"/>
    <cellStyle name="Normal 7 5 2 4 3" xfId="1258" xr:uid="{70E53E34-5509-4764-8706-BD521A82F444}"/>
    <cellStyle name="Normal 7 5 2 4 4" xfId="1259" xr:uid="{689167F0-BA19-4D69-BA61-09A6BF009A81}"/>
    <cellStyle name="Normal 7 5 2 4 5" xfId="747" xr:uid="{7CCF7FFF-1C8C-47B3-BAEB-E21A289DD3DF}"/>
    <cellStyle name="Normal 7 5 2 4 6" xfId="761" xr:uid="{5E5401E9-57FF-4800-B508-707C941F12D7}"/>
    <cellStyle name="Normal 7 5 2 5" xfId="1260" xr:uid="{FF6E036D-0E5A-4034-B02A-82FE07DBDD78}"/>
    <cellStyle name="Normal 7 5 2 5 2" xfId="1261" xr:uid="{823EF40C-4AB5-4893-823C-05DE1B4FAD5B}"/>
    <cellStyle name="Normal 7 5 2 5 3" xfId="1262" xr:uid="{3455052A-01D4-4808-83FA-6434AF12AAF3}"/>
    <cellStyle name="Normal 7 5 2 6" xfId="1263" xr:uid="{4607B0F3-8CD0-40C3-8AFC-77C51E287F96}"/>
    <cellStyle name="Normal 7 5 2 6 2" xfId="1264" xr:uid="{18CED5F9-6372-4469-8557-A4405BD1423C}"/>
    <cellStyle name="Normal 7 5 2 6 3" xfId="1265" xr:uid="{B6386B57-EE82-451F-88B1-002CC2B64B0C}"/>
    <cellStyle name="Normal 7 5 2 7" xfId="1266" xr:uid="{E3556F2D-306E-496A-9C4C-CCAF2CA24FC3}"/>
    <cellStyle name="Normal 7 5 2 8" xfId="1267" xr:uid="{B8BDEB8C-1CA9-4F72-AB85-88EF30C9BDFA}"/>
    <cellStyle name="Normal 7 5 2 9" xfId="1268" xr:uid="{DA30FBBF-AABA-4463-BC3D-9BF9DAD2A45A}"/>
    <cellStyle name="Normal 7 5 3" xfId="1269" xr:uid="{B9719F41-0144-4B55-9906-47B959F576F0}"/>
    <cellStyle name="Normal 7 5 3 10" xfId="1270" xr:uid="{52864364-FFE5-45FF-8A9D-CC681051C065}"/>
    <cellStyle name="Normal 7 5 3 2" xfId="1271" xr:uid="{3D3C73B6-EBDA-4F54-AD89-34B0584318FE}"/>
    <cellStyle name="Normal 7 5 3 2 2" xfId="1272" xr:uid="{7F60890B-F9B1-4775-B013-5B0B1F042982}"/>
    <cellStyle name="Normal 7 5 3 2 2 2" xfId="1273" xr:uid="{8337FE5B-7D72-4C24-8193-60CC9C012D39}"/>
    <cellStyle name="Normal 7 5 3 2 2 2 2" xfId="1274" xr:uid="{46AB4740-7A6E-47F5-B28F-F5B7111FA89F}"/>
    <cellStyle name="Normal 7 5 3 2 2 2 3" xfId="1131" xr:uid="{E2E7CAB3-84A7-49CB-9469-FDD5D0B625F0}"/>
    <cellStyle name="Normal 7 5 3 2 2 3" xfId="1275" xr:uid="{92612435-1496-41BF-A047-FCFFB955295A}"/>
    <cellStyle name="Normal 7 5 3 2 2 4" xfId="1276" xr:uid="{521E5B09-F0CA-4C00-B819-96CC1CC51791}"/>
    <cellStyle name="Normal 7 5 3 2 2 5" xfId="1277" xr:uid="{F228735F-A842-4CB1-BC4D-E6FB69E4D229}"/>
    <cellStyle name="Normal 7 5 3 2 2 6" xfId="1278" xr:uid="{85F5F84C-00AD-47AC-85F7-73F5D669A713}"/>
    <cellStyle name="Normal 7 5 3 2 3" xfId="1279" xr:uid="{54F86A45-7D08-452A-8CD1-159CF0701378}"/>
    <cellStyle name="Normal 7 5 3 2 3 2" xfId="153" xr:uid="{86424D93-8E0D-4859-9A6B-D3BDEDE32BEA}"/>
    <cellStyle name="Normal 7 5 3 2 3 2 2" xfId="1280" xr:uid="{9981F9E8-1699-4699-8380-934A50A82D9D}"/>
    <cellStyle name="Normal 7 5 3 2 3 2 3" xfId="1281" xr:uid="{662072C0-0567-4196-AD97-B70C1976AF5C}"/>
    <cellStyle name="Normal 7 5 3 2 3 3" xfId="1282" xr:uid="{54DE7997-5071-451A-990C-0C4029EE4BCE}"/>
    <cellStyle name="Normal 7 5 3 2 3 4" xfId="1284" xr:uid="{818C549E-D34D-4183-8969-86B21A090117}"/>
    <cellStyle name="Normal 7 5 3 2 3 5" xfId="1286" xr:uid="{A11DD4DD-767A-4173-A755-7D61C740E7B5}"/>
    <cellStyle name="Normal 7 5 3 2 3 6" xfId="1287" xr:uid="{F1BC7CF4-7CEF-443B-BF38-824B04BF0031}"/>
    <cellStyle name="Normal 7 5 3 2 4" xfId="1288" xr:uid="{65FA9129-ED4D-48D5-9916-E5F228DBFAB0}"/>
    <cellStyle name="Normal 7 5 3 2 4 2" xfId="1289" xr:uid="{E567BF30-1CAF-44C7-B02E-F19375F88420}"/>
    <cellStyle name="Normal 7 5 3 2 4 3" xfId="1290" xr:uid="{81248BA6-48F8-4A3B-8549-B2E9DB1242A9}"/>
    <cellStyle name="Normal 7 5 3 2 5" xfId="1291" xr:uid="{DD05DDE8-D8D0-4B56-B6F8-DE299301BFF6}"/>
    <cellStyle name="Normal 7 5 3 2 5 2" xfId="1292" xr:uid="{5327E570-AA17-4147-AEB7-80ABA9DACEEE}"/>
    <cellStyle name="Normal 7 5 3 2 5 3" xfId="1293" xr:uid="{6672C124-F879-415D-BCA1-1ABFCAA7BD8A}"/>
    <cellStyle name="Normal 7 5 3 2 6" xfId="1294" xr:uid="{017525D8-75AC-4A29-9135-C2AF0FCCE612}"/>
    <cellStyle name="Normal 7 5 3 2 7" xfId="1295" xr:uid="{D13F4C45-A0CB-4925-B997-6128D1BBE588}"/>
    <cellStyle name="Normal 7 5 3 2 8" xfId="1296" xr:uid="{7C440B72-C62F-4472-9B84-ED93BD570AE3}"/>
    <cellStyle name="Normal 7 5 3 2 9" xfId="877" xr:uid="{E23DCE9C-73D3-4F0A-B05F-660111136A17}"/>
    <cellStyle name="Normal 7 5 3 3" xfId="1297" xr:uid="{7B0AB17A-6D7B-44D6-9695-FE3B6E53C549}"/>
    <cellStyle name="Normal 7 5 3 3 2" xfId="1298" xr:uid="{96B7014A-268E-465C-9EFB-F387F31E65DF}"/>
    <cellStyle name="Normal 7 5 3 3 2 2" xfId="1299" xr:uid="{227589A8-B503-4214-B52B-F6355CDAB3EA}"/>
    <cellStyle name="Normal 7 5 3 3 2 3" xfId="1300" xr:uid="{D026010E-74AD-4EBD-A39C-FAC078135D85}"/>
    <cellStyle name="Normal 7 5 3 3 3" xfId="1301" xr:uid="{CC101725-ADEA-4AA8-9FD6-B2177CA530D8}"/>
    <cellStyle name="Normal 7 5 3 3 4" xfId="1302" xr:uid="{6797CF45-B6CE-4935-BA99-8340E1A344B9}"/>
    <cellStyle name="Normal 7 5 3 3 5" xfId="13" xr:uid="{4D61FF4A-F7AB-4223-8E71-589A5A81C2E6}"/>
    <cellStyle name="Normal 7 5 3 3 6" xfId="1303" xr:uid="{603FFF48-9D7A-4E5A-98B7-827B20314DF0}"/>
    <cellStyle name="Normal 7 5 3 4" xfId="1304" xr:uid="{CDED1B72-E944-466A-99EE-64F84E105D64}"/>
    <cellStyle name="Normal 7 5 3 4 2" xfId="1305" xr:uid="{8F9D2380-773D-4E5A-9BA5-C574A1DEE025}"/>
    <cellStyle name="Normal 7 5 3 4 2 2" xfId="1306" xr:uid="{EE5DDCA9-C97B-4A49-A986-1F084C186B07}"/>
    <cellStyle name="Normal 7 5 3 4 2 3" xfId="1307" xr:uid="{8A9B5B20-CD93-4292-AC1A-7EE6A1C3A985}"/>
    <cellStyle name="Normal 7 5 3 4 3" xfId="1308" xr:uid="{050EB141-BA61-4DAB-8D03-A6FC0779FDD9}"/>
    <cellStyle name="Normal 7 5 3 4 4" xfId="1309" xr:uid="{365F0EB0-F9DF-4650-8DC0-415B9EDD8DF7}"/>
    <cellStyle name="Normal 7 5 3 4 5" xfId="1310" xr:uid="{414A163C-404B-4CF3-92C3-F0E54FD3C63B}"/>
    <cellStyle name="Normal 7 5 3 4 6" xfId="1311" xr:uid="{32B74E25-E7E8-482E-A843-78C6E034DD94}"/>
    <cellStyle name="Normal 7 5 3 5" xfId="1312" xr:uid="{7C195E62-DD49-484C-9B28-9858A9E46510}"/>
    <cellStyle name="Normal 7 5 3 5 2" xfId="1313" xr:uid="{A04AF15D-1983-4B50-9FB0-6BA5C83F4D81}"/>
    <cellStyle name="Normal 7 5 3 5 3" xfId="1314" xr:uid="{8444BDF9-7750-49CC-99AE-AC8233F62E85}"/>
    <cellStyle name="Normal 7 5 3 6" xfId="1315" xr:uid="{9DAA0BF9-70A5-4D41-8E58-58401C4104F9}"/>
    <cellStyle name="Normal 7 5 3 6 2" xfId="1316" xr:uid="{CAB20DC1-908A-4ADC-A0A1-BEF58BF87F27}"/>
    <cellStyle name="Normal 7 5 3 6 3" xfId="1317" xr:uid="{0C1E20CE-AEB4-4417-8FE2-AE3F5884FF69}"/>
    <cellStyle name="Normal 7 5 3 7" xfId="1318" xr:uid="{FA7B9D48-132F-48CF-90BD-285742FE1F53}"/>
    <cellStyle name="Normal 7 5 3 8" xfId="1319" xr:uid="{6C501557-0090-45F0-8029-FF47EFEFF4C9}"/>
    <cellStyle name="Normal 7 5 3 9" xfId="1320" xr:uid="{284F1BDD-F403-4B0E-B99A-FDCC43F94033}"/>
    <cellStyle name="Normal 7 5 4" xfId="1321" xr:uid="{3B5CA92C-A575-451F-8F86-3A8D56683A19}"/>
    <cellStyle name="Normal 7 5 4 10" xfId="1322" xr:uid="{97789310-AB3F-40C2-82CA-1456999498C7}"/>
    <cellStyle name="Normal 7 5 4 2" xfId="753" xr:uid="{119A5E96-736B-4D13-83B1-2C8F8D6EC474}"/>
    <cellStyle name="Normal 7 5 4 2 2" xfId="1323" xr:uid="{108AB419-EED0-40DB-8B17-D871445275D6}"/>
    <cellStyle name="Normal 7 5 4 2 2 2" xfId="972" xr:uid="{2D7E9A3B-02BD-4CF4-A175-3A21DA39E395}"/>
    <cellStyle name="Normal 7 5 4 2 2 2 2" xfId="1325" xr:uid="{A8B5134C-BE2F-4437-A9EB-5A1ACB5EA2BB}"/>
    <cellStyle name="Normal 7 5 4 2 2 2 3" xfId="1326" xr:uid="{8F0FC846-A298-4E10-AC4D-FCA9C31F1E99}"/>
    <cellStyle name="Normal 7 5 4 2 2 3" xfId="1327" xr:uid="{AD4C1B23-B29F-49F8-AC73-913E4025BB40}"/>
    <cellStyle name="Normal 7 5 4 2 2 4" xfId="1330" xr:uid="{3269DE38-8D63-405B-95C3-2023C3B9ADF5}"/>
    <cellStyle name="Normal 7 5 4 2 2 5" xfId="1332" xr:uid="{56B807C7-5DD1-4437-A126-3F8D5881B6FC}"/>
    <cellStyle name="Normal 7 5 4 2 2 6" xfId="1333" xr:uid="{B7DD75BA-6FF8-42DF-B1BA-DD89E908C215}"/>
    <cellStyle name="Normal 7 5 4 2 3" xfId="1334" xr:uid="{CC838C48-7CCC-42CE-8066-DF97E0D9F615}"/>
    <cellStyle name="Normal 7 5 4 2 3 2" xfId="1336" xr:uid="{8458A417-79D2-495E-A2CA-81EEE381D7E6}"/>
    <cellStyle name="Normal 7 5 4 2 3 2 2" xfId="637" xr:uid="{6B42B32B-D35F-431C-9B8E-C648BBEE65FD}"/>
    <cellStyle name="Normal 7 5 4 2 3 2 3" xfId="683" xr:uid="{0BDC86B5-EBB2-48DE-A706-852F4FFF3770}"/>
    <cellStyle name="Normal 7 5 4 2 3 3" xfId="1339" xr:uid="{4F277EF9-0761-4DB4-A157-EA81ED85D10B}"/>
    <cellStyle name="Normal 7 5 4 2 3 4" xfId="1343" xr:uid="{0E22FE0B-D317-4370-9C75-4C297E84CD6D}"/>
    <cellStyle name="Normal 7 5 4 2 3 5" xfId="1345" xr:uid="{BE55CCD2-41C0-44C9-97F0-F8E8D479DEC1}"/>
    <cellStyle name="Normal 7 5 4 2 3 6" xfId="1346" xr:uid="{94481A1E-B4D3-4C46-A9F3-5BE6DC79741A}"/>
    <cellStyle name="Normal 7 5 4 2 4" xfId="1347" xr:uid="{5FAA6761-D334-4FC1-84B9-42DD2E37550D}"/>
    <cellStyle name="Normal 7 5 4 2 4 2" xfId="1349" xr:uid="{CC7C233E-250F-4FC7-AD7A-C8C147F11B5A}"/>
    <cellStyle name="Normal 7 5 4 2 4 3" xfId="1350" xr:uid="{BA305B52-F598-4E74-A1EF-A5A96276509F}"/>
    <cellStyle name="Normal 7 5 4 2 5" xfId="1351" xr:uid="{C51B662E-8B50-4934-AC75-7EFE36F24372}"/>
    <cellStyle name="Normal 7 5 4 2 5 2" xfId="1352" xr:uid="{A058F5AC-F091-4680-BDD4-D579D14D7A1F}"/>
    <cellStyle name="Normal 7 5 4 2 5 3" xfId="1353" xr:uid="{5832B4BC-91AF-496A-9D2D-CA5DA31C9092}"/>
    <cellStyle name="Normal 7 5 4 2 6" xfId="1354" xr:uid="{F03AC922-375C-4AFC-9CAA-37182CCB72A0}"/>
    <cellStyle name="Normal 7 5 4 2 7" xfId="1355" xr:uid="{317F3F5F-E5F4-4C08-A31C-E8D539B150E6}"/>
    <cellStyle name="Normal 7 5 4 2 8" xfId="735" xr:uid="{8AD45BA1-3A5C-4D98-8547-93F136238F45}"/>
    <cellStyle name="Normal 7 5 4 2 9" xfId="738" xr:uid="{78371877-D4E4-4757-BF2C-2934793F2DA1}"/>
    <cellStyle name="Normal 7 5 4 3" xfId="755" xr:uid="{31E30CE4-C3CA-4DF3-9D56-4FEDC9A3EA77}"/>
    <cellStyle name="Normal 7 5 4 3 2" xfId="1356" xr:uid="{CC99FBB6-60E5-452D-8B4B-84F773C14EA0}"/>
    <cellStyle name="Normal 7 5 4 3 2 2" xfId="1357" xr:uid="{30873722-7C14-47EE-8FA0-72D6A8DB8C3A}"/>
    <cellStyle name="Normal 7 5 4 3 2 3" xfId="1358" xr:uid="{F787F188-0C54-4525-852B-9D9B9D849172}"/>
    <cellStyle name="Normal 7 5 4 3 3" xfId="1359" xr:uid="{5E49F383-4324-4408-91B9-A14965EDA2C6}"/>
    <cellStyle name="Normal 7 5 4 3 4" xfId="1360" xr:uid="{C4BE0C87-6280-4271-B265-7D50932DC43B}"/>
    <cellStyle name="Normal 7 5 4 3 5" xfId="1361" xr:uid="{1F97C55E-4D78-44BD-8CF1-AE06B9F1898F}"/>
    <cellStyle name="Normal 7 5 4 3 6" xfId="1362" xr:uid="{07BC9637-9AE4-4753-99F7-B36A1E18671F}"/>
    <cellStyle name="Normal 7 5 4 4" xfId="757" xr:uid="{33C08B45-65B0-4FF2-9019-C726179A9301}"/>
    <cellStyle name="Normal 7 5 4 4 2" xfId="1363" xr:uid="{1DC1B94F-43D6-49C9-828C-BBCF0CAEB55D}"/>
    <cellStyle name="Normal 7 5 4 4 2 2" xfId="1113" xr:uid="{1732F429-E071-4E8C-8936-96CE6FAF3922}"/>
    <cellStyle name="Normal 7 5 4 4 2 3" xfId="1364" xr:uid="{203C319A-57D2-4539-8EA7-5C7735650DD0}"/>
    <cellStyle name="Normal 7 5 4 4 3" xfId="1365" xr:uid="{358D98DB-C28F-43C0-9AE9-287D28B389B1}"/>
    <cellStyle name="Normal 7 5 4 4 4" xfId="1366" xr:uid="{BE724989-3D38-4AD5-9144-BF850778B875}"/>
    <cellStyle name="Normal 7 5 4 4 5" xfId="1367" xr:uid="{338AF1D7-2C54-4664-A617-59E92140A95E}"/>
    <cellStyle name="Normal 7 5 4 4 6" xfId="1368" xr:uid="{574B3369-EAEB-422C-9F34-5FA066F851E9}"/>
    <cellStyle name="Normal 7 5 4 5" xfId="759" xr:uid="{DB357982-8E28-4E35-8D7F-3540C00933BC}"/>
    <cellStyle name="Normal 7 5 4 5 2" xfId="1369" xr:uid="{2AA5449C-7EBC-431D-847E-FA5EB2AED409}"/>
    <cellStyle name="Normal 7 5 4 5 3" xfId="1370" xr:uid="{35DC6C0F-29EB-4C4F-BA6A-8875B6E7DAAD}"/>
    <cellStyle name="Normal 7 5 4 6" xfId="1371" xr:uid="{D7D6BDBC-E77F-4F41-8F84-6940ABEEC380}"/>
    <cellStyle name="Normal 7 5 4 6 2" xfId="1372" xr:uid="{A1500387-9FA2-48AF-B913-6E8126EDAE43}"/>
    <cellStyle name="Normal 7 5 4 6 3" xfId="1373" xr:uid="{D19C00C7-1BA7-43C1-BF3E-674B33D960FB}"/>
    <cellStyle name="Normal 7 5 4 7" xfId="1374" xr:uid="{48F15A7F-A5D3-4CFA-9B43-76A48F663894}"/>
    <cellStyle name="Normal 7 5 4 8" xfId="1375" xr:uid="{6908554B-8313-4DE6-B300-CAFA5FEFE717}"/>
    <cellStyle name="Normal 7 5 4 9" xfId="586" xr:uid="{770B5B8A-0FE6-4F8C-81A6-8E32FDC1FE81}"/>
    <cellStyle name="Normal 7 5 5" xfId="1376" xr:uid="{19D18A7C-6A0A-476A-A22C-756E3D08BF17}"/>
    <cellStyle name="Normal 7 5 5 2" xfId="765" xr:uid="{A590EABB-4BFA-4E40-80EB-62354D4E1381}"/>
    <cellStyle name="Normal 7 5 5 2 2" xfId="1377" xr:uid="{13138747-B005-42BF-BC45-6AC6D7F98EFA}"/>
    <cellStyle name="Normal 7 5 5 2 2 2" xfId="1378" xr:uid="{72BE5B66-1859-4914-9ACD-1D0A7806BA91}"/>
    <cellStyle name="Normal 7 5 5 2 2 3" xfId="1379" xr:uid="{34CF6678-26CB-4812-8A21-303F90142450}"/>
    <cellStyle name="Normal 7 5 5 2 3" xfId="1380" xr:uid="{737866B1-E482-49CA-B32D-8674C5141FC7}"/>
    <cellStyle name="Normal 7 5 5 2 4" xfId="1381" xr:uid="{4ADDE9DA-1726-4B94-94DB-10B089FF5606}"/>
    <cellStyle name="Normal 7 5 5 2 5" xfId="1382" xr:uid="{BA8C4986-DAC3-40E7-BF1B-F994857C3233}"/>
    <cellStyle name="Normal 7 5 5 2 6" xfId="1383" xr:uid="{210251CC-C303-415B-B106-91A876DCBB8B}"/>
    <cellStyle name="Normal 7 5 5 3" xfId="1384" xr:uid="{3229C9ED-3761-4D9F-B4E6-EEE053DADEE2}"/>
    <cellStyle name="Normal 7 5 5 3 2" xfId="1385" xr:uid="{5852254A-0A95-46FC-98C0-DA3382C847C6}"/>
    <cellStyle name="Normal 7 5 5 3 2 2" xfId="1386" xr:uid="{55B4E4B3-5531-495B-ABDD-33353E41B487}"/>
    <cellStyle name="Normal 7 5 5 3 2 3" xfId="341" xr:uid="{31496651-F709-4F16-AA91-6FD635653D12}"/>
    <cellStyle name="Normal 7 5 5 3 3" xfId="1387" xr:uid="{D7B46631-4729-4FE4-8803-175C8DCB1FDE}"/>
    <cellStyle name="Normal 7 5 5 3 4" xfId="1388" xr:uid="{60EE7613-8BF8-4893-B3C7-C6BE04E2CDE9}"/>
    <cellStyle name="Normal 7 5 5 3 5" xfId="1389" xr:uid="{DFF40BD5-977E-42EC-8F1B-CF159F1F2982}"/>
    <cellStyle name="Normal 7 5 5 3 6" xfId="1390" xr:uid="{E3540D6D-51E6-41AA-AAF1-5947823C3B00}"/>
    <cellStyle name="Normal 7 5 5 4" xfId="1391" xr:uid="{3DBD9A18-AF00-4151-B41E-3D27CD03BBD6}"/>
    <cellStyle name="Normal 7 5 5 4 2" xfId="1392" xr:uid="{FC810231-6224-4EC8-B3BD-E0F6585565C9}"/>
    <cellStyle name="Normal 7 5 5 4 3" xfId="1393" xr:uid="{D7B01D23-475E-4F96-9569-8D8ABDDED9D9}"/>
    <cellStyle name="Normal 7 5 5 5" xfId="1394" xr:uid="{2F7475DB-99C9-4D75-A8F4-9B7F8027D0C0}"/>
    <cellStyle name="Normal 7 5 5 5 2" xfId="1395" xr:uid="{CF8DF9E8-1B40-4567-84B6-8E30E24CD11A}"/>
    <cellStyle name="Normal 7 5 5 5 3" xfId="1396" xr:uid="{F598A3C8-C4B8-43F5-82BA-8C21F70D1EC1}"/>
    <cellStyle name="Normal 7 5 5 6" xfId="1397" xr:uid="{979CE61B-291B-45A6-98BD-C6F4210F168F}"/>
    <cellStyle name="Normal 7 5 5 7" xfId="1398" xr:uid="{5DBA62E9-6544-4D6C-A26F-9777FEC820CD}"/>
    <cellStyle name="Normal 7 5 5 8" xfId="1399" xr:uid="{5DBA2484-7095-4617-8988-1EEE971C0EC8}"/>
    <cellStyle name="Normal 7 5 5 9" xfId="599" xr:uid="{81475A2D-BAB1-4F02-B6BE-A7F508AE17E7}"/>
    <cellStyle name="Normal 7 5 6" xfId="1400" xr:uid="{23C055DC-7183-4B95-9AEF-F6B2965DB5C3}"/>
    <cellStyle name="Normal 7 5 6 2" xfId="769" xr:uid="{9E0F7D08-D95B-4286-8345-929E74B477B1}"/>
    <cellStyle name="Normal 7 5 6 2 2" xfId="403" xr:uid="{DF6EDEBE-5124-48B0-9769-79A54606A7AC}"/>
    <cellStyle name="Normal 7 5 6 2 3" xfId="408" xr:uid="{D7A090E2-2BED-45F3-8338-9B87CF1E736B}"/>
    <cellStyle name="Normal 7 5 6 3" xfId="1401" xr:uid="{5345A280-D1EE-447F-B438-691E27382695}"/>
    <cellStyle name="Normal 7 5 6 4" xfId="1402" xr:uid="{D0DD22BB-E05E-48F9-8A24-B5736CAB8B35}"/>
    <cellStyle name="Normal 7 5 6 5" xfId="1403" xr:uid="{0DDCB0F0-851C-4F80-A85E-4BFB570A5B18}"/>
    <cellStyle name="Normal 7 5 6 6" xfId="1404" xr:uid="{726CA113-50F2-49AD-A642-6CE4248AB9BE}"/>
    <cellStyle name="Normal 7 5 7" xfId="1405" xr:uid="{2ABF8D05-3D85-4AF8-A8E3-35F726251617}"/>
    <cellStyle name="Normal 7 5 7 2" xfId="1406" xr:uid="{02388268-50E7-4929-BB31-4E7FC1B4CAD7}"/>
    <cellStyle name="Normal 7 5 7 2 2" xfId="1169" xr:uid="{D9720536-3AA9-496E-9FB4-87369185BD54}"/>
    <cellStyle name="Normal 7 5 7 2 3" xfId="1171" xr:uid="{D02ADA67-3069-433F-A7FB-07A08C306EAE}"/>
    <cellStyle name="Normal 7 5 7 3" xfId="1407" xr:uid="{ABE8CA60-1024-44C4-B3E9-4C043BD7782E}"/>
    <cellStyle name="Normal 7 5 7 4" xfId="1408" xr:uid="{AA96CD16-1375-4403-B7EC-D337A43AC5F2}"/>
    <cellStyle name="Normal 7 5 7 5" xfId="1409" xr:uid="{30AC6F0B-63E2-4363-B303-AEF5FF12614F}"/>
    <cellStyle name="Normal 7 5 7 6" xfId="1410" xr:uid="{437F9C96-7E21-461E-AEA6-F9F7C31B537C}"/>
    <cellStyle name="Normal 7 5 8" xfId="1411" xr:uid="{0040DCBD-A766-4DB3-938D-5138DE88830F}"/>
    <cellStyle name="Normal 7 5 8 2" xfId="1412" xr:uid="{24CF03C6-4D7E-4819-95DB-68BE0E2B1114}"/>
    <cellStyle name="Normal 7 5 8 3" xfId="1413" xr:uid="{ED675F98-AC0A-4F47-A1CE-A25D27C5DD16}"/>
    <cellStyle name="Normal 7 5 9" xfId="1414" xr:uid="{C530B175-BF90-4AA6-B498-3A4C7CF3A852}"/>
    <cellStyle name="Normal 7 5 9 2" xfId="1415" xr:uid="{87A26934-093E-462D-B588-76D075DDECDA}"/>
    <cellStyle name="Normal 7 5 9 3" xfId="1416" xr:uid="{35BA109C-83BD-40E5-B04B-FED5947AB32A}"/>
    <cellStyle name="Normal 7 6" xfId="1063" xr:uid="{820E48FD-08AD-47CC-9222-405DA4CD55AE}"/>
    <cellStyle name="Normal 7 6 10" xfId="1049" xr:uid="{23C08E9A-3CDA-4CA2-9DC9-7A526E7E7A1D}"/>
    <cellStyle name="Normal 7 6 2" xfId="1417" xr:uid="{C0B8A420-5D5B-46F4-9EE7-0901A6141B61}"/>
    <cellStyle name="Normal 7 6 2 2" xfId="1418" xr:uid="{16EE54C3-BACF-4C05-9BE1-719027C8358B}"/>
    <cellStyle name="Normal 7 6 2 2 2" xfId="1419" xr:uid="{00D462AD-49C2-46E0-B5BD-29BA77EE77E7}"/>
    <cellStyle name="Normal 7 6 2 2 2 2" xfId="1420" xr:uid="{6EAC037C-FDE1-4411-A776-CAD984D8358E}"/>
    <cellStyle name="Normal 7 6 2 2 2 2 2" xfId="43" xr:uid="{6A6F3A13-9A96-49B0-974E-9363D8230806}"/>
    <cellStyle name="Normal 7 6 2 2 2 2 3" xfId="46" xr:uid="{928E8AC7-7B48-44B2-BF2B-7AC04B121DA5}"/>
    <cellStyle name="Normal 7 6 2 2 2 3" xfId="1421" xr:uid="{287468A2-3471-4D3A-AA4D-1CF456041D95}"/>
    <cellStyle name="Normal 7 6 2 2 2 4" xfId="1422" xr:uid="{FFA48543-7ABA-47EA-BE96-FC34ADA038B1}"/>
    <cellStyle name="Normal 7 6 2 2 2 5" xfId="1423" xr:uid="{EE23383B-D060-4B49-BC15-1F91F50FABB4}"/>
    <cellStyle name="Normal 7 6 2 2 2 6" xfId="1424" xr:uid="{1187B023-6336-4CAB-8240-44BF18CCB24F}"/>
    <cellStyle name="Normal 7 6 2 2 3" xfId="1425" xr:uid="{BDD32F67-AC82-4EC2-9167-2DBDAC8898CF}"/>
    <cellStyle name="Normal 7 6 2 2 3 2" xfId="1426" xr:uid="{7A34D4B0-2DCB-4681-8E21-0E1BFBBCB694}"/>
    <cellStyle name="Normal 7 6 2 2 3 2 2" xfId="1427" xr:uid="{DCD4688D-8EC8-4D23-95EA-063DE437362F}"/>
    <cellStyle name="Normal 7 6 2 2 3 2 3" xfId="1428" xr:uid="{71F3CF50-7B26-44DD-A476-E7176571B259}"/>
    <cellStyle name="Normal 7 6 2 2 3 3" xfId="1429" xr:uid="{B37EDD64-51D2-454C-BB32-19C275A173AF}"/>
    <cellStyle name="Normal 7 6 2 2 3 4" xfId="1430" xr:uid="{202F7B7C-EF61-488F-926B-F297E5C82F02}"/>
    <cellStyle name="Normal 7 6 2 2 3 5" xfId="1431" xr:uid="{3A92C912-7EAF-44B8-92B3-1D4556BC5DFF}"/>
    <cellStyle name="Normal 7 6 2 2 3 6" xfId="1432" xr:uid="{CDECD503-4E53-420C-858E-8D2A85B0F4F0}"/>
    <cellStyle name="Normal 7 6 2 2 4" xfId="1433" xr:uid="{E848FA1D-7916-4844-8C87-5E399516B7CC}"/>
    <cellStyle name="Normal 7 6 2 2 4 2" xfId="1117" xr:uid="{81147E60-F29C-478B-80F6-0D8C975951F1}"/>
    <cellStyle name="Normal 7 6 2 2 4 3" xfId="1118" xr:uid="{B055A355-B8C8-4CDA-8B4D-5E0BA5BC05F4}"/>
    <cellStyle name="Normal 7 6 2 2 5" xfId="1435" xr:uid="{5EB61E30-FA5A-4D4C-9FFE-33BD9715C259}"/>
    <cellStyle name="Normal 7 6 2 2 5 2" xfId="1437" xr:uid="{E663E6DE-6704-446F-B35D-5B9723E44E19}"/>
    <cellStyle name="Normal 7 6 2 2 5 3" xfId="1438" xr:uid="{1BB311B9-61AF-49D8-9808-631B1E19C314}"/>
    <cellStyle name="Normal 7 6 2 2 6" xfId="1439" xr:uid="{9A6F24C1-AE18-41B5-9F16-ED51F9C5BF85}"/>
    <cellStyle name="Normal 7 6 2 2 7" xfId="1440" xr:uid="{333BCF5E-020D-4E44-AD51-B49DDCFF44EC}"/>
    <cellStyle name="Normal 7 6 2 2 8" xfId="1441" xr:uid="{1064FF99-C535-436E-8BAA-6B4FE6DB426D}"/>
    <cellStyle name="Normal 7 6 2 2 9" xfId="1442" xr:uid="{E848B0CB-D197-4A05-B0B8-2A1AC366C798}"/>
    <cellStyle name="Normal 7 6 2 3" xfId="1443" xr:uid="{4E527B25-E672-4C0D-AD43-0D33BBFC12A8}"/>
    <cellStyle name="Normal 7 6 2 3 2" xfId="1444" xr:uid="{F7873DFB-4BDD-4EF6-A813-9441E91554E3}"/>
    <cellStyle name="Normal 7 6 2 3 3" xfId="588" xr:uid="{BF8DDB02-EFB5-473F-8189-E5CB2FC3478A}"/>
    <cellStyle name="Normal 7 6 2 4" xfId="1445" xr:uid="{055E7347-5883-4E89-B2CB-D3A7A8D075F1}"/>
    <cellStyle name="Normal 7 6 2 5" xfId="1446" xr:uid="{B8C3FE6E-CAE0-4826-A924-1192D99A051B}"/>
    <cellStyle name="Normal 7 6 3" xfId="1447" xr:uid="{23FA0BD1-15DB-4B59-80F6-DD3B2BCA4B15}"/>
    <cellStyle name="Normal 7 6 3 2" xfId="1448" xr:uid="{5DE870FA-BC54-45E6-BEA4-B4068CF53BED}"/>
    <cellStyle name="Normal 7 6 3 2 2" xfId="1449" xr:uid="{2394DD2C-0626-45DF-A765-7032308B9440}"/>
    <cellStyle name="Normal 7 6 3 2 3" xfId="1451" xr:uid="{BA720557-D951-4690-A607-C0D838757BDC}"/>
    <cellStyle name="Normal 7 6 3 3" xfId="938" xr:uid="{283E3DEA-E2BB-4185-8DC0-C39D7196939E}"/>
    <cellStyle name="Normal 7 6 3 4" xfId="941" xr:uid="{EB6E2359-0C69-44B3-97CA-1605CEF0997D}"/>
    <cellStyle name="Normal 7 6 3 5" xfId="943" xr:uid="{31F2801D-73F2-4291-95AC-2AD9C079E257}"/>
    <cellStyle name="Normal 7 6 3 6" xfId="945" xr:uid="{57078042-15D7-48F5-972D-59859ABB7648}"/>
    <cellStyle name="Normal 7 6 4" xfId="1452" xr:uid="{C856DF07-8F68-4419-A74C-D792127EE9E8}"/>
    <cellStyle name="Normal 7 6 4 2" xfId="778" xr:uid="{433194AA-BDC1-4B9E-A2C8-A2C65F664BD7}"/>
    <cellStyle name="Normal 7 6 4 2 2" xfId="1453" xr:uid="{8FC59B2C-DF96-4C41-8003-09B354CE4B5C}"/>
    <cellStyle name="Normal 7 6 4 2 3" xfId="1454" xr:uid="{93F5ACFD-DF11-468D-933C-B693C0FA5989}"/>
    <cellStyle name="Normal 7 6 4 3" xfId="949" xr:uid="{3BD0010B-1AE6-4F58-B873-B8788D4FD460}"/>
    <cellStyle name="Normal 7 6 4 4" xfId="951" xr:uid="{C160AE48-CFFD-44EC-9E0D-1DD18F7665C7}"/>
    <cellStyle name="Normal 7 6 4 5" xfId="1455" xr:uid="{FF98D2B1-A277-46DE-87F0-3A6FE0A61D47}"/>
    <cellStyle name="Normal 7 6 4 6" xfId="1456" xr:uid="{AB1A2D2D-C33C-4B77-8A86-B6CFEC5489DD}"/>
    <cellStyle name="Normal 7 6 5" xfId="1457" xr:uid="{704341BA-E26F-4740-985E-365C703E2849}"/>
    <cellStyle name="Normal 7 6 5 2" xfId="1458" xr:uid="{B5A76276-F5DD-459A-AB1D-632F88B7E5E7}"/>
    <cellStyle name="Normal 7 6 5 3" xfId="953" xr:uid="{AD55F8B4-931F-4781-92C1-2AF147674414}"/>
    <cellStyle name="Normal 7 6 6" xfId="1459" xr:uid="{8FCF16C4-A355-4E34-A254-E44371DB02B0}"/>
    <cellStyle name="Normal 7 6 6 2" xfId="1460" xr:uid="{B4164A4F-FEA8-43E7-809D-0F639ED698AB}"/>
    <cellStyle name="Normal 7 6 6 3" xfId="1102" xr:uid="{8B734C0A-D2B1-431D-A9EC-08D295FB23CE}"/>
    <cellStyle name="Normal 7 6 7" xfId="1461" xr:uid="{71618A4B-827F-4E04-A2D0-C427B48EEDFB}"/>
    <cellStyle name="Normal 7 6 8" xfId="1462" xr:uid="{AF08F2DE-5BB7-4D96-B3D1-9585ACA77FCE}"/>
    <cellStyle name="Normal 7 6 9" xfId="1463" xr:uid="{5C00DB9A-1E11-49CF-A44D-55F4935CE087}"/>
    <cellStyle name="Normal 7 7" xfId="1065" xr:uid="{80A20487-DA01-49E8-B946-B95AAC42F840}"/>
    <cellStyle name="Normal 7 7 10" xfId="1464" xr:uid="{FBFBCA35-8829-425A-BADB-84F75028940F}"/>
    <cellStyle name="Normal 7 7 11" xfId="1466" xr:uid="{D80F3A2F-5AC4-4407-9C29-3E97BD7B1505}"/>
    <cellStyle name="Normal 7 7 2" xfId="1468" xr:uid="{7148F5AC-2ABA-4CD5-A2FD-0592F98D589D}"/>
    <cellStyle name="Normal 7 7 2 2" xfId="1469" xr:uid="{80E360F8-9B46-4D3D-ACB0-F38D3BC8531F}"/>
    <cellStyle name="Normal 7 7 2 2 2" xfId="86" xr:uid="{952EBE4A-3AC9-41B0-A5D1-CE6ADFBF2472}"/>
    <cellStyle name="Normal 7 7 2 2 2 2" xfId="1470" xr:uid="{7E63026C-217F-499D-8A31-6CFEA0609F82}"/>
    <cellStyle name="Normal 7 7 2 2 2 3" xfId="1471" xr:uid="{B5A3F0EF-6D7E-415C-BF12-0F0CFA0CAD70}"/>
    <cellStyle name="Normal 7 7 2 2 3" xfId="1472" xr:uid="{56148FF9-DC0F-4ACD-8B79-5E462ECB8F51}"/>
    <cellStyle name="Normal 7 7 2 2 4" xfId="1473" xr:uid="{F1ACC7F5-79AD-47A2-8632-DDDD9479F089}"/>
    <cellStyle name="Normal 7 7 2 2 5" xfId="1474" xr:uid="{3728E889-2374-40EA-8FCD-FCA220D633AF}"/>
    <cellStyle name="Normal 7 7 2 2 6" xfId="1475" xr:uid="{CC884A4B-C210-4C75-93A1-ADBCE5B77EF3}"/>
    <cellStyle name="Normal 7 7 2 3" xfId="1476" xr:uid="{104E47ED-9922-4FF6-80BC-C457B5D3D1D3}"/>
    <cellStyle name="Normal 7 7 2 3 2" xfId="506" xr:uid="{36521DB4-AF80-4707-9221-BFF0573294DE}"/>
    <cellStyle name="Normal 7 7 2 3 3" xfId="1477" xr:uid="{9B654B42-37A7-4BB6-9B02-8731BACF92D3}"/>
    <cellStyle name="Normal 7 7 2 4" xfId="1478" xr:uid="{A065C447-59F9-4D9B-A62D-B55980DF7729}"/>
    <cellStyle name="Normal 7 7 2 4 2" xfId="1480" xr:uid="{65EAE6EB-0046-482C-B364-7BF6C5509FFA}"/>
    <cellStyle name="Normal 7 7 2 4 3" xfId="1482" xr:uid="{54BFF89B-9E88-4E59-8ED1-0D49DC6A5BB0}"/>
    <cellStyle name="Normal 7 7 2 5" xfId="1484" xr:uid="{7CEA2C8A-2C0B-46D5-A14C-29891C8A96E7}"/>
    <cellStyle name="Normal 7 7 2 6" xfId="1486" xr:uid="{737F694E-BB68-4BFA-B0D2-58FB1F501E7E}"/>
    <cellStyle name="Normal 7 7 2 7" xfId="1488" xr:uid="{4AD325B8-4E19-4E67-B9AA-59198604DE00}"/>
    <cellStyle name="Normal 7 7 2 8" xfId="1490" xr:uid="{BA183C15-D028-4600-B25E-37ADF7EFD831}"/>
    <cellStyle name="Normal 7 7 3" xfId="1492" xr:uid="{92623F0A-212F-4B63-81C1-05E95736C632}"/>
    <cellStyle name="Normal 7 7 3 2" xfId="1493" xr:uid="{4FEC26A9-9063-4E4D-A28A-92FE7137D125}"/>
    <cellStyle name="Normal 7 7 3 2 2" xfId="1494" xr:uid="{E844FC75-0E87-4472-B30B-A6F57EED8C03}"/>
    <cellStyle name="Normal 7 7 3 2 3" xfId="1495" xr:uid="{371B66FF-821B-4859-A4FD-57B0B3389DBC}"/>
    <cellStyle name="Normal 7 7 3 3" xfId="964" xr:uid="{480C3FBD-AB4B-4326-8C74-356DD6E16B23}"/>
    <cellStyle name="Normal 7 7 3 4" xfId="966" xr:uid="{BEFB6194-10AF-4F0D-A149-6CC9E878FD4B}"/>
    <cellStyle name="Normal 7 7 3 5" xfId="1496" xr:uid="{C283AEF9-7CCC-4DA9-848C-786DAB6E91FD}"/>
    <cellStyle name="Normal 7 7 3 6" xfId="1498" xr:uid="{AE44B23B-3B73-41EB-B780-5AC603396AEA}"/>
    <cellStyle name="Normal 7 7 4" xfId="1500" xr:uid="{E37498FF-816F-4451-880B-5E7BAED4BFF8}"/>
    <cellStyle name="Normal 7 7 4 2" xfId="787" xr:uid="{E92663E0-61BC-48B5-AF4A-7CB8E91E0E62}"/>
    <cellStyle name="Normal 7 7 4 2 2" xfId="1501" xr:uid="{6AB084B0-6022-4B01-8AE0-824A91C756B9}"/>
    <cellStyle name="Normal 7 7 4 2 3" xfId="1502" xr:uid="{FB2D40B9-477F-4D97-AE31-797C2172E2E5}"/>
    <cellStyle name="Normal 7 7 4 3" xfId="970" xr:uid="{392E2515-4389-402B-9EBC-9E1CEC3A257C}"/>
    <cellStyle name="Normal 7 7 4 4" xfId="973" xr:uid="{177260F5-8AC4-46AB-A4A4-169027A243BE}"/>
    <cellStyle name="Normal 7 7 4 5" xfId="1328" xr:uid="{BF5BC37B-29FA-420B-8A98-BE813A7DEE2D}"/>
    <cellStyle name="Normal 7 7 4 6" xfId="1331" xr:uid="{5EBC9895-D909-413E-9E92-6433FCFCCB06}"/>
    <cellStyle name="Normal 7 7 5" xfId="1503" xr:uid="{2CB6A2C0-81FF-4FA0-89E6-4ED296CC4ECE}"/>
    <cellStyle name="Normal 7 7 5 2" xfId="1504" xr:uid="{8D217F8A-2FA1-4090-94EF-18A3BF4BD60C}"/>
    <cellStyle name="Normal 7 7 5 3" xfId="1506" xr:uid="{8082905D-511F-4423-9E8D-29C1752504E5}"/>
    <cellStyle name="Normal 7 7 6" xfId="1508" xr:uid="{1CA2A8FF-667E-4187-9505-95B5E4A1FA86}"/>
    <cellStyle name="Normal 7 7 6 2" xfId="1509" xr:uid="{C346CF6D-E23E-46D3-B1C4-96F705CA8470}"/>
    <cellStyle name="Normal 7 7 6 3" xfId="1510" xr:uid="{A494528E-075C-4089-9B67-098F620C6BC3}"/>
    <cellStyle name="Normal 7 7 7" xfId="1511" xr:uid="{8174DAF5-B556-48B5-8D15-269B4E002C42}"/>
    <cellStyle name="Normal 7 7 7 2" xfId="1512" xr:uid="{48B34DED-E648-4CB4-BBF2-9EFD3EA72EDA}"/>
    <cellStyle name="Normal 7 7 7 3" xfId="1513" xr:uid="{0A7B979F-C63F-4739-8E73-FEB5A3883915}"/>
    <cellStyle name="Normal 7 7 8" xfId="1514" xr:uid="{4BC20BBC-0E76-4DE1-B2C5-7D35F7DBFB22}"/>
    <cellStyle name="Normal 7 7 9" xfId="1515" xr:uid="{82D2F81B-A503-4930-A199-76F2576C08BC}"/>
    <cellStyle name="Normal 7 8" xfId="1516" xr:uid="{B4993957-BBF5-46AE-89D9-3CC25E19E821}"/>
    <cellStyle name="Normal 7 8 2" xfId="1517" xr:uid="{E47608B3-E365-475C-9C39-B660C8527BA0}"/>
    <cellStyle name="Normal 7 8 2 2" xfId="1518" xr:uid="{ED48FBC3-3616-41DD-AAC4-39CA78743304}"/>
    <cellStyle name="Normal 7 8 2 2 2" xfId="151" xr:uid="{12AD16AB-3061-4A07-AAC7-95D33E5DAEA2}"/>
    <cellStyle name="Normal 7 8 2 2 3" xfId="155" xr:uid="{06ABB4F9-7B38-40E1-9CA5-982B2203155B}"/>
    <cellStyle name="Normal 7 8 2 3" xfId="1519" xr:uid="{3AB88DE6-4BB7-4080-BF59-B5D924B267CE}"/>
    <cellStyle name="Normal 7 8 2 4" xfId="1520" xr:uid="{76AE064E-140C-4761-B1FA-8F421ABEEFD5}"/>
    <cellStyle name="Normal 7 8 2 5" xfId="1521" xr:uid="{8FB92422-1B50-4918-B8DB-0415BE8200C0}"/>
    <cellStyle name="Normal 7 8 2 6" xfId="1522" xr:uid="{80D3F486-98E1-4B2C-9E70-CD96981CEF8E}"/>
    <cellStyle name="Normal 7 8 3" xfId="1523" xr:uid="{19801DF5-BC03-4295-A5FC-9D2BFF9941C4}"/>
    <cellStyle name="Normal 7 8 3 2" xfId="1524" xr:uid="{A46613BC-4F87-480C-99EE-F31CA027FAE7}"/>
    <cellStyle name="Normal 7 8 3 2 2" xfId="1525" xr:uid="{D3323569-57A1-42B9-8F3A-BBC7A3780560}"/>
    <cellStyle name="Normal 7 8 3 2 3" xfId="1526" xr:uid="{2D3D2357-514D-4A86-9D29-63153EF62BF1}"/>
    <cellStyle name="Normal 7 8 3 3" xfId="1527" xr:uid="{F1DBB61A-F7A1-42DA-9050-E200370E0520}"/>
    <cellStyle name="Normal 7 8 3 4" xfId="1528" xr:uid="{DA1FAE29-53AC-4AF6-9C63-1C7F630E6760}"/>
    <cellStyle name="Normal 7 8 3 5" xfId="1530" xr:uid="{80DCCFFF-C826-45E9-80EF-31FE5091DDE0}"/>
    <cellStyle name="Normal 7 8 3 6" xfId="1531" xr:uid="{CA3AA3E6-FEEA-457C-9952-0C75C063E3A9}"/>
    <cellStyle name="Normal 7 8 4" xfId="1532" xr:uid="{5FE57A5D-5236-4044-AE2B-9E8662A5A9ED}"/>
    <cellStyle name="Normal 7 8 4 2" xfId="797" xr:uid="{7DAAD8C9-15C6-4FE0-9A99-402FD298FDB3}"/>
    <cellStyle name="Normal 7 8 4 3" xfId="1533" xr:uid="{8D073A91-BD3E-4AB9-AD93-3D4BF5BDA91C}"/>
    <cellStyle name="Normal 7 8 5" xfId="129" xr:uid="{A9E86CB1-685D-4E5C-A0E4-8E43F40E3973}"/>
    <cellStyle name="Normal 7 8 5 2" xfId="1534" xr:uid="{DD147622-0975-4FD0-B18E-CA764CBF4066}"/>
    <cellStyle name="Normal 7 8 5 3" xfId="1535" xr:uid="{69D22AE2-B322-493F-9FF7-6FE9B55027AF}"/>
    <cellStyle name="Normal 7 8 6" xfId="133" xr:uid="{94DE0D6E-1ECB-45F6-A2D3-9551144B0174}"/>
    <cellStyle name="Normal 7 8 7" xfId="1536" xr:uid="{9623D34E-45EF-4040-AF53-895553AB9638}"/>
    <cellStyle name="Normal 7 8 8" xfId="1538" xr:uid="{B2B388FB-B1FE-4F45-8F2C-5E638A309A2D}"/>
    <cellStyle name="Normal 7 8 9" xfId="1540" xr:uid="{3137F759-0FE6-4C8A-BE8C-AFC321919259}"/>
    <cellStyle name="Normal 7 9" xfId="1541" xr:uid="{2A0789E0-0BC5-41E2-BFDB-ED44C5E6744C}"/>
    <cellStyle name="Normal 7 9 2" xfId="1542" xr:uid="{1D45CF85-31BD-4D32-A347-34C273302B8B}"/>
    <cellStyle name="Normal 7 9 2 2" xfId="434" xr:uid="{6CD07FAF-832E-43A0-AF32-6A13B2FDFF70}"/>
    <cellStyle name="Normal 7 9 2 2 2" xfId="1543" xr:uid="{F92EAD7A-58CE-4882-BBD1-C1C0F1450DD3}"/>
    <cellStyle name="Normal 7 9 2 2 3" xfId="16" xr:uid="{085CF51C-3BA9-4DA2-BF4D-6C09548D1CE6}"/>
    <cellStyle name="Normal 7 9 2 3" xfId="437" xr:uid="{0A097A14-43BE-4E0F-B2C2-207BCF4B9EAB}"/>
    <cellStyle name="Normal 7 9 2 4" xfId="1082" xr:uid="{BF09440D-3E3A-4801-814B-73AC9B580831}"/>
    <cellStyle name="Normal 7 9 2 5" xfId="1544" xr:uid="{5FB06605-0DA8-4DD7-8736-1FCD7DE13999}"/>
    <cellStyle name="Normal 7 9 2 6" xfId="1545" xr:uid="{944D5159-82E3-4830-A12C-3DCB69C73C95}"/>
    <cellStyle name="Normal 7 9 3" xfId="1546" xr:uid="{241905B6-3948-4622-A4C1-75D446A718AB}"/>
    <cellStyle name="Normal 7 9 3 2" xfId="1094" xr:uid="{9CB69CAA-5AC0-4B61-ACC4-F9B17AA44221}"/>
    <cellStyle name="Normal 7 9 3 3" xfId="1097" xr:uid="{6786CC28-BE27-4A12-8110-DD717DF633FC}"/>
    <cellStyle name="Normal 7 9 4" xfId="1547" xr:uid="{CA61581A-C1F0-4EF5-8BAE-65342156CD89}"/>
    <cellStyle name="Normal 7 9 4 2" xfId="1109" xr:uid="{5189BAC8-A557-4AFF-BED6-88EF75715C7C}"/>
    <cellStyle name="Normal 7 9 4 3" xfId="1111" xr:uid="{763F5E0D-F880-4A74-A133-678944980BAD}"/>
    <cellStyle name="Normal 7 9 5" xfId="1086" xr:uid="{A9048F06-2712-49D9-BA5A-32BFF7E458C7}"/>
    <cellStyle name="Normal 7 9 6" xfId="1088" xr:uid="{C2C4AE18-A922-4855-9C9C-7A2BD53B3259}"/>
    <cellStyle name="Normal 7 9 7" xfId="1548" xr:uid="{34372AFE-1B18-49D2-8665-C154FFD59217}"/>
    <cellStyle name="Normal 7 9 8" xfId="69" xr:uid="{E19D4898-4DBC-42DF-AFAB-912A44E7235E}"/>
    <cellStyle name="Normal 8" xfId="1549" xr:uid="{A013ACF0-A35C-4787-AE82-9693BE3C3148}"/>
    <cellStyle name="Normal 8 10" xfId="1550" xr:uid="{288E2924-4B31-4A00-B01B-F853960B29B7}"/>
    <cellStyle name="Normal 8 2" xfId="1551" xr:uid="{1915377E-E9AC-423E-B998-870601F24917}"/>
    <cellStyle name="Normal 8 2 2" xfId="1552" xr:uid="{A2EE68D3-CE27-4317-91BA-DBE18E420FA3}"/>
    <cellStyle name="Normal 8 2 2 2" xfId="1537" xr:uid="{6E54DA5F-E8D6-43AD-9CB0-26F609A5CD0F}"/>
    <cellStyle name="Normal 8 2 2 3" xfId="1539" xr:uid="{A34B57AA-63B7-4CE8-BC32-E68FADFAA0E8}"/>
    <cellStyle name="Normal 8 2 3" xfId="1553" xr:uid="{ABF1B719-BC31-44EF-AC9C-549B61998109}"/>
    <cellStyle name="Normal 8 2 4" xfId="1554" xr:uid="{EFA8FD41-2748-47F9-878B-A8CAC367C90A}"/>
    <cellStyle name="Normal 8 2 5" xfId="1555" xr:uid="{44ECE7F8-2BB7-4F66-9D11-FA7F957FB333}"/>
    <cellStyle name="Normal 8 2 6" xfId="1556" xr:uid="{95EBA7E2-FE43-4E9F-A678-5C9F5BEA9E38}"/>
    <cellStyle name="Normal 8 3" xfId="1557" xr:uid="{2B212C6E-FB28-4176-8729-399B0D6D6CB6}"/>
    <cellStyle name="Normal 8 3 2" xfId="1558" xr:uid="{1F59A8D2-E7FF-4B39-993A-2DEBB286F10D}"/>
    <cellStyle name="Normal 8 3 2 2" xfId="1283" xr:uid="{3B7833CC-3FDF-4050-9C6C-51A6FE502094}"/>
    <cellStyle name="Normal 8 3 2 3" xfId="1285" xr:uid="{B1BF8800-36AB-40D0-8E25-2BC2B35555A8}"/>
    <cellStyle name="Normal 8 3 3" xfId="1559" xr:uid="{E09D00B1-7C7B-42E3-9F08-81D056C38DC9}"/>
    <cellStyle name="Normal 8 3 4" xfId="1560" xr:uid="{383AB75C-DF28-4EDD-B007-09E04714ADD5}"/>
    <cellStyle name="Normal 8 3 5" xfId="1561" xr:uid="{89F6F4F7-64D0-4702-9A99-EE04C554F3F8}"/>
    <cellStyle name="Normal 8 3 6" xfId="1562" xr:uid="{A00A3433-823A-477A-B6F8-40DAE84A48D1}"/>
    <cellStyle name="Normal 8 4" xfId="1563" xr:uid="{AD45E2C1-48D4-40A7-B8EA-CF74C177531E}"/>
    <cellStyle name="Normal 8 4 2" xfId="1564" xr:uid="{3D049F13-AF45-4CD8-BBD3-606995A136A5}"/>
    <cellStyle name="Normal 8 4 3" xfId="1565" xr:uid="{8C063F1C-471E-48FD-AC46-E89B3C1944D7}"/>
    <cellStyle name="Normal 8 5" xfId="516" xr:uid="{2D6CF1E2-B6AE-45EE-A2B7-969F55AB7B93}"/>
    <cellStyle name="Normal 8 5 10" xfId="1566" xr:uid="{85BA51CA-047F-43DD-9E57-5E050F104572}"/>
    <cellStyle name="Normal 8 5 2" xfId="1567" xr:uid="{D4E76035-6CA7-40BB-B9D4-8F324CCDF4EF}"/>
    <cellStyle name="Normal 8 5 2 2" xfId="1568" xr:uid="{45985165-41AB-4150-8DE5-FA16874197B9}"/>
    <cellStyle name="Normal 8 5 2 2 2" xfId="893" xr:uid="{78624780-E5B4-445B-B990-72A6B542160D}"/>
    <cellStyle name="Normal 8 5 2 2 2 2" xfId="1569" xr:uid="{76E01972-E439-48A2-AC3A-1E723E7B29CC}"/>
    <cellStyle name="Normal 8 5 2 2 2 3" xfId="1570" xr:uid="{52CEFD27-18C7-4DE8-80AD-99EBDE335BC3}"/>
    <cellStyle name="Normal 8 5 2 2 3" xfId="895" xr:uid="{7B3F3049-8A39-400D-A7CD-E6128565FC87}"/>
    <cellStyle name="Normal 8 5 2 2 4" xfId="897" xr:uid="{ED877DF2-2954-44FD-9D6D-F06DA16B50A8}"/>
    <cellStyle name="Normal 8 5 2 2 5" xfId="899" xr:uid="{3CE66285-801B-47F6-86E2-A31E66F08ADC}"/>
    <cellStyle name="Normal 8 5 2 2 6" xfId="901" xr:uid="{F2794BC5-DED1-4166-85FA-D7997132167E}"/>
    <cellStyle name="Normal 8 5 2 3" xfId="1571" xr:uid="{63CC338B-369C-4CA3-BFBF-D95CEB862C5D}"/>
    <cellStyle name="Normal 8 5 2 3 2" xfId="907" xr:uid="{BAA4BE63-FD8D-46FE-BABF-65EEB969FD68}"/>
    <cellStyle name="Normal 8 5 2 3 2 2" xfId="578" xr:uid="{62F0B681-0249-48DE-8EE6-137AEDA99FF8}"/>
    <cellStyle name="Normal 8 5 2 3 2 3" xfId="581" xr:uid="{1B68C7CB-AF8F-4ED6-B874-75EC91EB4B92}"/>
    <cellStyle name="Normal 8 5 2 3 3" xfId="909" xr:uid="{7F8021B7-EC65-4442-82C3-7FB4FA5A0E9E}"/>
    <cellStyle name="Normal 8 5 2 3 4" xfId="1572" xr:uid="{5ADBBB48-161C-42D7-AA9F-3A782F82C591}"/>
    <cellStyle name="Normal 8 5 2 3 5" xfId="1573" xr:uid="{6A44A7DA-CFF9-4726-9CD4-B4265E764613}"/>
    <cellStyle name="Normal 8 5 2 3 6" xfId="1574" xr:uid="{B5D7709F-7DD9-492B-AA80-48447B5C3A75}"/>
    <cellStyle name="Normal 8 5 2 4" xfId="1575" xr:uid="{77FFA073-880B-4F6B-9435-BA68991E03E3}"/>
    <cellStyle name="Normal 8 5 2 4 2" xfId="1576" xr:uid="{979893C9-2F1D-4C28-936F-CD0CE76D0795}"/>
    <cellStyle name="Normal 8 5 2 4 3" xfId="1577" xr:uid="{49DC3931-0EEA-46A7-9DA5-F543BD14604C}"/>
    <cellStyle name="Normal 8 5 2 5" xfId="1578" xr:uid="{B94AE966-3A51-422C-82FC-21D217756171}"/>
    <cellStyle name="Normal 8 5 2 5 2" xfId="1579" xr:uid="{751B2F99-EDFE-4B96-803B-D3CB5AE93B3F}"/>
    <cellStyle name="Normal 8 5 2 5 3" xfId="1580" xr:uid="{72DD5DC6-CE40-46C4-B2DB-F0C856E6B8B2}"/>
    <cellStyle name="Normal 8 5 2 6" xfId="1581" xr:uid="{A3651169-5904-4295-8578-4D2D65006FAB}"/>
    <cellStyle name="Normal 8 5 2 7" xfId="42" xr:uid="{007468B2-ACA9-44B9-9F59-36A671B1DC51}"/>
    <cellStyle name="Normal 8 5 2 8" xfId="1582" xr:uid="{CA66FF5C-40D0-49F6-9F91-CB8C5E819636}"/>
    <cellStyle name="Normal 8 5 2 9" xfId="1583" xr:uid="{0132D703-D1EC-4241-8607-A3E32964724D}"/>
    <cellStyle name="Normal 8 5 3" xfId="1584" xr:uid="{BA8FE439-4A28-4974-AE73-79A7EE38FC7B}"/>
    <cellStyle name="Normal 8 5 3 2" xfId="1585" xr:uid="{D95E9F95-3379-446C-B570-535B9A9B9843}"/>
    <cellStyle name="Normal 8 5 3 2 2" xfId="1586" xr:uid="{DA000736-585E-4A4A-BE6A-57D3AE1F5C11}"/>
    <cellStyle name="Normal 8 5 3 2 3" xfId="1587" xr:uid="{F4E23378-4C7E-494E-B942-698497B2C71E}"/>
    <cellStyle name="Normal 8 5 3 3" xfId="1588" xr:uid="{05B1739F-73B2-456D-876B-CBCEE5AFD565}"/>
    <cellStyle name="Normal 8 5 3 4" xfId="1589" xr:uid="{72332A72-F489-4943-8520-DD09DEE7B196}"/>
    <cellStyle name="Normal 8 5 3 5" xfId="1590" xr:uid="{F728CDD9-5817-477D-934B-9EA0BD3E610D}"/>
    <cellStyle name="Normal 8 5 3 6" xfId="1591" xr:uid="{201E7D53-CA39-49E1-ADCD-E5EFC75688BB}"/>
    <cellStyle name="Normal 8 5 4" xfId="1592" xr:uid="{C2C716D6-FDEC-4B0E-AFD3-F4B59FA17054}"/>
    <cellStyle name="Normal 8 5 4 2" xfId="1593" xr:uid="{712BC538-163D-457F-BDAB-289CA81F8D54}"/>
    <cellStyle name="Normal 8 5 4 2 2" xfId="1594" xr:uid="{8C62B89B-CCE5-4258-9F26-BAFD61E7FF77}"/>
    <cellStyle name="Normal 8 5 4 2 3" xfId="1595" xr:uid="{6F2804B2-9CE5-4B63-9D26-68FB1D9BDBBD}"/>
    <cellStyle name="Normal 8 5 4 3" xfId="1596" xr:uid="{373264AC-7BAE-475F-9F07-064FCE58B31C}"/>
    <cellStyle name="Normal 8 5 4 4" xfId="1597" xr:uid="{0C1EA565-C15B-4426-8C34-7EAB7BC7B789}"/>
    <cellStyle name="Normal 8 5 4 5" xfId="1598" xr:uid="{8E854F14-9430-4787-83FC-3894D6535CEA}"/>
    <cellStyle name="Normal 8 5 4 6" xfId="1599" xr:uid="{347B8547-110F-4D83-A6E6-2D9350C5CA36}"/>
    <cellStyle name="Normal 8 5 5" xfId="1601" xr:uid="{4CFB2AC5-D6FD-40E0-8480-B97A808A7C5A}"/>
    <cellStyle name="Normal 8 5 5 2" xfId="1602" xr:uid="{94FDC6AC-9EF1-4355-A34C-13E0CD0D95B1}"/>
    <cellStyle name="Normal 8 5 5 3" xfId="1603" xr:uid="{E3768683-19AA-4119-A8C5-FE19F5B46941}"/>
    <cellStyle name="Normal 8 5 6" xfId="1604" xr:uid="{BC44291E-18C0-4944-8E9A-2F923FBCD144}"/>
    <cellStyle name="Normal 8 5 6 2" xfId="1605" xr:uid="{44235B3F-A543-48C5-AFC0-558CF24B5FBD}"/>
    <cellStyle name="Normal 8 5 6 3" xfId="1606" xr:uid="{25ECC19E-A989-48A4-97A0-92D6AAB5E7B4}"/>
    <cellStyle name="Normal 8 5 7" xfId="1607" xr:uid="{6B8B930C-7D3C-492E-97AA-101B95EC2469}"/>
    <cellStyle name="Normal 8 5 8" xfId="1608" xr:uid="{661946EF-688C-4D2A-8009-3ECF48BAC8AC}"/>
    <cellStyle name="Normal 8 5 9" xfId="532" xr:uid="{CBFB1A61-C15E-4013-8E3B-0BB4A9319253}"/>
    <cellStyle name="Normal 8 6" xfId="332" xr:uid="{5493ED22-A713-449A-9BE7-8FCEF7306943}"/>
    <cellStyle name="Normal 8 6 2" xfId="1609" xr:uid="{8A0E8389-9466-4495-BA04-A7FAE60E762F}"/>
    <cellStyle name="Normal 8 6 3" xfId="65" xr:uid="{94AA0969-F416-4A37-B723-EEE23ECDC52D}"/>
    <cellStyle name="Normal 8 7" xfId="1465" xr:uid="{3D12750D-F017-4840-B47E-DF7B6497B7FD}"/>
    <cellStyle name="Normal 8 8" xfId="1467" xr:uid="{AA54EE7D-334B-4063-A964-B1537DBC3166}"/>
    <cellStyle name="Normal 8 9" xfId="1610" xr:uid="{80500075-AF21-4D2F-A38A-63E71E595DE7}"/>
    <cellStyle name="Normal 9" xfId="1611" xr:uid="{8F7DB2DE-E96E-4FFE-ADAB-1574828A68CE}"/>
    <cellStyle name="Normal 9 2" xfId="21" xr:uid="{2563830F-7EEE-4AFE-9136-3C408492757F}"/>
    <cellStyle name="Normal 9 2 2" xfId="1613" xr:uid="{38EC5A15-62BC-4EC8-BE46-1B0ED66E26FD}"/>
    <cellStyle name="Normal 9 2 2 2" xfId="1614" xr:uid="{986E4B16-B03C-4C34-8BD3-E972DDBE089A}"/>
    <cellStyle name="Normal 9 2 2 3" xfId="1615" xr:uid="{69D8F193-426E-407C-B96D-2B7CF9AE08F9}"/>
    <cellStyle name="Normal 9 2 3" xfId="1616" xr:uid="{205159F2-2690-4071-BC87-B85BECB7CE97}"/>
    <cellStyle name="Normal 9 2 4" xfId="1617" xr:uid="{D82ED841-9941-44B8-83FA-D10B400987B7}"/>
    <cellStyle name="Normal 9 2 5" xfId="1618" xr:uid="{CA4FD8F7-58F9-4BA3-8864-0C76CF53FD5B}"/>
    <cellStyle name="Normal 9 2 6" xfId="1619" xr:uid="{6F694E7E-F787-4841-A4FE-1385E7F64334}"/>
    <cellStyle name="Normal 9 3" xfId="1620" xr:uid="{4D190E37-3000-4DB1-896B-C9DCAA3F1C57}"/>
    <cellStyle name="Normal 9 3 2" xfId="1621" xr:uid="{898E9776-22F0-4424-BBB5-0BCE5A753B02}"/>
    <cellStyle name="Normal 9 3 2 2" xfId="1340" xr:uid="{B4158B88-BC4A-408B-88C3-4C4414A3CF56}"/>
    <cellStyle name="Normal 9 3 2 3" xfId="1344" xr:uid="{5372B19C-1013-415A-8884-0AB38578B777}"/>
    <cellStyle name="Normal 9 3 3" xfId="1622" xr:uid="{0793C99B-19F2-4F6C-BA4C-1053A494B52E}"/>
    <cellStyle name="Normal 9 3 4" xfId="1623" xr:uid="{79BDE7AF-3445-4F0B-A05D-D1F46C92E7EC}"/>
    <cellStyle name="Normal 9 3 5" xfId="1624" xr:uid="{79BCA767-BDF5-4221-A64A-E1BA01051CD3}"/>
    <cellStyle name="Normal 9 3 6" xfId="1625" xr:uid="{A0F66DE2-CA27-4247-AA1B-CE96651F18E7}"/>
    <cellStyle name="Normal 9 4" xfId="1626" xr:uid="{70E65F4D-8279-494F-8B88-B8B9C4874D3A}"/>
    <cellStyle name="Normal 9 4 2" xfId="1627" xr:uid="{9AE54530-9CD9-434D-A09E-94816B556C65}"/>
    <cellStyle name="Normal 9 4 3" xfId="1628" xr:uid="{BDC56575-79C8-47E1-8780-E8AB7C51FEF3}"/>
    <cellStyle name="Normal 9 5" xfId="1629" xr:uid="{F193CA4F-264C-4C98-ABDE-2E68E282593C}"/>
    <cellStyle name="Normal 9 5 2" xfId="1630" xr:uid="{E51ECE4E-7F63-4B91-A1F3-6A6A93D7A957}"/>
    <cellStyle name="Normal 9 5 3" xfId="1631" xr:uid="{17A6DB97-E1F2-412E-B09C-4D2594A67CEA}"/>
    <cellStyle name="Normal 9 6" xfId="1632" xr:uid="{20F2197C-00EE-4294-825F-591C308A0CFF}"/>
    <cellStyle name="Normal 9 7" xfId="1633" xr:uid="{00DF3C07-CAE9-4715-8894-550A887ACF77}"/>
    <cellStyle name="Normal 9 8" xfId="1634" xr:uid="{94FD3881-7392-45FF-9D39-DA3E46960F3E}"/>
    <cellStyle name="Normal 9 9" xfId="1635" xr:uid="{F81D419D-F1AF-4078-B7E5-0450133CFFE5}"/>
    <cellStyle name="Note 2" xfId="1636" xr:uid="{9F9A734E-6933-4DBC-B41F-57EB1C9CA8D3}"/>
    <cellStyle name="Note 2 10" xfId="1637" xr:uid="{2AD4A263-F9A0-42E1-8067-C261420178F2}"/>
    <cellStyle name="Note 2 2" xfId="1638" xr:uid="{A04D59E6-738B-4CDD-B58C-2C1F5A2A95FE}"/>
    <cellStyle name="Note 2 2 2" xfId="1600" xr:uid="{F0AE3258-E4E1-49D6-B50E-EC74149CC980}"/>
    <cellStyle name="Note 2 2 2 2" xfId="1639" xr:uid="{21B3B6A6-3758-41D6-8730-30D46DC40C31}"/>
    <cellStyle name="Note 2 2 2 2 2" xfId="1640" xr:uid="{3EBA83C9-0A2E-4290-B399-0A035B434227}"/>
    <cellStyle name="Note 2 2 2 2 3" xfId="1641" xr:uid="{7D24758B-6C0C-4AA7-95AC-F6B9DAE562FE}"/>
    <cellStyle name="Note 2 2 2 3" xfId="1642" xr:uid="{42E7F514-BB01-4A33-A238-3FD8D0BB1973}"/>
    <cellStyle name="Note 2 2 2 4" xfId="1643" xr:uid="{E3519832-1A50-4A60-A0C2-AC0DDCA13170}"/>
    <cellStyle name="Note 2 2 2 5" xfId="1644" xr:uid="{D7602500-D2C0-4F4B-8884-A933630E27EC}"/>
    <cellStyle name="Note 2 2 2 6" xfId="1645" xr:uid="{1B052E30-6AD0-434F-841F-CAF4CC62AF48}"/>
    <cellStyle name="Note 2 2 3" xfId="1646" xr:uid="{FCD71885-F971-4F84-ADF9-4D8CED685237}"/>
    <cellStyle name="Note 2 2 3 2" xfId="1647" xr:uid="{DBFD864B-1BA5-4677-8D52-0D981BACDFE1}"/>
    <cellStyle name="Note 2 2 3 2 2" xfId="1648" xr:uid="{B18B4078-52D6-499C-8344-60C37FD4A2B7}"/>
    <cellStyle name="Note 2 2 3 2 3" xfId="1649" xr:uid="{2584D977-EBF8-4958-92A8-0D7E965570F4}"/>
    <cellStyle name="Note 2 2 3 3" xfId="1650" xr:uid="{4E753975-EEB1-4425-AB63-ACCA82B34D33}"/>
    <cellStyle name="Note 2 2 3 4" xfId="1651" xr:uid="{17EF420D-F969-4B79-A533-A991CCEEAA48}"/>
    <cellStyle name="Note 2 2 3 5" xfId="1652" xr:uid="{D9614849-A87D-46E1-BB59-1FEF58D2F908}"/>
    <cellStyle name="Note 2 2 3 6" xfId="1653" xr:uid="{15524D58-B7FA-4B37-A7FA-ACE51FD40B26}"/>
    <cellStyle name="Note 2 2 4" xfId="1654" xr:uid="{10F8DA00-0F29-4948-A979-60268C4D86A3}"/>
    <cellStyle name="Note 2 2 4 2" xfId="1655" xr:uid="{ADC74C06-B6A7-47E6-BB79-021331A6A789}"/>
    <cellStyle name="Note 2 2 4 3" xfId="1657" xr:uid="{8FB100E6-7496-47B8-A065-52FD16C1D48D}"/>
    <cellStyle name="Note 2 2 5" xfId="1659" xr:uid="{9C84987F-E835-4928-B7E4-E3581064D612}"/>
    <cellStyle name="Note 2 2 5 2" xfId="711" xr:uid="{A09E8DB2-FF4E-4B13-A959-D5F76444D213}"/>
    <cellStyle name="Note 2 2 5 3" xfId="744" xr:uid="{4567C3F4-02E0-4543-B7F6-D55614EDF0DB}"/>
    <cellStyle name="Note 2 2 6" xfId="1660" xr:uid="{0A7F2DAC-5406-4F42-B859-E72C37B2E514}"/>
    <cellStyle name="Note 2 2 7" xfId="1661" xr:uid="{A17D873B-E6F6-4673-8FA5-6723E99670FD}"/>
    <cellStyle name="Note 2 2 8" xfId="1662" xr:uid="{ECE61029-7278-4D8A-8951-485812A11FD5}"/>
    <cellStyle name="Note 2 2 9" xfId="1663" xr:uid="{1F44E469-B748-4A9D-8CD8-89A5C50306EF}"/>
    <cellStyle name="Note 2 3" xfId="1664" xr:uid="{B6BBFE74-0C53-492A-9632-9D1F5F56DAAC}"/>
    <cellStyle name="Note 2 3 2" xfId="1665" xr:uid="{BB2A17A2-2D12-4EB9-8B09-0A00AEB60295}"/>
    <cellStyle name="Note 2 3 2 2" xfId="1666" xr:uid="{72F3C65E-6060-4A98-ADD8-7A9DFC7460CC}"/>
    <cellStyle name="Note 2 3 2 3" xfId="1667" xr:uid="{06FA5342-C59D-4D44-A098-831CA701FCA2}"/>
    <cellStyle name="Note 2 3 3" xfId="1668" xr:uid="{12B58C91-5972-40CE-A1F8-FB4B8774379C}"/>
    <cellStyle name="Note 2 3 4" xfId="1669" xr:uid="{57522793-87AC-4A5C-8F0B-411E98F9E60E}"/>
    <cellStyle name="Note 2 3 5" xfId="1670" xr:uid="{0BEA7399-4EAA-43A4-96C1-CFBA22ECD5BD}"/>
    <cellStyle name="Note 2 3 6" xfId="1671" xr:uid="{B96B15A4-7433-4D57-B080-50F5AD8FAF4E}"/>
    <cellStyle name="Note 2 4" xfId="1672" xr:uid="{D30C1ADB-54FF-42C2-970E-2A32F08908B5}"/>
    <cellStyle name="Note 2 4 2" xfId="1673" xr:uid="{973BFA8E-2959-4394-B4FB-52EF3C477C6F}"/>
    <cellStyle name="Note 2 4 2 2" xfId="1674" xr:uid="{2B9A9392-0738-433E-85C0-B6A012ABA962}"/>
    <cellStyle name="Note 2 4 2 3" xfId="1675" xr:uid="{804576B1-80EB-4B89-BF13-C6AC2CAF7F0A}"/>
    <cellStyle name="Note 2 4 3" xfId="1676" xr:uid="{9CBE7767-E4A8-419C-BF02-26427865300A}"/>
    <cellStyle name="Note 2 4 4" xfId="1677" xr:uid="{F64C9CBC-DF83-457B-BF4B-36FC3F2FFF1C}"/>
    <cellStyle name="Note 2 4 5" xfId="1678" xr:uid="{24BCC9B2-A467-437E-A3D5-2B5BA26E6468}"/>
    <cellStyle name="Note 2 4 6" xfId="1250" xr:uid="{7F4B1731-5005-4DEE-B77A-70ABDE985357}"/>
    <cellStyle name="Note 2 5" xfId="1679" xr:uid="{4C068009-5C6B-496A-A8DD-0E533CC0B757}"/>
    <cellStyle name="Note 2 5 2" xfId="1680" xr:uid="{81A7F8F4-B47F-4C66-8431-26E3D4CF0EDC}"/>
    <cellStyle name="Note 2 5 3" xfId="1681" xr:uid="{4720AABC-743B-444C-910E-F3785B66D602}"/>
    <cellStyle name="Note 2 6" xfId="1682" xr:uid="{C81D4CCF-CF00-4FD1-B35B-267AD837EFAA}"/>
    <cellStyle name="Note 2 6 2" xfId="1683" xr:uid="{BFDBF098-818B-470D-813C-83FB258A751A}"/>
    <cellStyle name="Note 2 6 3" xfId="356" xr:uid="{75F8A87F-75A8-4A2D-952B-5E0B4366D58F}"/>
    <cellStyle name="Note 2 7" xfId="1684" xr:uid="{54B152A0-4A19-4594-BE9A-73A1FC273FE1}"/>
    <cellStyle name="Note 2 8" xfId="1685" xr:uid="{61D33AA0-83C6-4F91-BFF5-76D187CF6C7A}"/>
    <cellStyle name="Note 2 9" xfId="1450" xr:uid="{633F36B9-2B15-4D2D-ADC3-F2204BA15EB0}"/>
    <cellStyle name="Notiz 2" xfId="1686" xr:uid="{D6479BC8-19CF-473B-A93C-7E795E9DAA7C}"/>
    <cellStyle name="Notiz 2 10" xfId="1529" xr:uid="{91F498DB-8D50-4FF6-9662-AF0BABCF2741}"/>
    <cellStyle name="Notiz 2 2" xfId="1687" xr:uid="{E2305D0F-C98B-477A-97E4-267547E5EC54}"/>
    <cellStyle name="Notiz 2 2 2" xfId="1688" xr:uid="{E19B8E88-F1CE-41DA-97D9-5DB650C617DE}"/>
    <cellStyle name="Notiz 2 2 2 2" xfId="1689" xr:uid="{A80D4252-26CD-46B9-A720-EBBCA84606FB}"/>
    <cellStyle name="Notiz 2 2 2 2 2" xfId="1690" xr:uid="{C2A45C59-6115-40EF-9978-9CB42B148DCB}"/>
    <cellStyle name="Notiz 2 2 2 2 3" xfId="1691" xr:uid="{3A9D001C-778C-420F-AE7F-B30C91F75677}"/>
    <cellStyle name="Notiz 2 2 2 3" xfId="1692" xr:uid="{011A2012-C950-4784-AC45-DB54018FF290}"/>
    <cellStyle name="Notiz 2 2 2 4" xfId="1693" xr:uid="{3A810091-20AD-497B-B93B-CCDA686281BF}"/>
    <cellStyle name="Notiz 2 2 2 5" xfId="1694" xr:uid="{F3CAB546-7DBA-4F2A-A983-AFA5E82C7973}"/>
    <cellStyle name="Notiz 2 2 2 6" xfId="1695" xr:uid="{12C693F2-0874-410F-80D2-97D18225FC0D}"/>
    <cellStyle name="Notiz 2 2 3" xfId="1697" xr:uid="{09DD3591-B1E8-4AF1-9AB2-AD57F81F336F}"/>
    <cellStyle name="Notiz 2 2 3 2" xfId="1698" xr:uid="{AA689537-5579-48E0-A6DB-07DF1D0C8566}"/>
    <cellStyle name="Notiz 2 2 3 2 2" xfId="1699" xr:uid="{41A0807C-F61E-4488-B876-40AE4A5E51D3}"/>
    <cellStyle name="Notiz 2 2 3 2 3" xfId="1700" xr:uid="{51422A24-97E0-41A2-979A-00CFCF709BD7}"/>
    <cellStyle name="Notiz 2 2 3 3" xfId="1701" xr:uid="{60D48D94-92E2-4642-A9C0-51E117C13B7F}"/>
    <cellStyle name="Notiz 2 2 3 4" xfId="1702" xr:uid="{3CE4CE78-F1F9-4ACB-A851-E2F0889FA912}"/>
    <cellStyle name="Notiz 2 2 3 5" xfId="1703" xr:uid="{837E4466-9F91-41B3-8A0A-9658E9F0C83F}"/>
    <cellStyle name="Notiz 2 2 3 6" xfId="1704" xr:uid="{A090F415-424D-44BF-9E0E-CD4EED886226}"/>
    <cellStyle name="Notiz 2 2 4" xfId="1706" xr:uid="{610DF253-3021-4D6B-80F7-FB71431BF6C2}"/>
    <cellStyle name="Notiz 2 2 4 2" xfId="1612" xr:uid="{3E6FD0E8-5F55-4A83-9114-0BDE5C0D2147}"/>
    <cellStyle name="Notiz 2 2 4 3" xfId="1220" xr:uid="{77CAA939-576C-4341-87AB-0B21B6D9745F}"/>
    <cellStyle name="Notiz 2 2 5" xfId="1707" xr:uid="{B22AF43D-6579-4B0C-91C3-334EE9D0595C}"/>
    <cellStyle name="Notiz 2 2 5 2" xfId="1708" xr:uid="{78314C04-67FC-4ED6-A1A0-4BB250374B9B}"/>
    <cellStyle name="Notiz 2 2 5 3" xfId="1248" xr:uid="{413D3B87-6FEF-41C7-A9B3-FA9679A05C39}"/>
    <cellStyle name="Notiz 2 2 6" xfId="1709" xr:uid="{FAF97313-7F9A-4C61-A60E-993651D2729D}"/>
    <cellStyle name="Notiz 2 2 7" xfId="866" xr:uid="{350447B3-AD4D-412C-8C2A-9A92126AC94C}"/>
    <cellStyle name="Notiz 2 2 8" xfId="868" xr:uid="{0AE10092-4434-41B7-98D2-3D6D8E243FEA}"/>
    <cellStyle name="Notiz 2 2 9" xfId="1710" xr:uid="{6A48ACA5-3C00-470E-B44C-89C23D68801A}"/>
    <cellStyle name="Notiz 2 3" xfId="1711" xr:uid="{B09B4D48-AFE4-413C-B03A-ED76F7D2AF49}"/>
    <cellStyle name="Notiz 2 3 2" xfId="1712" xr:uid="{BE32EE70-507C-4831-A0C3-E4022A956B7A}"/>
    <cellStyle name="Notiz 2 3 2 2" xfId="1713" xr:uid="{5BB4AA85-34FF-4597-8D64-612F754B3312}"/>
    <cellStyle name="Notiz 2 3 2 3" xfId="1714" xr:uid="{ABA17943-B30F-4885-B984-8DA785946D06}"/>
    <cellStyle name="Notiz 2 3 3" xfId="1715" xr:uid="{65209087-9755-4ABF-82D8-21F04EABE25A}"/>
    <cellStyle name="Notiz 2 3 4" xfId="1716" xr:uid="{A566ED21-F36C-4019-9ED6-A94935E67D68}"/>
    <cellStyle name="Notiz 2 3 5" xfId="1717" xr:uid="{0A90AAD2-1822-48C2-A522-2F232294DDE7}"/>
    <cellStyle name="Notiz 2 3 6" xfId="1718" xr:uid="{45302B7A-EC6A-4377-BDE1-B681D4DEAB1C}"/>
    <cellStyle name="Notiz 2 4" xfId="1719" xr:uid="{CE4265B8-43A7-44D7-B573-72C41A496696}"/>
    <cellStyle name="Notiz 2 4 2" xfId="1721" xr:uid="{87785170-0FC2-41B8-B409-A91731F9A9CF}"/>
    <cellStyle name="Notiz 2 4 2 2" xfId="1722" xr:uid="{39C62D90-2519-410C-A8F0-A114C158D8E1}"/>
    <cellStyle name="Notiz 2 4 2 3" xfId="1723" xr:uid="{46501003-A1C3-434F-AD36-D7A8A202587E}"/>
    <cellStyle name="Notiz 2 4 3" xfId="1724" xr:uid="{87D44F71-2F35-4EC4-B221-E4A566178E15}"/>
    <cellStyle name="Notiz 2 4 4" xfId="1725" xr:uid="{AC34AC48-64F3-4A81-9708-3A1E936636A0}"/>
    <cellStyle name="Notiz 2 4 5" xfId="1726" xr:uid="{CA27452F-002E-41A0-B5BE-FADFE4AD9F03}"/>
    <cellStyle name="Notiz 2 4 6" xfId="1727" xr:uid="{2E1FDDCD-928D-43C5-AA5F-E74C0E34F706}"/>
    <cellStyle name="Notiz 2 5" xfId="1728" xr:uid="{8DBF0903-8906-4E0C-AB63-35D11F802C4E}"/>
    <cellStyle name="Notiz 2 5 2" xfId="1125" xr:uid="{8A94BA6A-198C-4A98-8845-8DD314A609E2}"/>
    <cellStyle name="Notiz 2 5 3" xfId="1127" xr:uid="{6BC35FDB-DD80-41BE-B201-C735E1FE2589}"/>
    <cellStyle name="Notiz 2 6" xfId="1730" xr:uid="{D8088F2C-3BA4-4852-AC5C-21A56A889DB8}"/>
    <cellStyle name="Notiz 2 6 2" xfId="1137" xr:uid="{A0E67407-54C1-4843-B2EF-5E550C429C6E}"/>
    <cellStyle name="Notiz 2 6 3" xfId="1139" xr:uid="{9B8CA17F-1EF7-4632-97F1-38C229320907}"/>
    <cellStyle name="Notiz 2 7" xfId="1731" xr:uid="{269359FB-D0B2-4C8F-B95C-F9DF15208427}"/>
    <cellStyle name="Notiz 2 8" xfId="1732" xr:uid="{3CDD6808-8AAD-43FF-810E-ED37C4A8B87A}"/>
    <cellStyle name="Notiz 2 9" xfId="70" xr:uid="{FF1EE0FB-2979-4A83-B2BC-D90D23491D0F}"/>
    <cellStyle name="Percent 10" xfId="1505" xr:uid="{689A3AD1-C645-426B-BF4E-723A4CED5FE2}"/>
    <cellStyle name="Percent 11" xfId="1507" xr:uid="{536BC46F-1F9C-40C7-BB3A-FEF50840C73E}"/>
    <cellStyle name="Percent 12" xfId="1337" xr:uid="{6A73790F-52CB-4867-88E1-2DB8F5DDD6FE}"/>
    <cellStyle name="Percent 13" xfId="1341" xr:uid="{AD82D5E4-F945-4E14-BCA0-DA246FAE1BF6}"/>
    <cellStyle name="Percent 2" xfId="1733" xr:uid="{82FA4A3F-5721-44C1-8F4C-29CC58D2E8EC}"/>
    <cellStyle name="Percent 2 2" xfId="911" xr:uid="{DF894BC6-AD19-441A-A3E2-D7034C7F6839}"/>
    <cellStyle name="Percent 2 3" xfId="915" xr:uid="{37D21496-763D-4C2E-ABED-BF4DA1E5F456}"/>
    <cellStyle name="Percent 3" xfId="1734" xr:uid="{BFA9D52B-BE99-4A3E-916D-BCD58CD5FD30}"/>
    <cellStyle name="Percent 3 2" xfId="1735" xr:uid="{8341F5C1-7BE3-4713-8865-455BFF72FA41}"/>
    <cellStyle name="Percent 3 3" xfId="1736" xr:uid="{AC42026C-0783-47DA-8BE4-1A4C60667BF1}"/>
    <cellStyle name="Percent 4" xfId="1737" xr:uid="{DEE7BA36-6776-4138-8FFE-422AB671D189}"/>
    <cellStyle name="Percent 4 2" xfId="1738" xr:uid="{EB5FB4C5-BDE9-44FA-BD30-1CE846287547}"/>
    <cellStyle name="Percent 4 2 2" xfId="1739" xr:uid="{73F915C5-4542-4D46-BCBB-1A4B49B4AA76}"/>
    <cellStyle name="Percent 4 2 2 2" xfId="376" xr:uid="{CC5A8DF8-119D-4223-AE7F-BB6DFE56F06C}"/>
    <cellStyle name="Percent 4 2 2 3" xfId="1740" xr:uid="{B3450162-73EB-4D4F-B5DE-EEB428433785}"/>
    <cellStyle name="Percent 4 2 3" xfId="1741" xr:uid="{D021403E-70DD-43C1-985E-B346093C04C0}"/>
    <cellStyle name="Percent 4 2 4" xfId="1742" xr:uid="{8F10CDBC-C102-4A5E-9A3F-7C375E0456EB}"/>
    <cellStyle name="Percent 4 2 5" xfId="614" xr:uid="{AF10BBD5-950A-4D71-B326-17A4A721B52D}"/>
    <cellStyle name="Percent 4 2 6" xfId="616" xr:uid="{DA3B7A4B-C042-4C45-9069-BB6944622344}"/>
    <cellStyle name="Percent 4 3" xfId="1743" xr:uid="{2DEC9FDE-B59F-4725-8DAB-57B953086034}"/>
    <cellStyle name="Percent 4 3 2" xfId="1744" xr:uid="{6DA91325-5D4C-486A-A0B8-78D2373B9B93}"/>
    <cellStyle name="Percent 4 3 3" xfId="1745" xr:uid="{B2D0CDF1-5EBD-455A-9421-25458835D8B6}"/>
    <cellStyle name="Percent 4 4" xfId="1072" xr:uid="{4F0BD6D5-6518-413A-AE15-8B752D4C3D02}"/>
    <cellStyle name="Percent 4 4 2" xfId="1746" xr:uid="{89AA5E95-ECD6-4606-B288-DF75122D9F58}"/>
    <cellStyle name="Percent 4 4 3" xfId="1747" xr:uid="{82815126-2DD2-4719-A066-FC40D00EE315}"/>
    <cellStyle name="Percent 4 5" xfId="1074" xr:uid="{D7896DE6-76B2-490D-9FF9-7AD14D769A17}"/>
    <cellStyle name="Percent 4 6" xfId="299" xr:uid="{D7FB972A-5719-4607-83B1-5878CE9AE92F}"/>
    <cellStyle name="Percent 4 7" xfId="304" xr:uid="{D51CC5DE-4AC2-44D2-9FD0-0431DC644D27}"/>
    <cellStyle name="Percent 4 8" xfId="257" xr:uid="{108217A1-6DCF-4692-8C36-BCD4082FB35C}"/>
    <cellStyle name="Percent 5" xfId="1748" xr:uid="{B7564EE5-1211-475B-AB0E-47C8FB812D55}"/>
    <cellStyle name="Percent 5 2" xfId="1696" xr:uid="{CAEB2E22-F600-44EC-9964-30F9D9DD862A}"/>
    <cellStyle name="Percent 5 2 2" xfId="1749" xr:uid="{2DECD214-B88A-4B03-A766-919F88A5A9C6}"/>
    <cellStyle name="Percent 5 3" xfId="1750" xr:uid="{8D41F205-3EA8-4EF4-8A19-60192C9BA576}"/>
    <cellStyle name="Percent 5 4" xfId="1751" xr:uid="{D3D44443-1A5A-4F53-B111-DBF7A4DA2F11}"/>
    <cellStyle name="Percent 6" xfId="1752" xr:uid="{10BA0E11-C425-45B7-82FB-098BC27EBC4D}"/>
    <cellStyle name="Percent 6 2" xfId="1705" xr:uid="{82233500-F81E-41CD-8167-146D1C6BE675}"/>
    <cellStyle name="Percent 6 2 2" xfId="1753" xr:uid="{D314188E-65A0-4DAA-8FB5-1BF048F1CECE}"/>
    <cellStyle name="Percent 6 2 2 2" xfId="1754" xr:uid="{2E9A930F-E383-426A-A530-728B5E18554B}"/>
    <cellStyle name="Percent 6 2 2 3" xfId="1755" xr:uid="{F1182443-BED5-46E9-8CC5-4270BA39AC55}"/>
    <cellStyle name="Percent 6 2 3" xfId="307" xr:uid="{40154A78-A2E9-4C15-A734-1D57726DE25A}"/>
    <cellStyle name="Percent 6 2 4" xfId="315" xr:uid="{F1CB0AF2-9E64-4936-AD0D-31D90D67B28E}"/>
    <cellStyle name="Percent 6 2 5" xfId="270" xr:uid="{A8E6BA82-D6BF-4A00-A908-3FC3E88D8085}"/>
    <cellStyle name="Percent 6 2 6" xfId="1756" xr:uid="{FEA658DC-2B37-45DB-976F-C1CB249C48A9}"/>
    <cellStyle name="Percent 6 3" xfId="1757" xr:uid="{BB1B4341-1A6D-4A68-AB9C-D111A5BB7174}"/>
    <cellStyle name="Percent 6 3 2" xfId="1758" xr:uid="{A877BAE3-78A6-42D8-8F54-681A9E5C7A62}"/>
    <cellStyle name="Percent 6 3 3" xfId="321" xr:uid="{925DD00E-7864-48EF-BF4D-214E56FBD859}"/>
    <cellStyle name="Percent 6 4" xfId="1760" xr:uid="{7020EEDF-6BC6-4193-93C5-06E0629463B6}"/>
    <cellStyle name="Percent 6 4 2" xfId="1241" xr:uid="{2CECB048-AD39-46C4-AEDA-BAE55BB0BEB5}"/>
    <cellStyle name="Percent 6 4 3" xfId="1244" xr:uid="{9659570D-08D6-4B28-91FC-98BC37726316}"/>
    <cellStyle name="Percent 6 5" xfId="1759" xr:uid="{B152659E-5FF9-4CDD-ABC2-070B8D222BA0}"/>
    <cellStyle name="Percent 6 6" xfId="320" xr:uid="{10512E71-4F82-4762-A9B0-02CC745D2A65}"/>
    <cellStyle name="Percent 6 7" xfId="826" xr:uid="{6E14D411-F594-40B8-9978-DA7E46CCB71F}"/>
    <cellStyle name="Percent 6 8" xfId="1761" xr:uid="{CEE460FD-B701-4AF0-AD3D-B1871D50955E}"/>
    <cellStyle name="Percent 7" xfId="1762" xr:uid="{F8FB4CA7-C761-4A82-8758-7FDB702EA7A0}"/>
    <cellStyle name="Percent 7 2" xfId="1233" xr:uid="{EEEBFCB6-76FD-413A-A135-B7634E8C1531}"/>
    <cellStyle name="Percent 7 2 2" xfId="1235" xr:uid="{7ABD40E8-1760-4D61-BB0E-F41E54145426}"/>
    <cellStyle name="Percent 7 2 3" xfId="864" xr:uid="{2D621D71-B503-48D9-B60E-43474214C199}"/>
    <cellStyle name="Percent 7 3" xfId="1237" xr:uid="{8641395C-50CF-4B91-B8A4-4A8F4B92B6FC}"/>
    <cellStyle name="Percent 7 4" xfId="1239" xr:uid="{56A42857-0DE7-48A4-87BA-825AB5E8645F}"/>
    <cellStyle name="Percent 7 5" xfId="1242" xr:uid="{64F813A8-E083-49BB-AC95-DE300B019FF7}"/>
    <cellStyle name="Percent 7 6" xfId="1245" xr:uid="{B0012672-03DB-4581-9BF7-A9D1869EA331}"/>
    <cellStyle name="Percent 8" xfId="712" xr:uid="{94EA9AFB-1505-481A-829E-E510A7AF2E01}"/>
    <cellStyle name="Percent 8 2" xfId="715" xr:uid="{310688DB-8C68-440C-BE18-2E0C12B9A617}"/>
    <cellStyle name="Percent 8 3" xfId="729" xr:uid="{67FC2785-4596-44F0-98FD-7409F3AAF37E}"/>
    <cellStyle name="Percent 9" xfId="745" xr:uid="{2B95FE34-291C-4C68-A676-09D54FCB481F}"/>
    <cellStyle name="Percent 9 2" xfId="748" xr:uid="{CE232D58-7782-4457-BD59-2D1683E540CA}"/>
    <cellStyle name="Percent 9 3" xfId="762" xr:uid="{47A1DA3E-B119-47BD-BDFE-76C0A54D7D47}"/>
    <cellStyle name="Standard 2" xfId="575" xr:uid="{DD8B624C-5E5D-48A0-859F-5957A74E4D2F}"/>
    <cellStyle name="Standard 2 2" xfId="273" xr:uid="{3EDDE1B4-7D0B-4E6E-8D2E-0EDC09987028}"/>
    <cellStyle name="Standard 2 2 2" xfId="275" xr:uid="{AB6AA677-CF79-4902-BFB0-EF396866C923}"/>
    <cellStyle name="Standard 2 3" xfId="280" xr:uid="{ABAAD74D-6F2B-4321-9C89-8BE4FC13EE7A}"/>
    <cellStyle name="Standard 2 4" xfId="1763" xr:uid="{B9CA459E-7AD3-4AF0-992B-610C3C691087}"/>
    <cellStyle name="Style 1" xfId="1764" xr:uid="{35978580-73B5-40C6-93EA-730C46302958}"/>
    <cellStyle name="Style 1 2" xfId="1134" xr:uid="{72E5FE26-C372-4B90-B70E-28BCD24CF969}"/>
    <cellStyle name="常规 2" xfId="1765" xr:uid="{DADBC50A-D58B-49C6-AA3D-0EE67AC22C3F}"/>
    <cellStyle name="常规 2 2" xfId="1766" xr:uid="{1841772E-422B-4A9B-910F-A2D5875BAB7F}"/>
    <cellStyle name="常规 2 2 2" xfId="1434" xr:uid="{2600F02A-1784-43EA-AC45-5ACD53A4B040}"/>
    <cellStyle name="常规 2 2 3" xfId="1436" xr:uid="{016A7EAB-9E1D-44CA-AD60-EFD27D11131B}"/>
    <cellStyle name="常规 2 3" xfId="1767" xr:uid="{4BFAB030-BE36-4772-9397-51989CB1AECC}"/>
    <cellStyle name="普通 2" xfId="526" xr:uid="{5BEFD096-252D-42DF-AFF1-6ECF62646FF4}"/>
    <cellStyle name="普通 2 10" xfId="1768" xr:uid="{F260383F-DC92-4589-9AD6-0E8092DB2DAD}"/>
    <cellStyle name="普通 2 11" xfId="1656" xr:uid="{376295E9-B268-48B7-A5FA-F56F49CD5808}"/>
    <cellStyle name="普通 2 12" xfId="1658" xr:uid="{03EEA4D2-F9B9-4CD2-B40B-7892DAA5932E}"/>
    <cellStyle name="普通 2 2" xfId="1769" xr:uid="{C5DACD2F-50E4-42AD-A496-26D10C72F443}"/>
    <cellStyle name="普通 2 2 2" xfId="1770" xr:uid="{D92C0B06-1707-4FD7-A054-1D6EEA235BFC}"/>
    <cellStyle name="普通 2 2 2 2" xfId="1771" xr:uid="{A7B157B1-357A-4996-9111-D4D51178F0E9}"/>
    <cellStyle name="普通 2 2 2 2 2" xfId="1772" xr:uid="{8BB37161-22F0-4B29-AE29-D5C561CE95CC}"/>
    <cellStyle name="普通 2 2 2 2 3" xfId="1773" xr:uid="{AA9FCF82-C964-4309-8D7A-90A2571DDBB2}"/>
    <cellStyle name="普通 2 2 2 3" xfId="1774" xr:uid="{DAE754BC-1F66-49A1-A780-44B7D4BFD5D8}"/>
    <cellStyle name="普通 2 2 2 4" xfId="1775" xr:uid="{02CCF0C8-6271-40BE-A54C-9192FA92BE20}"/>
    <cellStyle name="普通 2 2 2 5" xfId="1776" xr:uid="{506E8431-1D21-43B3-ABF0-4A52701B4281}"/>
    <cellStyle name="普通 2 2 2 6" xfId="1165" xr:uid="{593E0A8F-575F-4DFC-B8CF-03E407831646}"/>
    <cellStyle name="普通 2 2 3" xfId="1777" xr:uid="{F7A05708-3752-4510-992D-2D4A909CD847}"/>
    <cellStyle name="普通 2 2 3 2" xfId="1778" xr:uid="{56C4F980-12D4-444E-AAD6-0FEABEC2E90F}"/>
    <cellStyle name="普通 2 2 3 2 2" xfId="1779" xr:uid="{1F2800A8-0EC9-40E4-A4F4-B1157319FC9B}"/>
    <cellStyle name="普通 2 2 3 2 3" xfId="1780" xr:uid="{2A0D2656-4A52-40E9-B18C-7DC01B21FF71}"/>
    <cellStyle name="普通 2 2 3 3" xfId="1781" xr:uid="{B9A03E43-C5D2-4E9A-849F-221A7A8C03EF}"/>
    <cellStyle name="普通 2 2 3 4" xfId="1782" xr:uid="{E57BD1A6-799F-4733-B29D-0D94B5F81777}"/>
    <cellStyle name="普通 2 2 3 5" xfId="12" xr:uid="{B6181513-23DA-4477-9F7D-0C1005CC9B46}"/>
    <cellStyle name="普通 2 2 3 6" xfId="1783" xr:uid="{24EB036D-19A3-4890-B02C-C6432D0CDC73}"/>
    <cellStyle name="普通 2 2 4" xfId="1784" xr:uid="{A33F9193-6F34-494D-8F22-E265CA51B3E0}"/>
    <cellStyle name="普通 2 2 4 2" xfId="1785" xr:uid="{00A369F9-42C8-499F-B14F-27B961B1314C}"/>
    <cellStyle name="普通 2 2 4 3" xfId="1786" xr:uid="{43F0E54F-5C5B-4BDE-850A-9AF0108DF97F}"/>
    <cellStyle name="普通 2 2 5" xfId="1787" xr:uid="{37090AA4-AA18-43FA-B66C-30E47DCD2C63}"/>
    <cellStyle name="普通 2 2 5 2" xfId="1788" xr:uid="{F74FAED8-514C-4716-870A-9CCF7F4B1BFE}"/>
    <cellStyle name="普通 2 2 5 3" xfId="1789" xr:uid="{F9366AF4-6638-4B91-AACE-9C7E30C74692}"/>
    <cellStyle name="普通 2 2 6" xfId="1790" xr:uid="{55FCCB44-C329-4407-BC93-4120DF8B2074}"/>
    <cellStyle name="普通 2 2 7" xfId="1791" xr:uid="{8E541F4E-7236-46A2-84F2-742E8DDDB655}"/>
    <cellStyle name="普通 2 2 8" xfId="1792" xr:uid="{E9745832-78E1-4D5C-9FF3-0664ADA9F1B6}"/>
    <cellStyle name="普通 2 2 9" xfId="1793" xr:uid="{02D864DF-F80B-4A57-9EAE-54DF6CF2664E}"/>
    <cellStyle name="普通 2 3" xfId="1794" xr:uid="{52227466-DC3E-42CD-A04F-19A962B2817C}"/>
    <cellStyle name="普通 2 3 2" xfId="1795" xr:uid="{925B40A1-7CBF-4D35-B6A4-8F986C705C6F}"/>
    <cellStyle name="普通 2 3 2 2" xfId="1796" xr:uid="{62544571-B45C-48EF-89AB-08753DE9ACA4}"/>
    <cellStyle name="普通 2 3 2 2 2" xfId="1797" xr:uid="{0876CAE2-877C-4FB4-AD7D-923639DE5A9F}"/>
    <cellStyle name="普通 2 3 2 2 3" xfId="1798" xr:uid="{BC08DAB2-DE3F-481A-A3EA-58B7C28DFB93}"/>
    <cellStyle name="普通 2 3 2 3" xfId="1799" xr:uid="{0998122C-B1C0-49B0-BA73-DE26026BA272}"/>
    <cellStyle name="普通 2 3 2 4" xfId="1800" xr:uid="{29F48420-421A-4C80-B73B-398D1DCD5FCD}"/>
    <cellStyle name="普通 2 3 2 5" xfId="1801" xr:uid="{793D9623-0D85-4BB0-A0B1-68DDF4E0279F}"/>
    <cellStyle name="普通 2 3 2 6" xfId="1802" xr:uid="{53C047A1-D487-4FC2-952D-085D540E606E}"/>
    <cellStyle name="普通 2 3 3" xfId="1803" xr:uid="{790D66D5-FD12-4BE4-AE4E-99FEBE8C3C7C}"/>
    <cellStyle name="普通 2 3 3 2" xfId="1720" xr:uid="{444F662F-F614-4B37-8630-08571184B90A}"/>
    <cellStyle name="普通 2 3 3 3" xfId="1729" xr:uid="{B1E06DC7-B78A-4132-A530-9725CB74EC79}"/>
    <cellStyle name="普通 2 3 4" xfId="1804" xr:uid="{A7C81EC4-3028-4E6D-B3AD-C303D9ECBACE}"/>
    <cellStyle name="普通 2 3 4 2" xfId="595" xr:uid="{786D7EC3-E47E-486B-8389-BC33F2C4B4C1}"/>
    <cellStyle name="普通 2 3 4 3" xfId="338" xr:uid="{F8336B86-B421-43FA-AAFF-A08E97DFB2B4}"/>
    <cellStyle name="普通 2 3 5" xfId="1805" xr:uid="{4676C9D6-5324-46B0-87DB-57B70CBF9187}"/>
    <cellStyle name="普通 2 3 6" xfId="1806" xr:uid="{32CF66B2-5073-4FC0-B011-49997DBFD9F5}"/>
    <cellStyle name="普通 2 3 7" xfId="1807" xr:uid="{AD2E70CF-13A1-43D8-8D47-F59705FF3123}"/>
    <cellStyle name="普通 2 3 8" xfId="1808" xr:uid="{E7B3D21B-5882-49B8-AEE5-AE937C5B1771}"/>
    <cellStyle name="普通 2 4" xfId="1809" xr:uid="{E3FCC3CE-C55A-40F8-9996-3F286701D43B}"/>
    <cellStyle name="普通 2 4 2" xfId="1810" xr:uid="{23EB927C-E9FE-4A20-AD3D-49EC6DBB39A3}"/>
    <cellStyle name="普通 2 4 2 2" xfId="1811" xr:uid="{C8F3B05F-85C5-4B3A-9506-E3BB6C051FF0}"/>
    <cellStyle name="普通 2 4 2 3" xfId="1812" xr:uid="{2EB65B11-00BF-487D-9217-9D9A5995A17E}"/>
    <cellStyle name="普通 2 4 3" xfId="1813" xr:uid="{315C7727-DB25-4760-AB1E-1DB9B0A21E2E}"/>
    <cellStyle name="普通 2 4 3 2" xfId="1814" xr:uid="{F9BB13A1-1C3E-4264-8436-641152799EBC}"/>
    <cellStyle name="普通 2 4 3 3" xfId="1815" xr:uid="{C42C7183-214E-4A05-BB56-AAA67FAAB137}"/>
    <cellStyle name="普通 2 4 4" xfId="1816" xr:uid="{60BB2458-D753-454F-843E-5139638EDB2C}"/>
    <cellStyle name="普通 2 4 5" xfId="1817" xr:uid="{8B59B042-8427-4D11-9B0C-77FBB09CD0EA}"/>
    <cellStyle name="普通 2 4 6" xfId="1818" xr:uid="{9F3935A4-DC75-4179-BADF-663E9D31A745}"/>
    <cellStyle name="普通 2 4 7" xfId="1819" xr:uid="{1B5F9E8C-B1DF-41DE-98CD-B0102BBFCE9B}"/>
    <cellStyle name="普通 2 5" xfId="1820" xr:uid="{874F2D4F-EFB7-4940-99E5-5DA00058CB4F}"/>
    <cellStyle name="普通 2 5 2" xfId="1479" xr:uid="{639680AF-1B20-4DD1-9F4C-D58BDE858232}"/>
    <cellStyle name="普通 2 5 2 2" xfId="1481" xr:uid="{AC392981-4555-40CC-B0DD-0C0C577335C1}"/>
    <cellStyle name="普通 2 5 2 3" xfId="1483" xr:uid="{BA1A5AE6-996D-4D94-A387-7E0EA86E7DFA}"/>
    <cellStyle name="普通 2 5 3" xfId="1485" xr:uid="{666E8F5F-DC52-44A1-AF3F-784218594B4F}"/>
    <cellStyle name="普通 2 5 4" xfId="1487" xr:uid="{99DA8111-DA5F-4849-A740-4B1B6DF7D3BD}"/>
    <cellStyle name="普通 2 5 5" xfId="1489" xr:uid="{E36B596C-CB1E-4B0E-B8F7-EED5B0BB01F3}"/>
    <cellStyle name="普通 2 5 6" xfId="1491" xr:uid="{AB75F480-D072-4A38-B44E-7A72F182F374}"/>
    <cellStyle name="普通 2 6" xfId="1821" xr:uid="{F94820E7-9E39-4269-A3CE-10A20C08767D}"/>
    <cellStyle name="普通 2 6 2" xfId="967" xr:uid="{E495CA88-2A4E-4F17-B47E-D5B61D4396F6}"/>
    <cellStyle name="普通 2 6 2 2" xfId="1822" xr:uid="{F1A6C3DA-2A76-4F27-AD80-2BE741D60E43}"/>
    <cellStyle name="普通 2 6 2 3" xfId="1823" xr:uid="{DD87D3EE-EBE0-4A7E-8B8B-1487FFABC112}"/>
    <cellStyle name="普通 2 6 3" xfId="1497" xr:uid="{B6944711-B79D-4D57-9031-21FAECCEFC5A}"/>
    <cellStyle name="普通 2 6 4" xfId="1499" xr:uid="{B94C0C17-8273-48F3-B13A-EAD1EF5981E1}"/>
    <cellStyle name="普通 2 6 5" xfId="1824" xr:uid="{629C5AA1-E595-425F-A413-DD269A7D1387}"/>
    <cellStyle name="普通 2 6 6" xfId="1825" xr:uid="{1F8C7A9B-2257-4F4D-B022-AECB635D6055}"/>
    <cellStyle name="普通 2 7" xfId="1324" xr:uid="{06E9207B-473D-48B1-97C4-610637A31D69}"/>
    <cellStyle name="普通 2 7 2" xfId="974" xr:uid="{387BA628-C6CB-427A-8D02-5DF0B07742F2}"/>
    <cellStyle name="普通 2 7 3" xfId="1329" xr:uid="{DFC756EE-CFAF-468D-A2F6-704444A6ED97}"/>
    <cellStyle name="普通 2 8" xfId="1335" xr:uid="{C0FDBFEA-71A3-4F52-8F77-57DC42ED8EDC}"/>
    <cellStyle name="普通 2 8 2" xfId="1338" xr:uid="{4164D432-A1AD-48E3-930C-6A2F82158855}"/>
    <cellStyle name="普通 2 8 3" xfId="1342" xr:uid="{7D94D08E-D649-4B94-A4EA-517191E3ED7B}"/>
    <cellStyle name="普通 2 9" xfId="1348" xr:uid="{16716B67-2388-415D-9CDD-8E9D602B8C34}"/>
    <cellStyle name="普通 3" xfId="528" xr:uid="{960A9CED-9B79-4942-9251-E205466BFB6D}"/>
    <cellStyle name="普通 3 2" xfId="1826" xr:uid="{73D70BA4-C879-44D0-B3A9-5875F7E05C64}"/>
    <cellStyle name="普通 3 2 2" xfId="1827" xr:uid="{AA9764BE-44A1-462F-936A-7AE122CC7F8A}"/>
    <cellStyle name="普通 3 3" xfId="1828" xr:uid="{383006BC-7B06-4E98-AFCC-943BF4795583}"/>
    <cellStyle name="普通 3 4" xfId="1829" xr:uid="{51856A85-8CAA-476D-AE7B-F01188B85974}"/>
    <cellStyle name="解释性文本 2" xfId="884" xr:uid="{0548C6BC-6625-4921-9D09-E5AA2B773EF6}"/>
    <cellStyle name="解释性文本 2 2" xfId="1830" xr:uid="{742EFB5D-481B-45EA-92BB-1ACDFFF0555E}"/>
    <cellStyle name="解释性文本 2 3" xfId="1831" xr:uid="{A170300F-476A-4BA3-B865-8DB6FA3073B3}"/>
    <cellStyle name="解释性文本 3" xfId="1832" xr:uid="{EE068774-9FBB-454B-9899-316364EC187F}"/>
    <cellStyle name="适中 2" xfId="96" xr:uid="{C334CFE6-696B-4CE8-BA20-808CBFCF74DD}"/>
    <cellStyle name="适中 2 2" xfId="1833" xr:uid="{42A89A85-78F8-4F50-A18D-32A197EB3C20}"/>
    <cellStyle name="适中 2 3" xfId="1834" xr:uid="{DA4AEA5C-FC35-43BD-9F1C-47DB75A8A8B2}"/>
    <cellStyle name="适中 3" xfId="605" xr:uid="{15AD0B24-6489-477A-B3EE-F99D02BE53B0}"/>
  </cellStyles>
  <dxfs count="129">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color theme="0"/>
      </font>
    </dxf>
    <dxf>
      <font>
        <color theme="9" tint="0.39994506668294322"/>
      </font>
      <fill>
        <patternFill>
          <bgColor theme="9" tint="0.39994506668294322"/>
        </patternFill>
      </fill>
    </dxf>
    <dxf>
      <font>
        <color rgb="FF1F497D"/>
      </font>
      <fill>
        <patternFill>
          <bgColor rgb="FF1F497D"/>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rgb="FFFFFFFF"/>
      </font>
      <fill>
        <patternFill>
          <bgColor rgb="FFFF0000"/>
        </patternFill>
      </fill>
    </dxf>
    <dxf>
      <font>
        <b/>
        <i val="0"/>
        <color rgb="FF000000"/>
      </font>
      <fill>
        <patternFill>
          <bgColor rgb="FFFFD347"/>
        </patternFill>
      </fill>
    </dxf>
    <dxf>
      <font>
        <b/>
        <i val="0"/>
        <color rgb="FF000000"/>
      </font>
      <fill>
        <patternFill>
          <bgColor rgb="FFFFFF00"/>
        </patternFill>
      </fill>
    </dxf>
    <dxf>
      <font>
        <b/>
        <i val="0"/>
        <color rgb="FF000000"/>
      </font>
      <fill>
        <patternFill>
          <bgColor rgb="FF00CC00"/>
        </patternFill>
      </fill>
    </dxf>
    <dxf>
      <font>
        <b/>
        <i val="0"/>
        <color rgb="FF000000"/>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color theme="0"/>
      </font>
      <fill>
        <patternFill>
          <bgColor rgb="FFFF0000"/>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ont>
        <b/>
        <i val="0"/>
        <color theme="0"/>
      </font>
      <fill>
        <patternFill>
          <bgColor rgb="FFFF0000"/>
        </patternFill>
      </fill>
    </dxf>
    <dxf>
      <font>
        <b/>
        <i val="0"/>
        <color theme="1"/>
      </font>
      <fill>
        <patternFill>
          <bgColor rgb="FFFFD347"/>
        </patternFill>
      </fill>
    </dxf>
    <dxf>
      <font>
        <b/>
        <i val="0"/>
        <color theme="1"/>
      </font>
      <fill>
        <patternFill>
          <bgColor rgb="FFFFFF00"/>
        </patternFill>
      </fill>
    </dxf>
    <dxf>
      <font>
        <b/>
        <i val="0"/>
        <color theme="1"/>
      </font>
      <fill>
        <patternFill>
          <bgColor rgb="FF00CC00"/>
        </patternFill>
      </fill>
    </dxf>
    <dxf>
      <font>
        <b/>
        <i val="0"/>
        <color theme="1"/>
      </font>
      <fill>
        <patternFill>
          <bgColor rgb="FF33CC33"/>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FF00"/>
        </patternFill>
      </fill>
    </dxf>
    <dxf>
      <fill>
        <patternFill>
          <bgColor rgb="FF00CC00"/>
        </patternFill>
      </fill>
    </dxf>
    <dxf>
      <fill>
        <patternFill>
          <bgColor rgb="FF00FF00"/>
        </patternFill>
      </fill>
    </dxf>
    <dxf>
      <fill>
        <patternFill>
          <bgColor rgb="FF00FF00"/>
        </patternFill>
      </fill>
    </dxf>
    <dxf>
      <fill>
        <patternFill>
          <bgColor rgb="FF00FF00"/>
        </patternFill>
      </fill>
    </dxf>
    <dxf>
      <fill>
        <patternFill>
          <bgColor rgb="FF00FF00"/>
        </patternFill>
      </fill>
    </dxf>
    <dxf>
      <font>
        <color theme="0"/>
      </font>
      <fill>
        <patternFill>
          <bgColor theme="1" tint="0.34998626667073579"/>
        </patternFill>
      </fill>
    </dxf>
    <dxf>
      <font>
        <color theme="0"/>
      </font>
      <fill>
        <patternFill>
          <bgColor theme="1" tint="0.34998626667073579"/>
        </patternFill>
      </fill>
    </dxf>
    <dxf>
      <font>
        <color auto="1"/>
      </font>
      <fill>
        <patternFill>
          <bgColor rgb="FF00CC00"/>
        </patternFill>
      </fill>
    </dxf>
    <dxf>
      <font>
        <color theme="0"/>
      </font>
      <fill>
        <patternFill>
          <bgColor rgb="FF1F497D"/>
        </patternFill>
      </fill>
    </dxf>
    <dxf>
      <font>
        <color rgb="FFFF0000"/>
      </font>
    </dxf>
    <dxf>
      <font>
        <color rgb="FFFF0000"/>
      </font>
    </dxf>
    <dxf>
      <font>
        <color rgb="FFFF0000"/>
      </font>
    </dxf>
    <dxf>
      <font>
        <color rgb="FFFF0000"/>
      </font>
    </dxf>
    <dxf>
      <font>
        <color rgb="FFFF0000"/>
      </font>
    </dxf>
    <dxf>
      <font>
        <color rgb="FFFF0000"/>
      </font>
    </dxf>
    <dxf>
      <font>
        <color rgb="FFFF0000"/>
      </font>
    </dxf>
  </dxfs>
  <tableStyles count="0" defaultTableStyle="TableStyleMedium2" defaultPivotStyle="PivotStyleLight16"/>
  <colors>
    <mruColors>
      <color rgb="FFFAA61A"/>
      <color rgb="FFE28670"/>
      <color rgb="FFB783BA"/>
      <color rgb="FF6C2C89"/>
      <color rgb="FF007DC6"/>
      <color rgb="FF70C066"/>
      <color rgb="FF13A64F"/>
      <color rgb="FF038050"/>
      <color rgb="FFF15A25"/>
      <color rgb="FF812D1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externalLink" Target="externalLinks/externalLink2.xml"/><Relationship Id="rId55" Type="http://schemas.openxmlformats.org/officeDocument/2006/relationships/pivotCacheDefinition" Target="pivotCache/pivotCacheDefinition5.xml"/><Relationship Id="rId63"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pivotCacheDefinition" Target="pivotCache/pivotCacheDefinition4.xml"/><Relationship Id="rId62"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pivotCacheDefinition" Target="pivotCache/pivotCacheDefinition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externalLink" Target="externalLinks/externalLink1.xml"/><Relationship Id="rId57" Type="http://schemas.openxmlformats.org/officeDocument/2006/relationships/theme" Target="theme/theme1.xml"/><Relationship Id="rId61"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pivotCacheDefinition" Target="pivotCache/pivotCacheDefinition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pivotCacheDefinition" Target="pivotCache/pivotCacheDefinition6.xml"/><Relationship Id="rId64" Type="http://schemas.microsoft.com/office/2006/relationships/vbaProject" Target="vbaProject.bin"/><Relationship Id="rId8" Type="http://schemas.openxmlformats.org/officeDocument/2006/relationships/worksheet" Target="worksheets/sheet8.xml"/><Relationship Id="rId51" Type="http://schemas.openxmlformats.org/officeDocument/2006/relationships/pivotCacheDefinition" Target="pivotCache/pivotCacheDefinition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2" Type="http://schemas.openxmlformats.org/officeDocument/2006/relationships/image" Target="../media/image2.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s>
</file>

<file path=xl/drawings/_rels/drawing3.xml.rels><?xml version="1.0" encoding="UTF-8" standalone="yes"?>
<Relationships xmlns="http://schemas.openxmlformats.org/package/2006/relationships"><Relationship Id="rId1" Type="http://schemas.openxmlformats.org/officeDocument/2006/relationships/image" Target="../media/image14.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16.emf"/></Relationships>
</file>

<file path=xl/drawings/drawing1.xml><?xml version="1.0" encoding="utf-8"?>
<xdr:wsDr xmlns:xdr="http://schemas.openxmlformats.org/drawingml/2006/spreadsheetDrawing" xmlns:a="http://schemas.openxmlformats.org/drawingml/2006/main">
  <xdr:twoCellAnchor editAs="oneCell">
    <xdr:from>
      <xdr:col>12</xdr:col>
      <xdr:colOff>601890</xdr:colOff>
      <xdr:row>8</xdr:row>
      <xdr:rowOff>17236</xdr:rowOff>
    </xdr:from>
    <xdr:to>
      <xdr:col>17</xdr:col>
      <xdr:colOff>349355</xdr:colOff>
      <xdr:row>18</xdr:row>
      <xdr:rowOff>145664</xdr:rowOff>
    </xdr:to>
    <xdr:pic>
      <xdr:nvPicPr>
        <xdr:cNvPr id="2" name="Picture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stretch>
          <a:fillRect/>
        </a:stretch>
      </xdr:blipFill>
      <xdr:spPr>
        <a:xfrm>
          <a:off x="11841390" y="1465036"/>
          <a:ext cx="2795465" cy="3071653"/>
        </a:xfrm>
        <a:prstGeom prst="rect">
          <a:avLst/>
        </a:prstGeom>
      </xdr:spPr>
    </xdr:pic>
    <xdr:clientData/>
  </xdr:twoCellAnchor>
  <xdr:twoCellAnchor editAs="oneCell">
    <xdr:from>
      <xdr:col>7</xdr:col>
      <xdr:colOff>18143</xdr:colOff>
      <xdr:row>7</xdr:row>
      <xdr:rowOff>107497</xdr:rowOff>
    </xdr:from>
    <xdr:to>
      <xdr:col>11</xdr:col>
      <xdr:colOff>379743</xdr:colOff>
      <xdr:row>17</xdr:row>
      <xdr:rowOff>220957</xdr:rowOff>
    </xdr:to>
    <xdr:pic>
      <xdr:nvPicPr>
        <xdr:cNvPr id="3" name="Picture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2"/>
        <a:stretch>
          <a:fillRect/>
        </a:stretch>
      </xdr:blipFill>
      <xdr:spPr>
        <a:xfrm>
          <a:off x="8209643" y="1374322"/>
          <a:ext cx="2800000" cy="3053510"/>
        </a:xfrm>
        <a:prstGeom prst="rect">
          <a:avLst/>
        </a:prstGeom>
      </xdr:spPr>
    </xdr:pic>
    <xdr:clientData/>
  </xdr:twoCellAnchor>
  <xdr:twoCellAnchor editAs="oneCell">
    <xdr:from>
      <xdr:col>6</xdr:col>
      <xdr:colOff>601436</xdr:colOff>
      <xdr:row>24</xdr:row>
      <xdr:rowOff>141514</xdr:rowOff>
    </xdr:from>
    <xdr:to>
      <xdr:col>11</xdr:col>
      <xdr:colOff>333479</xdr:colOff>
      <xdr:row>41</xdr:row>
      <xdr:rowOff>114300</xdr:rowOff>
    </xdr:to>
    <xdr:pic>
      <xdr:nvPicPr>
        <xdr:cNvPr id="4" name="Picture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8183336" y="5246914"/>
          <a:ext cx="2776868" cy="3049361"/>
        </a:xfrm>
        <a:prstGeom prst="rect">
          <a:avLst/>
        </a:prstGeom>
      </xdr:spPr>
    </xdr:pic>
    <xdr:clientData/>
  </xdr:twoCellAnchor>
  <xdr:twoCellAnchor editAs="oneCell">
    <xdr:from>
      <xdr:col>13</xdr:col>
      <xdr:colOff>19957</xdr:colOff>
      <xdr:row>24</xdr:row>
      <xdr:rowOff>268969</xdr:rowOff>
    </xdr:from>
    <xdr:to>
      <xdr:col>17</xdr:col>
      <xdr:colOff>364321</xdr:colOff>
      <xdr:row>41</xdr:row>
      <xdr:rowOff>169704</xdr:rowOff>
    </xdr:to>
    <xdr:pic>
      <xdr:nvPicPr>
        <xdr:cNvPr id="5" name="Picture 4">
          <a:extLst>
            <a:ext uri="{FF2B5EF4-FFF2-40B4-BE49-F238E27FC236}">
              <a16:creationId xmlns:a16="http://schemas.microsoft.com/office/drawing/2014/main" id="{00000000-0008-0000-0100-000005000000}"/>
            </a:ext>
          </a:extLst>
        </xdr:cNvPr>
        <xdr:cNvPicPr>
          <a:picLocks noChangeAspect="1"/>
        </xdr:cNvPicPr>
      </xdr:nvPicPr>
      <xdr:blipFill>
        <a:blip xmlns:r="http://schemas.openxmlformats.org/officeDocument/2006/relationships" r:embed="rId4"/>
        <a:stretch>
          <a:fillRect/>
        </a:stretch>
      </xdr:blipFill>
      <xdr:spPr>
        <a:xfrm>
          <a:off x="22317982" y="5069569"/>
          <a:ext cx="2782764" cy="3063035"/>
        </a:xfrm>
        <a:prstGeom prst="rect">
          <a:avLst/>
        </a:prstGeom>
      </xdr:spPr>
    </xdr:pic>
    <xdr:clientData/>
  </xdr:twoCellAnchor>
  <xdr:twoCellAnchor editAs="oneCell">
    <xdr:from>
      <xdr:col>7</xdr:col>
      <xdr:colOff>0</xdr:colOff>
      <xdr:row>45</xdr:row>
      <xdr:rowOff>1</xdr:rowOff>
    </xdr:from>
    <xdr:to>
      <xdr:col>10</xdr:col>
      <xdr:colOff>112760</xdr:colOff>
      <xdr:row>59</xdr:row>
      <xdr:rowOff>47626</xdr:rowOff>
    </xdr:to>
    <xdr:pic>
      <xdr:nvPicPr>
        <xdr:cNvPr id="6" name="Picture 5">
          <a:extLst>
            <a:ext uri="{FF2B5EF4-FFF2-40B4-BE49-F238E27FC236}">
              <a16:creationId xmlns:a16="http://schemas.microsoft.com/office/drawing/2014/main" id="{00000000-0008-0000-0100-000006000000}"/>
            </a:ext>
          </a:extLst>
        </xdr:cNvPr>
        <xdr:cNvPicPr>
          <a:picLocks noChangeAspect="1"/>
        </xdr:cNvPicPr>
      </xdr:nvPicPr>
      <xdr:blipFill>
        <a:blip xmlns:r="http://schemas.openxmlformats.org/officeDocument/2006/relationships" r:embed="rId5"/>
        <a:stretch>
          <a:fillRect/>
        </a:stretch>
      </xdr:blipFill>
      <xdr:spPr>
        <a:xfrm>
          <a:off x="8210550" y="9207501"/>
          <a:ext cx="1941560" cy="2628900"/>
        </a:xfrm>
        <a:prstGeom prst="rect">
          <a:avLst/>
        </a:prstGeom>
      </xdr:spPr>
    </xdr:pic>
    <xdr:clientData/>
  </xdr:twoCellAnchor>
  <xdr:twoCellAnchor editAs="oneCell">
    <xdr:from>
      <xdr:col>3</xdr:col>
      <xdr:colOff>0</xdr:colOff>
      <xdr:row>46</xdr:row>
      <xdr:rowOff>0</xdr:rowOff>
    </xdr:from>
    <xdr:to>
      <xdr:col>3</xdr:col>
      <xdr:colOff>1828800</xdr:colOff>
      <xdr:row>59</xdr:row>
      <xdr:rowOff>85446</xdr:rowOff>
    </xdr:to>
    <xdr:pic>
      <xdr:nvPicPr>
        <xdr:cNvPr id="7" name="Picture 6">
          <a:extLst>
            <a:ext uri="{FF2B5EF4-FFF2-40B4-BE49-F238E27FC236}">
              <a16:creationId xmlns:a16="http://schemas.microsoft.com/office/drawing/2014/main" id="{00000000-0008-0000-0100-000007000000}"/>
            </a:ext>
          </a:extLst>
        </xdr:cNvPr>
        <xdr:cNvPicPr>
          <a:picLocks noChangeAspect="1"/>
        </xdr:cNvPicPr>
      </xdr:nvPicPr>
      <xdr:blipFill>
        <a:blip xmlns:r="http://schemas.openxmlformats.org/officeDocument/2006/relationships" r:embed="rId6"/>
        <a:stretch>
          <a:fillRect/>
        </a:stretch>
      </xdr:blipFill>
      <xdr:spPr>
        <a:xfrm>
          <a:off x="3168650" y="9391650"/>
          <a:ext cx="1828800" cy="2476221"/>
        </a:xfrm>
        <a:prstGeom prst="rect">
          <a:avLst/>
        </a:prstGeom>
      </xdr:spPr>
    </xdr:pic>
    <xdr:clientData/>
  </xdr:twoCellAnchor>
  <xdr:twoCellAnchor editAs="oneCell">
    <xdr:from>
      <xdr:col>1</xdr:col>
      <xdr:colOff>0</xdr:colOff>
      <xdr:row>45</xdr:row>
      <xdr:rowOff>0</xdr:rowOff>
    </xdr:from>
    <xdr:to>
      <xdr:col>2</xdr:col>
      <xdr:colOff>676275</xdr:colOff>
      <xdr:row>60</xdr:row>
      <xdr:rowOff>881</xdr:rowOff>
    </xdr:to>
    <xdr:pic>
      <xdr:nvPicPr>
        <xdr:cNvPr id="8" name="Picture 7">
          <a:extLst>
            <a:ext uri="{FF2B5EF4-FFF2-40B4-BE49-F238E27FC236}">
              <a16:creationId xmlns:a16="http://schemas.microsoft.com/office/drawing/2014/main" id="{00000000-0008-0000-0100-000008000000}"/>
            </a:ext>
          </a:extLst>
        </xdr:cNvPr>
        <xdr:cNvPicPr>
          <a:picLocks noChangeAspect="1"/>
        </xdr:cNvPicPr>
      </xdr:nvPicPr>
      <xdr:blipFill>
        <a:blip xmlns:r="http://schemas.openxmlformats.org/officeDocument/2006/relationships" r:embed="rId7"/>
        <a:stretch>
          <a:fillRect/>
        </a:stretch>
      </xdr:blipFill>
      <xdr:spPr>
        <a:xfrm>
          <a:off x="590550" y="9207500"/>
          <a:ext cx="2038350" cy="2759956"/>
        </a:xfrm>
        <a:prstGeom prst="rect">
          <a:avLst/>
        </a:prstGeom>
      </xdr:spPr>
    </xdr:pic>
    <xdr:clientData/>
  </xdr:twoCellAnchor>
  <xdr:twoCellAnchor editAs="oneCell">
    <xdr:from>
      <xdr:col>1</xdr:col>
      <xdr:colOff>0</xdr:colOff>
      <xdr:row>64</xdr:row>
      <xdr:rowOff>27972</xdr:rowOff>
    </xdr:from>
    <xdr:to>
      <xdr:col>2</xdr:col>
      <xdr:colOff>685800</xdr:colOff>
      <xdr:row>79</xdr:row>
      <xdr:rowOff>31101</xdr:rowOff>
    </xdr:to>
    <xdr:pic>
      <xdr:nvPicPr>
        <xdr:cNvPr id="9" name="Picture 8">
          <a:extLst>
            <a:ext uri="{FF2B5EF4-FFF2-40B4-BE49-F238E27FC236}">
              <a16:creationId xmlns:a16="http://schemas.microsoft.com/office/drawing/2014/main" id="{00000000-0008-0000-0100-000009000000}"/>
            </a:ext>
          </a:extLst>
        </xdr:cNvPr>
        <xdr:cNvPicPr>
          <a:picLocks noChangeAspect="1"/>
        </xdr:cNvPicPr>
      </xdr:nvPicPr>
      <xdr:blipFill>
        <a:blip xmlns:r="http://schemas.openxmlformats.org/officeDocument/2006/relationships" r:embed="rId8"/>
        <a:stretch>
          <a:fillRect/>
        </a:stretch>
      </xdr:blipFill>
      <xdr:spPr>
        <a:xfrm>
          <a:off x="590550" y="12734322"/>
          <a:ext cx="2044700" cy="2768554"/>
        </a:xfrm>
        <a:prstGeom prst="rect">
          <a:avLst/>
        </a:prstGeom>
      </xdr:spPr>
    </xdr:pic>
    <xdr:clientData/>
  </xdr:twoCellAnchor>
  <xdr:twoCellAnchor editAs="oneCell">
    <xdr:from>
      <xdr:col>3</xdr:col>
      <xdr:colOff>25400</xdr:colOff>
      <xdr:row>64</xdr:row>
      <xdr:rowOff>31750</xdr:rowOff>
    </xdr:from>
    <xdr:to>
      <xdr:col>3</xdr:col>
      <xdr:colOff>1773507</xdr:colOff>
      <xdr:row>77</xdr:row>
      <xdr:rowOff>7937</xdr:rowOff>
    </xdr:to>
    <xdr:pic>
      <xdr:nvPicPr>
        <xdr:cNvPr id="10" name="Picture 9">
          <a:extLst>
            <a:ext uri="{FF2B5EF4-FFF2-40B4-BE49-F238E27FC236}">
              <a16:creationId xmlns:a16="http://schemas.microsoft.com/office/drawing/2014/main" id="{00000000-0008-0000-0100-00000A000000}"/>
            </a:ext>
          </a:extLst>
        </xdr:cNvPr>
        <xdr:cNvPicPr>
          <a:picLocks noChangeAspect="1"/>
        </xdr:cNvPicPr>
      </xdr:nvPicPr>
      <xdr:blipFill>
        <a:blip xmlns:r="http://schemas.openxmlformats.org/officeDocument/2006/relationships" r:embed="rId9"/>
        <a:stretch>
          <a:fillRect/>
        </a:stretch>
      </xdr:blipFill>
      <xdr:spPr>
        <a:xfrm>
          <a:off x="3194050" y="12738100"/>
          <a:ext cx="1748107" cy="2366962"/>
        </a:xfrm>
        <a:prstGeom prst="rect">
          <a:avLst/>
        </a:prstGeom>
      </xdr:spPr>
    </xdr:pic>
    <xdr:clientData/>
  </xdr:twoCellAnchor>
  <xdr:twoCellAnchor editAs="oneCell">
    <xdr:from>
      <xdr:col>5</xdr:col>
      <xdr:colOff>82550</xdr:colOff>
      <xdr:row>63</xdr:row>
      <xdr:rowOff>82284</xdr:rowOff>
    </xdr:from>
    <xdr:to>
      <xdr:col>8</xdr:col>
      <xdr:colOff>152400</xdr:colOff>
      <xdr:row>77</xdr:row>
      <xdr:rowOff>74983</xdr:rowOff>
    </xdr:to>
    <xdr:pic>
      <xdr:nvPicPr>
        <xdr:cNvPr id="11" name="Picture 10">
          <a:extLst>
            <a:ext uri="{FF2B5EF4-FFF2-40B4-BE49-F238E27FC236}">
              <a16:creationId xmlns:a16="http://schemas.microsoft.com/office/drawing/2014/main" id="{00000000-0008-0000-0100-00000B000000}"/>
            </a:ext>
          </a:extLst>
        </xdr:cNvPr>
        <xdr:cNvPicPr>
          <a:picLocks noChangeAspect="1"/>
        </xdr:cNvPicPr>
      </xdr:nvPicPr>
      <xdr:blipFill>
        <a:blip xmlns:r="http://schemas.openxmlformats.org/officeDocument/2006/relationships" r:embed="rId10"/>
        <a:stretch>
          <a:fillRect/>
        </a:stretch>
      </xdr:blipFill>
      <xdr:spPr>
        <a:xfrm>
          <a:off x="7073900" y="12604484"/>
          <a:ext cx="1898650" cy="2570799"/>
        </a:xfrm>
        <a:prstGeom prst="rect">
          <a:avLst/>
        </a:prstGeom>
      </xdr:spPr>
    </xdr:pic>
    <xdr:clientData/>
  </xdr:twoCellAnchor>
  <xdr:twoCellAnchor editAs="oneCell">
    <xdr:from>
      <xdr:col>10</xdr:col>
      <xdr:colOff>0</xdr:colOff>
      <xdr:row>65</xdr:row>
      <xdr:rowOff>0</xdr:rowOff>
    </xdr:from>
    <xdr:to>
      <xdr:col>13</xdr:col>
      <xdr:colOff>38100</xdr:colOff>
      <xdr:row>78</xdr:row>
      <xdr:rowOff>133860</xdr:rowOff>
    </xdr:to>
    <xdr:pic>
      <xdr:nvPicPr>
        <xdr:cNvPr id="12" name="Picture 11">
          <a:extLst>
            <a:ext uri="{FF2B5EF4-FFF2-40B4-BE49-F238E27FC236}">
              <a16:creationId xmlns:a16="http://schemas.microsoft.com/office/drawing/2014/main" id="{00000000-0008-0000-0100-00000C000000}"/>
            </a:ext>
          </a:extLst>
        </xdr:cNvPr>
        <xdr:cNvPicPr>
          <a:picLocks noChangeAspect="1"/>
        </xdr:cNvPicPr>
      </xdr:nvPicPr>
      <xdr:blipFill>
        <a:blip xmlns:r="http://schemas.openxmlformats.org/officeDocument/2006/relationships" r:embed="rId11"/>
        <a:stretch>
          <a:fillRect/>
        </a:stretch>
      </xdr:blipFill>
      <xdr:spPr>
        <a:xfrm>
          <a:off x="10039350" y="12890500"/>
          <a:ext cx="1866900" cy="2527810"/>
        </a:xfrm>
        <a:prstGeom prst="rect">
          <a:avLst/>
        </a:prstGeom>
      </xdr:spPr>
    </xdr:pic>
    <xdr:clientData/>
  </xdr:twoCellAnchor>
  <xdr:twoCellAnchor editAs="oneCell">
    <xdr:from>
      <xdr:col>15</xdr:col>
      <xdr:colOff>245270</xdr:colOff>
      <xdr:row>64</xdr:row>
      <xdr:rowOff>127000</xdr:rowOff>
    </xdr:from>
    <xdr:to>
      <xdr:col>18</xdr:col>
      <xdr:colOff>466398</xdr:colOff>
      <xdr:row>79</xdr:row>
      <xdr:rowOff>136083</xdr:rowOff>
    </xdr:to>
    <xdr:pic>
      <xdr:nvPicPr>
        <xdr:cNvPr id="13" name="Picture 12">
          <a:extLst>
            <a:ext uri="{FF2B5EF4-FFF2-40B4-BE49-F238E27FC236}">
              <a16:creationId xmlns:a16="http://schemas.microsoft.com/office/drawing/2014/main" id="{00000000-0008-0000-0100-00000D000000}"/>
            </a:ext>
          </a:extLst>
        </xdr:cNvPr>
        <xdr:cNvPicPr>
          <a:picLocks noChangeAspect="1"/>
        </xdr:cNvPicPr>
      </xdr:nvPicPr>
      <xdr:blipFill>
        <a:blip xmlns:r="http://schemas.openxmlformats.org/officeDocument/2006/relationships" r:embed="rId12"/>
        <a:stretch>
          <a:fillRect/>
        </a:stretch>
      </xdr:blipFill>
      <xdr:spPr>
        <a:xfrm>
          <a:off x="13332620" y="12833350"/>
          <a:ext cx="2046753" cy="2771333"/>
        </a:xfrm>
        <a:prstGeom prst="rect">
          <a:avLst/>
        </a:prstGeom>
      </xdr:spPr>
    </xdr:pic>
    <xdr:clientData/>
  </xdr:twoCellAnchor>
  <xdr:twoCellAnchor editAs="oneCell">
    <xdr:from>
      <xdr:col>5</xdr:col>
      <xdr:colOff>0</xdr:colOff>
      <xdr:row>84</xdr:row>
      <xdr:rowOff>0</xdr:rowOff>
    </xdr:from>
    <xdr:to>
      <xdr:col>7</xdr:col>
      <xdr:colOff>475469</xdr:colOff>
      <xdr:row>96</xdr:row>
      <xdr:rowOff>87981</xdr:rowOff>
    </xdr:to>
    <xdr:pic>
      <xdr:nvPicPr>
        <xdr:cNvPr id="14" name="Picture 13">
          <a:extLst>
            <a:ext uri="{FF2B5EF4-FFF2-40B4-BE49-F238E27FC236}">
              <a16:creationId xmlns:a16="http://schemas.microsoft.com/office/drawing/2014/main" id="{00000000-0008-0000-0100-00000E000000}"/>
            </a:ext>
          </a:extLst>
        </xdr:cNvPr>
        <xdr:cNvPicPr>
          <a:picLocks noChangeAspect="1"/>
        </xdr:cNvPicPr>
      </xdr:nvPicPr>
      <xdr:blipFill>
        <a:blip xmlns:r="http://schemas.openxmlformats.org/officeDocument/2006/relationships" r:embed="rId13"/>
        <a:stretch>
          <a:fillRect/>
        </a:stretch>
      </xdr:blipFill>
      <xdr:spPr>
        <a:xfrm>
          <a:off x="6991350" y="16389350"/>
          <a:ext cx="1694669" cy="2294606"/>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222250</xdr:colOff>
          <xdr:row>1</xdr:row>
          <xdr:rowOff>171450</xdr:rowOff>
        </xdr:from>
        <xdr:to>
          <xdr:col>0</xdr:col>
          <xdr:colOff>1593850</xdr:colOff>
          <xdr:row>3</xdr:row>
          <xdr:rowOff>114300</xdr:rowOff>
        </xdr:to>
        <xdr:sp macro="" textlink="">
          <xdr:nvSpPr>
            <xdr:cNvPr id="47105" name="Button 1" hidden="1">
              <a:extLst>
                <a:ext uri="{63B3BB69-23CF-44E3-9099-C40C66FF867C}">
                  <a14:compatExt spid="_x0000_s47105"/>
                </a:ext>
                <a:ext uri="{FF2B5EF4-FFF2-40B4-BE49-F238E27FC236}">
                  <a16:creationId xmlns:a16="http://schemas.microsoft.com/office/drawing/2014/main" id="{00000000-0008-0000-0300-000001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List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361950</xdr:colOff>
          <xdr:row>2</xdr:row>
          <xdr:rowOff>50800</xdr:rowOff>
        </xdr:from>
        <xdr:to>
          <xdr:col>10</xdr:col>
          <xdr:colOff>514350</xdr:colOff>
          <xdr:row>3</xdr:row>
          <xdr:rowOff>146050</xdr:rowOff>
        </xdr:to>
        <xdr:sp macro="" textlink="">
          <xdr:nvSpPr>
            <xdr:cNvPr id="47106" name="Button 2" hidden="1">
              <a:extLst>
                <a:ext uri="{63B3BB69-23CF-44E3-9099-C40C66FF867C}">
                  <a14:compatExt spid="_x0000_s47106"/>
                </a:ext>
                <a:ext uri="{FF2B5EF4-FFF2-40B4-BE49-F238E27FC236}">
                  <a16:creationId xmlns:a16="http://schemas.microsoft.com/office/drawing/2014/main" id="{00000000-0008-0000-0300-000002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all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165100</xdr:colOff>
          <xdr:row>2</xdr:row>
          <xdr:rowOff>38100</xdr:rowOff>
        </xdr:from>
        <xdr:to>
          <xdr:col>1</xdr:col>
          <xdr:colOff>793750</xdr:colOff>
          <xdr:row>3</xdr:row>
          <xdr:rowOff>57150</xdr:rowOff>
        </xdr:to>
        <xdr:sp macro="" textlink="">
          <xdr:nvSpPr>
            <xdr:cNvPr id="47107" name="Button 3" hidden="1">
              <a:extLst>
                <a:ext uri="{63B3BB69-23CF-44E3-9099-C40C66FF867C}">
                  <a14:compatExt spid="_x0000_s47107"/>
                </a:ext>
                <a:ext uri="{FF2B5EF4-FFF2-40B4-BE49-F238E27FC236}">
                  <a16:creationId xmlns:a16="http://schemas.microsoft.com/office/drawing/2014/main" id="{00000000-0008-0000-0300-000003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1</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152400</xdr:colOff>
          <xdr:row>2</xdr:row>
          <xdr:rowOff>50800</xdr:rowOff>
        </xdr:from>
        <xdr:to>
          <xdr:col>2</xdr:col>
          <xdr:colOff>774700</xdr:colOff>
          <xdr:row>3</xdr:row>
          <xdr:rowOff>69850</xdr:rowOff>
        </xdr:to>
        <xdr:sp macro="" textlink="">
          <xdr:nvSpPr>
            <xdr:cNvPr id="47108" name="Button 4" hidden="1">
              <a:extLst>
                <a:ext uri="{63B3BB69-23CF-44E3-9099-C40C66FF867C}">
                  <a14:compatExt spid="_x0000_s47108"/>
                </a:ext>
                <a:ext uri="{FF2B5EF4-FFF2-40B4-BE49-F238E27FC236}">
                  <a16:creationId xmlns:a16="http://schemas.microsoft.com/office/drawing/2014/main" id="{00000000-0008-0000-0300-000004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2</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152400</xdr:colOff>
          <xdr:row>2</xdr:row>
          <xdr:rowOff>31750</xdr:rowOff>
        </xdr:from>
        <xdr:to>
          <xdr:col>3</xdr:col>
          <xdr:colOff>755650</xdr:colOff>
          <xdr:row>3</xdr:row>
          <xdr:rowOff>107950</xdr:rowOff>
        </xdr:to>
        <xdr:sp macro="" textlink="">
          <xdr:nvSpPr>
            <xdr:cNvPr id="47109" name="Button 5" hidden="1">
              <a:extLst>
                <a:ext uri="{63B3BB69-23CF-44E3-9099-C40C66FF867C}">
                  <a14:compatExt spid="_x0000_s47109"/>
                </a:ext>
                <a:ext uri="{FF2B5EF4-FFF2-40B4-BE49-F238E27FC236}">
                  <a16:creationId xmlns:a16="http://schemas.microsoft.com/office/drawing/2014/main" id="{00000000-0008-0000-0300-000005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3</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165100</xdr:colOff>
          <xdr:row>2</xdr:row>
          <xdr:rowOff>50800</xdr:rowOff>
        </xdr:from>
        <xdr:to>
          <xdr:col>4</xdr:col>
          <xdr:colOff>755650</xdr:colOff>
          <xdr:row>3</xdr:row>
          <xdr:rowOff>127000</xdr:rowOff>
        </xdr:to>
        <xdr:sp macro="" textlink="">
          <xdr:nvSpPr>
            <xdr:cNvPr id="47110" name="Button 6" hidden="1">
              <a:extLst>
                <a:ext uri="{63B3BB69-23CF-44E3-9099-C40C66FF867C}">
                  <a14:compatExt spid="_x0000_s47110"/>
                </a:ext>
                <a:ext uri="{FF2B5EF4-FFF2-40B4-BE49-F238E27FC236}">
                  <a16:creationId xmlns:a16="http://schemas.microsoft.com/office/drawing/2014/main" id="{00000000-0008-0000-0300-000006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4</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165100</xdr:colOff>
          <xdr:row>2</xdr:row>
          <xdr:rowOff>50800</xdr:rowOff>
        </xdr:from>
        <xdr:to>
          <xdr:col>5</xdr:col>
          <xdr:colOff>781050</xdr:colOff>
          <xdr:row>3</xdr:row>
          <xdr:rowOff>127000</xdr:rowOff>
        </xdr:to>
        <xdr:sp macro="" textlink="">
          <xdr:nvSpPr>
            <xdr:cNvPr id="47111" name="Button 7" hidden="1">
              <a:extLst>
                <a:ext uri="{63B3BB69-23CF-44E3-9099-C40C66FF867C}">
                  <a14:compatExt spid="_x0000_s47111"/>
                </a:ext>
                <a:ext uri="{FF2B5EF4-FFF2-40B4-BE49-F238E27FC236}">
                  <a16:creationId xmlns:a16="http://schemas.microsoft.com/office/drawing/2014/main" id="{00000000-0008-0000-0300-000007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5</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127000</xdr:colOff>
          <xdr:row>2</xdr:row>
          <xdr:rowOff>31750</xdr:rowOff>
        </xdr:from>
        <xdr:to>
          <xdr:col>6</xdr:col>
          <xdr:colOff>755650</xdr:colOff>
          <xdr:row>3</xdr:row>
          <xdr:rowOff>107950</xdr:rowOff>
        </xdr:to>
        <xdr:sp macro="" textlink="">
          <xdr:nvSpPr>
            <xdr:cNvPr id="47112" name="Button 8" hidden="1">
              <a:extLst>
                <a:ext uri="{63B3BB69-23CF-44E3-9099-C40C66FF867C}">
                  <a14:compatExt spid="_x0000_s47112"/>
                </a:ext>
                <a:ext uri="{FF2B5EF4-FFF2-40B4-BE49-F238E27FC236}">
                  <a16:creationId xmlns:a16="http://schemas.microsoft.com/office/drawing/2014/main" id="{00000000-0008-0000-0300-000008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6</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107950</xdr:colOff>
          <xdr:row>2</xdr:row>
          <xdr:rowOff>38100</xdr:rowOff>
        </xdr:from>
        <xdr:to>
          <xdr:col>7</xdr:col>
          <xdr:colOff>736600</xdr:colOff>
          <xdr:row>3</xdr:row>
          <xdr:rowOff>114300</xdr:rowOff>
        </xdr:to>
        <xdr:sp macro="" textlink="">
          <xdr:nvSpPr>
            <xdr:cNvPr id="47113" name="Button 9" hidden="1">
              <a:extLst>
                <a:ext uri="{63B3BB69-23CF-44E3-9099-C40C66FF867C}">
                  <a14:compatExt spid="_x0000_s47113"/>
                </a:ext>
                <a:ext uri="{FF2B5EF4-FFF2-40B4-BE49-F238E27FC236}">
                  <a16:creationId xmlns:a16="http://schemas.microsoft.com/office/drawing/2014/main" id="{00000000-0008-0000-0300-000009B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ZA" sz="1100" b="0" i="0" u="none" strike="noStrike" baseline="0">
                  <a:solidFill>
                    <a:srgbClr val="000000"/>
                  </a:solidFill>
                  <a:latin typeface="Calibri"/>
                  <a:cs typeface="Calibri"/>
                </a:rPr>
                <a:t>Show 7</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1571625</xdr:colOff>
      <xdr:row>16</xdr:row>
      <xdr:rowOff>158751</xdr:rowOff>
    </xdr:from>
    <xdr:to>
      <xdr:col>1</xdr:col>
      <xdr:colOff>2797175</xdr:colOff>
      <xdr:row>16</xdr:row>
      <xdr:rowOff>742229</xdr:rowOff>
    </xdr:to>
    <xdr:pic>
      <xdr:nvPicPr>
        <xdr:cNvPr id="4" name="Picture 3" descr="Image result for any logo">
          <a:extLst>
            <a:ext uri="{FF2B5EF4-FFF2-40B4-BE49-F238E27FC236}">
              <a16:creationId xmlns:a16="http://schemas.microsoft.com/office/drawing/2014/main" id="{00000000-0008-0000-06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257675" y="4521201"/>
          <a:ext cx="1225550" cy="58347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142875</xdr:colOff>
          <xdr:row>7</xdr:row>
          <xdr:rowOff>38100</xdr:rowOff>
        </xdr:from>
        <xdr:to>
          <xdr:col>2</xdr:col>
          <xdr:colOff>66623</xdr:colOff>
          <xdr:row>8</xdr:row>
          <xdr:rowOff>1168400</xdr:rowOff>
        </xdr:to>
        <xdr:pic>
          <xdr:nvPicPr>
            <xdr:cNvPr id="10" name="Picture 9">
              <a:extLst>
                <a:ext uri="{FF2B5EF4-FFF2-40B4-BE49-F238E27FC236}">
                  <a16:creationId xmlns:a16="http://schemas.microsoft.com/office/drawing/2014/main" id="{00000000-0008-0000-2600-00000A000000}"/>
                </a:ext>
              </a:extLst>
            </xdr:cNvPr>
            <xdr:cNvPicPr>
              <a:picLocks noChangeAspect="1" noChangeArrowheads="1"/>
              <a:extLst>
                <a:ext uri="{84589F7E-364E-4C9E-8A38-B11213B215E9}">
                  <a14:cameraTool cellRange="StartupInfo!$B$17" spid="_x0000_s127060"/>
                </a:ext>
              </a:extLst>
            </xdr:cNvPicPr>
          </xdr:nvPicPr>
          <xdr:blipFill>
            <a:blip xmlns:r="http://schemas.openxmlformats.org/officeDocument/2006/relationships" r:embed="rId1"/>
            <a:srcRect/>
            <a:stretch>
              <a:fillRect/>
            </a:stretch>
          </xdr:blipFill>
          <xdr:spPr bwMode="auto">
            <a:xfrm>
              <a:off x="2857500" y="1609725"/>
              <a:ext cx="4968823" cy="1323975"/>
            </a:xfrm>
            <a:prstGeom prst="rect">
              <a:avLst/>
            </a:prstGeom>
            <a:noFill/>
            <a:extLst>
              <a:ext uri="{909E8E84-426E-40DD-AFC4-6F175D3DCCD1}">
                <a14:hiddenFill>
                  <a:solidFill>
                    <a:srgbClr val="FFFFFF"/>
                  </a:solidFill>
                </a14:hiddenFill>
              </a:ext>
            </a:extLst>
          </xdr:spPr>
        </xdr:pic>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TablesLookup" TargetMode="External"/></Relationships>
</file>

<file path=xl/externalLinks/_rels/externalLink2.xml.rels><?xml version="1.0" encoding="UTF-8" standalone="yes"?>
<Relationships xmlns="http://schemas.openxmlformats.org/package/2006/relationships"><Relationship Id="rId1" Type="http://schemas.microsoft.com/office/2006/relationships/xlExternalLinkPath/xlPathMissing" Target="TableLookup"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sLookup"/>
    </sheetNames>
    <sheetDataSet>
      <sheetData sheetId="0"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ableLookup"/>
    </sheetNames>
    <sheetDataSet>
      <sheetData sheetId="0" refreshError="1"/>
    </sheetDataSet>
  </externalBook>
</externalLink>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_rels/pivotCacheDefinition4.xml.rels><?xml version="1.0" encoding="UTF-8" standalone="yes"?>
<Relationships xmlns="http://schemas.openxmlformats.org/package/2006/relationships"><Relationship Id="rId1" Type="http://schemas.openxmlformats.org/officeDocument/2006/relationships/pivotCacheRecords" Target="pivotCacheRecords4.xml"/></Relationships>
</file>

<file path=xl/pivotCache/_rels/pivotCacheDefinition5.xml.rels><?xml version="1.0" encoding="UTF-8" standalone="yes"?>
<Relationships xmlns="http://schemas.openxmlformats.org/package/2006/relationships"><Relationship Id="rId1" Type="http://schemas.openxmlformats.org/officeDocument/2006/relationships/pivotCacheRecords" Target="pivotCacheRecords5.xml"/></Relationships>
</file>

<file path=xl/pivotCache/_rels/pivotCacheDefinition6.xml.rels><?xml version="1.0" encoding="UTF-8" standalone="yes"?>
<Relationships xmlns="http://schemas.openxmlformats.org/package/2006/relationships"><Relationship Id="rId1" Type="http://schemas.openxmlformats.org/officeDocument/2006/relationships/pivotCacheRecords" Target="pivotCacheRecords6.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699074" createdVersion="6" refreshedVersion="7" minRefreshableVersion="3" recordCount="25" xr:uid="{7C944472-2AB9-4B3E-85E2-FF4C6DCA38D0}">
  <cacheSource type="worksheet">
    <worksheetSource ref="A1:G1048576" sheet="Schedule"/>
  </cacheSource>
  <cacheFields count="7">
    <cacheField name="WorkID" numFmtId="0">
      <sharedItems containsBlank="1" count="10">
        <s v="p1"/>
        <s v="p2"/>
        <s v="p3"/>
        <s v="p4"/>
        <s v="s1"/>
        <s v="s2"/>
        <s v="s3"/>
        <s v="s4"/>
        <m/>
        <s v="p5" u="1"/>
      </sharedItems>
    </cacheField>
    <cacheField name="Work name" numFmtId="0">
      <sharedItems containsBlank="1"/>
    </cacheField>
    <cacheField name="PA" numFmtId="0">
      <sharedItems containsBlank="1" count="18">
        <s v="PI"/>
        <s v="TS"/>
        <s v="PR"/>
        <s v="RDM"/>
        <s v="VV"/>
        <s v="EST"/>
        <s v="MC"/>
        <s v="PLAN"/>
        <s v="RSK"/>
        <s v="CM"/>
        <s v="MPM"/>
        <s v="PAD"/>
        <s v="PCM"/>
        <s v="CAR"/>
        <s v="DAR"/>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7453702" createdVersion="6" refreshedVersion="7" minRefreshableVersion="3" recordCount="19" xr:uid="{F270913D-DFED-4CCA-959C-761E07DA5D1C}">
  <cacheSource type="worksheet">
    <worksheetSource ref="A1:I1048576" sheet="Schedule2"/>
  </cacheSource>
  <cacheFields count="9">
    <cacheField name="WorkID" numFmtId="0">
      <sharedItems containsBlank="1"/>
    </cacheField>
    <cacheField name="Work name" numFmtId="0">
      <sharedItems containsBlank="1"/>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7">
        <s v="[4] Engineering"/>
        <s v="[3] Project Management"/>
        <s v="[5] Configuration Management"/>
        <s v="[6] Process Management"/>
        <s v="[7] Organisational Training"/>
        <s v="[8] Process Quality Assurance"/>
        <m/>
      </sharedItems>
    </cacheField>
    <cacheField name="PA count" numFmtId="0">
      <sharedItems containsString="0" containsBlank="1" containsNumber="1" containsInteger="1" minValue="6" maxValue="22"/>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8495372" createdVersion="6" refreshedVersion="7" minRefreshableVersion="3" recordCount="29" xr:uid="{D3BF8097-D3E3-4DD9-9BF8-282845FDB30F}">
  <cacheSource type="worksheet">
    <worksheetSource ref="A2:Y99" sheet="Staff"/>
  </cacheSource>
  <cacheFields count="25">
    <cacheField name="WorkID" numFmtId="0">
      <sharedItems containsBlank="1"/>
    </cacheField>
    <cacheField name="Work name" numFmtId="0">
      <sharedItems containsBlank="1"/>
    </cacheField>
    <cacheField name="Name" numFmtId="0">
      <sharedItems containsBlank="1" count="51">
        <s v="Surname, Analyst 1"/>
        <s v="Surname, Designer1"/>
        <s v="Surname, Developer1"/>
        <s v="Surname, Testers1"/>
        <s v="Surname, Project Manager1"/>
        <s v="Surname, Analyst2"/>
        <s v="Surname, Designer2"/>
        <s v="Surname, Developer2"/>
        <s v="Surname, Testers2"/>
        <s v="Surname, Project Manager2"/>
        <s v="Surname, Analyst3"/>
        <s v="Surname, Designer3"/>
        <s v="Surname, Developer3"/>
        <s v="Surname, Testers3"/>
        <s v="Surname, Project Manager3"/>
        <s v="Surname, Analyst4"/>
        <s v="Surname, Designer4"/>
        <s v="Surname, Developer4"/>
        <s v="Surname, Testers4"/>
        <s v="Surname, Project Manager4"/>
        <s v="Surname, Configuration Manager1"/>
        <s v="Surname, Process manager2"/>
        <s v="Surname, Measurement manager2"/>
        <s v="Surname, Training Manager3"/>
        <s v="Surname, Process Assurance Manager4"/>
        <m/>
        <s v="Yang Zhiqiang" u="1"/>
        <s v="Li Song" u="1"/>
        <s v="Zheng Hao" u="1"/>
        <s v="Zheng Ming" u="1"/>
        <s v="Yan Xuanye" u="1"/>
        <s v="Ma Jun" u="1"/>
        <s v="Qi Liran" u="1"/>
        <s v="Xiong Mao" u="1"/>
        <s v="Wang Wenhao" u="1"/>
        <s v="Peng Bo" u="1"/>
        <s v="Bai Chunyu" u="1"/>
        <s v="Hu Yulei" u="1"/>
        <s v="Guo Jianwei" u="1"/>
        <s v="Pang Qi" u="1"/>
        <s v="Zhang Jie" u="1"/>
        <s v="Zhen Guolin" u="1"/>
        <s v="Wang Zhaoxia" u="1"/>
        <s v="Sun Bin" u="1"/>
        <s v="Zhang Xiaoling" u="1"/>
        <s v="Zhang Huiling" u="1"/>
        <s v="Zou Xuanjun" u="1"/>
        <s v="Zhao Limin" u="1"/>
        <s v="Liang Qi" u="1"/>
        <s v="Peng Xiaoping" u="1"/>
        <s v="Guo Siyu" u="1"/>
      </sharedItems>
    </cacheField>
    <cacheField name="Role" numFmtId="0">
      <sharedItems containsBlank="1"/>
    </cacheField>
    <cacheField name="Function/OU Name" numFmtId="0">
      <sharedItems containsBlank="1"/>
    </cacheField>
    <cacheField name="CAR" numFmtId="0">
      <sharedItems containsBlank="1"/>
    </cacheField>
    <cacheField name="CM" numFmtId="0">
      <sharedItems containsBlank="1"/>
    </cacheField>
    <cacheField name="DAR" numFmtId="0">
      <sharedItems containsBlank="1"/>
    </cacheField>
    <cacheField name="EST" numFmtId="0">
      <sharedItems containsBlank="1"/>
    </cacheField>
    <cacheField name="GOV" numFmtId="0">
      <sharedItems containsNonDate="0" containsString="0" containsBlank="1"/>
    </cacheField>
    <cacheField name="II" numFmtId="0">
      <sharedItems containsNonDate="0" containsString="0" containsBlank="1"/>
    </cacheField>
    <cacheField name="MPM" numFmtId="0">
      <sharedItems containsBlank="1"/>
    </cacheField>
    <cacheField name="MC" numFmtId="0">
      <sharedItems containsBlank="1"/>
    </cacheField>
    <cacheField name="OT" numFmtId="0">
      <sharedItems containsBlank="1"/>
    </cacheField>
    <cacheField name="PR" numFmtId="0">
      <sharedItems containsBlank="1"/>
    </cacheField>
    <cacheField name="PLAN" numFmtId="0">
      <sharedItems containsBlank="1"/>
    </cacheField>
    <cacheField name="PAD" numFmtId="0">
      <sharedItems containsBlank="1"/>
    </cacheField>
    <cacheField name="PCM" numFmtId="0">
      <sharedItems containsBlank="1"/>
    </cacheField>
    <cacheField name="PQA" numFmtId="0">
      <sharedItems containsBlank="1"/>
    </cacheField>
    <cacheField name="PI" numFmtId="0">
      <sharedItems containsBlank="1"/>
    </cacheField>
    <cacheField name="RDM" numFmtId="0">
      <sharedItems containsBlank="1"/>
    </cacheField>
    <cacheField name="RSK" numFmtId="0">
      <sharedItems containsBlank="1"/>
    </cacheField>
    <cacheField name="TS" numFmtId="0">
      <sharedItems containsBlank="1"/>
    </cacheField>
    <cacheField name="VV" numFmtId="0">
      <sharedItems containsBlank="1"/>
    </cacheField>
    <cacheField name="SAM" numFmtId="0">
      <sharedItems containsNonDate="0" containsString="0" containsBlank="1"/>
    </cacheField>
  </cacheFields>
  <extLst>
    <ext xmlns:x14="http://schemas.microsoft.com/office/spreadsheetml/2009/9/main" uri="{725AE2AE-9491-48be-B2B4-4EB974FC3084}">
      <x14:pivotCacheDefinition/>
    </ext>
  </extLst>
</pivotCacheDefinition>
</file>

<file path=xl/pivotCache/pivotCacheDefinition4.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074073" createdVersion="6" refreshedVersion="7" minRefreshableVersion="3" recordCount="29" xr:uid="{F94CAEF3-EBBB-4CA5-86C1-821EFCA6931A}">
  <cacheSource type="worksheet">
    <worksheetSource ref="A2:B561" sheet="Staff"/>
  </cacheSource>
  <cacheFields count="2">
    <cacheField name="WorkID" numFmtId="0">
      <sharedItems containsBlank="1" count="10">
        <s v="p1"/>
        <s v="p2"/>
        <s v="p3"/>
        <s v="P4"/>
        <s v="s1"/>
        <s v="s2"/>
        <s v="s3"/>
        <s v="s4"/>
        <m/>
        <s v="o1" u="1"/>
      </sharedItems>
    </cacheField>
    <cacheField name="Work name" numFmtId="0">
      <sharedItems containsBlank="1" count="14">
        <s v="P1-Falcon9"/>
        <s v="P2-Raptor"/>
        <s v="P3-Starship"/>
        <s v="P4-SupperHeavy"/>
        <s v="S1-CM"/>
        <s v="S2-EPG-MA"/>
        <s v="S3-HR"/>
        <s v="S4-PPQA"/>
        <m/>
        <s v="P3-CSNDM" u="1"/>
        <s v="o1Organisation" u="1"/>
        <s v="P1-SAS" u="1"/>
        <s v="P4-SPDIP" u="1"/>
        <s v="P2-EISP" u="1"/>
      </sharedItems>
    </cacheField>
  </cacheFields>
  <extLst>
    <ext xmlns:x14="http://schemas.microsoft.com/office/spreadsheetml/2009/9/main" uri="{725AE2AE-9491-48be-B2B4-4EB974FC3084}">
      <x14:pivotCacheDefinition/>
    </ext>
  </extLst>
</pivotCacheDefinition>
</file>

<file path=xl/pivotCache/pivotCacheDefinition5.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799884258" createdVersion="6" refreshedVersion="7" minRefreshableVersion="3" recordCount="19" xr:uid="{8D08BA66-43B5-4625-B4C6-4829463ED122}">
  <cacheSource type="worksheet">
    <worksheetSource ref="D1:H1048576" sheet="Schedule2"/>
  </cacheSource>
  <cacheFields count="5">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acheField>
    <cacheField name="WordID2" numFmtId="0">
      <sharedItems containsBlank="1"/>
    </cacheField>
    <cacheField name="Included" numFmtId="0">
      <sharedItems containsBlank="1"/>
    </cacheField>
    <cacheField name="Interview" numFmtId="0">
      <sharedItems containsBlank="1" count="16">
        <s v="[4] Engineering"/>
        <s v="[3] Project Management"/>
        <s v="[5] Configuration Management"/>
        <s v="[6] Process Management"/>
        <s v="[7] Organisational Training"/>
        <s v="[8] Process Quality Assurance"/>
        <m/>
        <s v="Process and Product Quality Assurance" u="1"/>
        <s v="[6] Process Engineering Group" u="1"/>
        <s v="Engineering" u="1"/>
        <s v="Organisational Training" u="1"/>
        <s v="Process Engineering Group" u="1"/>
        <s v="Project Management" u="1"/>
        <s v="Process and Product QA" u="1"/>
        <s v="Configuration Management" u="1"/>
        <s v="[8] Process and Product Quality Assurance" u="1"/>
      </sharedItems>
    </cacheField>
  </cacheFields>
  <extLst>
    <ext xmlns:x14="http://schemas.microsoft.com/office/spreadsheetml/2009/9/main" uri="{725AE2AE-9491-48be-B2B4-4EB974FC3084}">
      <x14:pivotCacheDefinition/>
    </ext>
  </extLst>
</pivotCacheDefinition>
</file>

<file path=xl/pivotCache/pivotCacheDefinition6.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Pieter van Zyl" refreshedDate="44318.45780034722" createdVersion="6" refreshedVersion="7" minRefreshableVersion="3" recordCount="19" xr:uid="{7A41DB9D-D643-451D-8180-062948BB04CE}">
  <cacheSource type="worksheet">
    <worksheetSource ref="A1:H1048576" sheet="Schedule2"/>
  </cacheSource>
  <cacheFields count="8">
    <cacheField name="WorkID" numFmtId="0">
      <sharedItems containsBlank="1"/>
    </cacheField>
    <cacheField name="Work name" numFmtId="0">
      <sharedItems containsBlank="1" count="40">
        <s v="P1-Falcon9"/>
        <s v="P2-Raptor"/>
        <s v="P3-Starship"/>
        <s v="P4-SupperHeavy"/>
        <s v="S1-CM"/>
        <s v="S2-EPG-MA"/>
        <s v="S3-HR"/>
        <s v="S4-PPQA"/>
        <m/>
        <s v="p1ProjectNameA" u="1"/>
        <s v="P1SES" u="1"/>
        <s v="p4PRojectNameD" u="1"/>
        <s v="EPG/MA" u="1"/>
        <s v="MG6008C" u="1"/>
        <s v="Intelligent supervision platform" u="1"/>
        <s v="p1JFPMS202005001" u="1"/>
        <s v="OT" u="1"/>
        <s v="P4SSM" u="1"/>
        <s v="MG6128L" u="1"/>
        <s v="p3JFPMS202001040" u="1"/>
        <s v="p3ProjectNameC" u="1"/>
        <s v="p4JFPMS202003021" u="1"/>
        <s v="PPQA" u="1"/>
        <s v="CM" u="1"/>
        <s v="P5WMS" u="1"/>
        <s v="p5 AIMS" u="1"/>
        <s v="p2DGP Assessment" u="1"/>
        <s v="s3HR" u="1"/>
        <s v="s3OT" u="1"/>
        <s v="p2JFPMS202004057" u="1"/>
        <s v="p2ProjectNameB" u="1"/>
        <s v="Lawyer remote meeting system" u="1"/>
        <s v="s2EPG/MA" u="1"/>
        <s v="P2BEU" u="1"/>
        <s v="s4PPQA" u="1"/>
        <s v="p1DGP Smart Campus" u="1"/>
        <s v="P3EMM" u="1"/>
        <s v="Traffic information control platform" u="1"/>
        <s v="s1CM" u="1"/>
        <s v="p3 NDC" u="1"/>
      </sharedItems>
    </cacheField>
    <cacheField name="PA" numFmtId="0">
      <sharedItems containsBlank="1" count="18">
        <s v="PI"/>
        <s v="TS"/>
        <s v="PR"/>
        <s v="RDM"/>
        <s v="VV"/>
        <s v="EST"/>
        <s v="MC"/>
        <s v="PLAN"/>
        <s v="RSK"/>
        <s v="CM"/>
        <s v="CAR"/>
        <s v="DAR"/>
        <s v="MPM"/>
        <s v="PAD"/>
        <s v="PCM"/>
        <s v="OT"/>
        <s v="PQA"/>
        <m/>
      </sharedItems>
    </cacheField>
    <cacheField name="Participant Name" numFmtId="0">
      <sharedItems containsBlank="1" count="71">
        <s v="Surname, Developer1"/>
        <s v="Surname, Designer1"/>
        <s v="Surname, Analyst2"/>
        <s v="Surname, Developer2"/>
        <s v="Surname, Project Manager3"/>
        <s v="Surname, Project Manager4"/>
        <s v="Surname, Configuration Manager1"/>
        <s v="Surname, Process manager2"/>
        <s v="Surname, Training Manager3"/>
        <s v="Surname, Process Assurance Manager4"/>
        <m/>
        <s v="Developer 1" u="1"/>
        <s v="Dong Aoyuan" u="1"/>
        <s v="Xu Qing" u="1"/>
        <s v="Yan Xiaoneng" u="1"/>
        <s v="Developer 3" u="1"/>
        <s v="Developer 4" u="1"/>
        <s v="Lin Liang" u="1"/>
        <s v="Li Zheng" u="1"/>
        <s v="Zhang Lingfei" u="1"/>
        <s v="Jin Zhili" u="1"/>
        <s v="Lu Zhiwei" u="1"/>
        <s v="Dan Runping" u="1"/>
        <s v="Mai Jinchao 1" u="1"/>
        <s v="Yuan Xiaojing" u="1"/>
        <s v="Li Xuebin" u="1"/>
        <s v="Project Manager 4" u="1"/>
        <s v="Tan Zhicong" u="1"/>
        <s v="Li Yao" u="1"/>
        <s v="Zhou Huali" u="1"/>
        <s v="Ou Xiuyun" u="1"/>
        <s v="Song Tong" u="1"/>
        <s v="Designer 3" u="1"/>
        <s v="Xu yong" u="1"/>
        <s v="Peng Ding" u="1"/>
        <s v="Pan Yingqi" u="1"/>
        <s v="Yang Hang" u="1"/>
        <s v="Project Manager 2" u="1"/>
        <s v="Training Manager 1" u="1"/>
        <s v="Lin Qinyi" u="1"/>
        <s v="Pan Zhenhong" u="1"/>
        <s v="Ye Qinyi" u="1"/>
        <s v="Project Manager 1" u="1"/>
        <s v="Lin Jianping" u="1"/>
        <s v="Du Lin" u="1"/>
        <s v="Su Zhonghua" u="1"/>
        <s v="Li Yanfen" u="1"/>
        <s v="Chen Wucong" u="1"/>
        <s v="Chen Zunfan" u="1"/>
        <s v="Config Manager 1" u="1"/>
        <s v="Processs Manger 1" u="1"/>
        <s v="Peng Zhilun" u="1"/>
        <s v="Huang Weibin" u="1"/>
        <s v="Dong Zhengfei" u="1"/>
        <s v="Wei Linpei " u="1"/>
        <s v="Huang Jianyong" u="1"/>
        <s v="Li Xiaoxiao" u="1"/>
        <s v="Tang Xingchu" u="1"/>
        <s v="He Shuichao" u="1"/>
        <s v="Liu Xinlei" u="1"/>
        <s v="Liang Jingwen" u="1"/>
        <s v="Lin Zhenqun" u="1"/>
        <s v="Cui Taotao" u="1"/>
        <s v="Zhu Liudan" u="1"/>
        <s v="Analyst 4" u="1"/>
        <s v="PQA Manager 1" u="1"/>
        <s v="Zhang Hongtong" u="1"/>
        <s v="Zhao Lisha" u="1"/>
        <s v="Ye Yunwei" u="1"/>
        <s v="Huang Xinghao" u="1"/>
        <s v="Xu Xiaowen" u="1"/>
      </sharedItems>
    </cacheField>
    <cacheField name="Role" numFmtId="0">
      <sharedItems containsBlank="1" count="13">
        <s v="Developer"/>
        <s v="Designer"/>
        <s v="Analyst"/>
        <s v="Project Manager"/>
        <s v="Configuration Manager"/>
        <s v="Process manager"/>
        <s v="Training Manager"/>
        <s v="Process Assurance Manager"/>
        <m/>
        <s v="Process Engineering" u="1"/>
        <s v="Quality Assurance Staff" u="1"/>
        <s v="Head of training" u="1"/>
        <s v="Testers" u="1"/>
      </sharedItems>
    </cacheField>
    <cacheField name="WordID2" numFmtId="0">
      <sharedItems containsBlank="1"/>
    </cacheField>
    <cacheField name="Included" numFmtId="0">
      <sharedItems containsBlank="1" count="2">
        <s v="x"/>
        <m/>
      </sharedItems>
    </cacheField>
    <cacheField name="Interview" numFmtId="0">
      <sharedItems containsBlank="1"/>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5">
  <r>
    <x v="0"/>
    <s v="P1-Falcon9"/>
    <x v="0"/>
    <s v="Surname, Developer1"/>
    <s v="Developer"/>
    <s v="p1"/>
    <s v="x"/>
  </r>
  <r>
    <x v="0"/>
    <s v="P1-Falcon9"/>
    <x v="1"/>
    <s v="Surname, Designer1"/>
    <s v="Designer"/>
    <s v="p1"/>
    <s v="x"/>
  </r>
  <r>
    <x v="0"/>
    <s v="P1-Falcon9"/>
    <x v="1"/>
    <s v="Surname, Developer1"/>
    <s v="Developer"/>
    <s v="p1"/>
    <m/>
  </r>
  <r>
    <x v="1"/>
    <s v="P2-Raptor"/>
    <x v="2"/>
    <s v="Surname, Analyst2"/>
    <s v="Analyst"/>
    <s v="p2"/>
    <s v="x"/>
  </r>
  <r>
    <x v="1"/>
    <s v="P2-Raptor"/>
    <x v="2"/>
    <s v="Surname, Designer2"/>
    <s v="Designer"/>
    <s v="p2"/>
    <m/>
  </r>
  <r>
    <x v="1"/>
    <s v="P2-Raptor"/>
    <x v="2"/>
    <s v="Surname, Developer2"/>
    <s v="Developer"/>
    <s v="p2"/>
    <m/>
  </r>
  <r>
    <x v="1"/>
    <s v="P2-Raptor"/>
    <x v="2"/>
    <s v="Surname, Testers2"/>
    <s v="Tester"/>
    <s v="p2"/>
    <m/>
  </r>
  <r>
    <x v="1"/>
    <s v="P2-Raptor"/>
    <x v="2"/>
    <s v="Surname, Project Manager2"/>
    <s v="Project Manager"/>
    <s v="p2"/>
    <m/>
  </r>
  <r>
    <x v="1"/>
    <s v="P2-Raptor"/>
    <x v="3"/>
    <s v="Surname, Analyst2"/>
    <s v="Analyst"/>
    <s v="p2"/>
    <s v="x"/>
  </r>
  <r>
    <x v="1"/>
    <s v="P2-Raptor"/>
    <x v="4"/>
    <s v="Surname, Developer2"/>
    <s v="Developer"/>
    <s v="p2"/>
    <s v="x"/>
  </r>
  <r>
    <x v="1"/>
    <s v="P2-Raptor"/>
    <x v="4"/>
    <s v="Surname, Testers2"/>
    <s v="Tester"/>
    <s v="p2"/>
    <m/>
  </r>
  <r>
    <x v="2"/>
    <s v="P3-Starship"/>
    <x v="5"/>
    <s v="Surname, Project Manager3"/>
    <s v="Project Manager"/>
    <s v="p3"/>
    <s v="x"/>
  </r>
  <r>
    <x v="2"/>
    <s v="P3-Starship"/>
    <x v="6"/>
    <s v="Surname, Project Manager3"/>
    <s v="Project Manager"/>
    <s v="p3"/>
    <s v="x"/>
  </r>
  <r>
    <x v="2"/>
    <s v="P3-Starship"/>
    <x v="7"/>
    <s v="Surname, Project Manager3"/>
    <s v="Project Manager"/>
    <s v="p3"/>
    <s v="x"/>
  </r>
  <r>
    <x v="3"/>
    <s v="P4-SupperHeavy"/>
    <x v="8"/>
    <s v="Surname, Project Manager4"/>
    <s v="Project Manager"/>
    <s v="p4"/>
    <s v="x"/>
  </r>
  <r>
    <x v="4"/>
    <s v="S1-CM"/>
    <x v="9"/>
    <s v="Surname, Configuration Manager1"/>
    <s v="Configuration Manager"/>
    <s v="s1"/>
    <s v="x"/>
  </r>
  <r>
    <x v="5"/>
    <s v="S2-EPG-MA"/>
    <x v="10"/>
    <s v="Surname, Measurement manager2"/>
    <s v="Measurements manager"/>
    <s v="s2"/>
    <s v="x"/>
  </r>
  <r>
    <x v="5"/>
    <s v="S2-EPG-MA"/>
    <x v="11"/>
    <s v="Surname, Process manager2"/>
    <s v="Process manager"/>
    <s v="s2"/>
    <s v="x"/>
  </r>
  <r>
    <x v="5"/>
    <s v="S2-EPG-MA"/>
    <x v="12"/>
    <s v="Surname, Process manager2"/>
    <s v="Process manager"/>
    <s v="s2"/>
    <s v="x"/>
  </r>
  <r>
    <x v="5"/>
    <s v="S2-EPG-MA"/>
    <x v="13"/>
    <s v="Surname, Measurement manager2"/>
    <s v="Measurements manager"/>
    <s v="s2"/>
    <s v="x"/>
  </r>
  <r>
    <x v="5"/>
    <s v="S2-EPG-MA"/>
    <x v="14"/>
    <s v="Surname, Process manager2"/>
    <s v="Process manager"/>
    <s v="s2"/>
    <s v="x"/>
  </r>
  <r>
    <x v="5"/>
    <s v="S2-EPG-MA"/>
    <x v="14"/>
    <s v="Surname, Measurement manager2"/>
    <s v="Measurements manager"/>
    <s v="s2"/>
    <m/>
  </r>
  <r>
    <x v="6"/>
    <s v="S3-HR"/>
    <x v="15"/>
    <s v="Surname, Training Manager3"/>
    <s v="Training Manager"/>
    <s v="s3"/>
    <s v="x"/>
  </r>
  <r>
    <x v="7"/>
    <s v="S4-PPQA"/>
    <x v="16"/>
    <s v="Surname, Process Assurance Manager4"/>
    <s v="Process Assurance Manager"/>
    <s v="s4"/>
    <s v="x"/>
  </r>
  <r>
    <x v="8"/>
    <m/>
    <x v="17"/>
    <m/>
    <m/>
    <m/>
    <m/>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s v="P1-Falcon9"/>
    <x v="0"/>
    <s v="Surname, Developer1"/>
    <s v="Developer"/>
    <s v="p1"/>
    <s v="x"/>
    <x v="0"/>
    <n v="10"/>
  </r>
  <r>
    <s v="p1"/>
    <s v="P1-Falcon9"/>
    <x v="1"/>
    <s v="Surname, Designer1"/>
    <s v="Designer"/>
    <s v="p1"/>
    <s v="x"/>
    <x v="0"/>
    <n v="10"/>
  </r>
  <r>
    <s v="p2"/>
    <s v="P2-Raptor"/>
    <x v="2"/>
    <s v="Surname, Analyst2"/>
    <s v="Analyst"/>
    <s v="p2"/>
    <s v="x"/>
    <x v="0"/>
    <n v="6"/>
  </r>
  <r>
    <s v="p2"/>
    <s v="P2-Raptor"/>
    <x v="3"/>
    <s v="Surname, Analyst2"/>
    <s v="Analyst"/>
    <s v="p2"/>
    <s v="x"/>
    <x v="0"/>
    <n v="14"/>
  </r>
  <r>
    <s v="p2"/>
    <s v="P2-Raptor"/>
    <x v="4"/>
    <s v="Surname, Developer2"/>
    <s v="Developer"/>
    <s v="p2"/>
    <s v="x"/>
    <x v="0"/>
    <n v="7"/>
  </r>
  <r>
    <s v="p3"/>
    <s v="P3-Starship"/>
    <x v="5"/>
    <s v="Surname, Project Manager3"/>
    <s v="Project Manager"/>
    <s v="p3"/>
    <s v="x"/>
    <x v="1"/>
    <n v="6"/>
  </r>
  <r>
    <s v="p3"/>
    <s v="P3-Starship"/>
    <x v="6"/>
    <s v="Surname, Project Manager3"/>
    <s v="Project Manager"/>
    <s v="p3"/>
    <s v="x"/>
    <x v="1"/>
    <n v="10"/>
  </r>
  <r>
    <s v="p3"/>
    <s v="P3-Starship"/>
    <x v="7"/>
    <s v="Surname, Project Manager3"/>
    <s v="Project Manager"/>
    <s v="p3"/>
    <s v="x"/>
    <x v="1"/>
    <n v="15"/>
  </r>
  <r>
    <s v="p4"/>
    <s v="P4-SupperHeavy"/>
    <x v="8"/>
    <s v="Surname, Project Manager4"/>
    <s v="Project Manager"/>
    <s v="p4"/>
    <s v="x"/>
    <x v="1"/>
    <n v="8"/>
  </r>
  <r>
    <s v="s1"/>
    <s v="S1-CM"/>
    <x v="9"/>
    <s v="Surname, Configuration Manager1"/>
    <s v="Configuration Manager"/>
    <s v="s1"/>
    <s v="x"/>
    <x v="2"/>
    <n v="7"/>
  </r>
  <r>
    <s v="s2"/>
    <s v="S2-EPG-MA"/>
    <x v="10"/>
    <s v="Surname, Process manager2"/>
    <s v="Process manager"/>
    <s v="s2"/>
    <s v="x"/>
    <x v="3"/>
    <n v="11"/>
  </r>
  <r>
    <s v="s2"/>
    <s v="S2-EPG-MA"/>
    <x v="11"/>
    <s v="Surname, Process manager2"/>
    <s v="Process manager"/>
    <s v="s2"/>
    <s v="x"/>
    <x v="3"/>
    <n v="8"/>
  </r>
  <r>
    <s v="s2"/>
    <s v="S2-EPG-MA"/>
    <x v="12"/>
    <s v="Surname, Process manager2"/>
    <s v="Process manager"/>
    <s v="s2"/>
    <s v="x"/>
    <x v="3"/>
    <n v="22"/>
  </r>
  <r>
    <s v="s2"/>
    <s v="S2-EPG-MA"/>
    <x v="13"/>
    <s v="Surname, Process manager2"/>
    <s v="Process manager"/>
    <s v="s2"/>
    <s v="x"/>
    <x v="3"/>
    <n v="11"/>
  </r>
  <r>
    <s v="s2"/>
    <s v="S2-EPG-MA"/>
    <x v="14"/>
    <s v="Surname, Process manager2"/>
    <s v="Process manager"/>
    <s v="s2"/>
    <s v="x"/>
    <x v="3"/>
    <n v="11"/>
  </r>
  <r>
    <s v="s3"/>
    <s v="S3-HR"/>
    <x v="15"/>
    <s v="Surname, Training Manager3"/>
    <s v="Training Manager"/>
    <s v="s3"/>
    <s v="x"/>
    <x v="4"/>
    <n v="9"/>
  </r>
  <r>
    <s v="s4"/>
    <s v="S4-PPQA"/>
    <x v="16"/>
    <s v="Surname, Process Assurance Manager4"/>
    <s v="Process Assurance Manager"/>
    <s v="s4"/>
    <s v="x"/>
    <x v="5"/>
    <n v="6"/>
  </r>
  <r>
    <m/>
    <m/>
    <x v="17"/>
    <m/>
    <m/>
    <m/>
    <m/>
    <x v="6"/>
    <m/>
  </r>
  <r>
    <m/>
    <m/>
    <x v="17"/>
    <m/>
    <m/>
    <m/>
    <m/>
    <x v="6"/>
    <m/>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s v="p1"/>
    <s v="P1-Falcon9"/>
    <x v="0"/>
    <s v="Analyst"/>
    <s v="Analyst function in OU"/>
    <m/>
    <m/>
    <m/>
    <m/>
    <m/>
    <m/>
    <m/>
    <m/>
    <m/>
    <s v="x"/>
    <m/>
    <m/>
    <m/>
    <m/>
    <m/>
    <s v="x"/>
    <m/>
    <m/>
    <m/>
    <m/>
  </r>
  <r>
    <s v="p1"/>
    <s v="P1-Falcon9"/>
    <x v="1"/>
    <s v="Designer"/>
    <s v="Designer function in OU"/>
    <m/>
    <m/>
    <m/>
    <m/>
    <m/>
    <m/>
    <m/>
    <m/>
    <m/>
    <s v="x"/>
    <m/>
    <m/>
    <m/>
    <m/>
    <m/>
    <m/>
    <m/>
    <s v="x"/>
    <m/>
    <m/>
  </r>
  <r>
    <s v="p1"/>
    <s v="P1-Falcon9"/>
    <x v="2"/>
    <s v="Developer"/>
    <s v="Developer function in OU"/>
    <m/>
    <m/>
    <m/>
    <m/>
    <m/>
    <m/>
    <m/>
    <m/>
    <m/>
    <s v="x"/>
    <m/>
    <m/>
    <m/>
    <m/>
    <s v="x"/>
    <m/>
    <m/>
    <s v="x"/>
    <s v="x"/>
    <m/>
  </r>
  <r>
    <s v="p1"/>
    <s v="P1-Falcon9"/>
    <x v="3"/>
    <s v="Tester"/>
    <s v="Tester function in OU"/>
    <m/>
    <m/>
    <m/>
    <m/>
    <m/>
    <m/>
    <m/>
    <m/>
    <m/>
    <s v="x"/>
    <m/>
    <m/>
    <m/>
    <m/>
    <m/>
    <m/>
    <m/>
    <m/>
    <s v="x"/>
    <m/>
  </r>
  <r>
    <s v="p1"/>
    <s v="P1-Falcon9"/>
    <x v="4"/>
    <s v="Project Manager"/>
    <s v="Project Manager function in OU"/>
    <s v="x"/>
    <m/>
    <s v="x"/>
    <s v="x"/>
    <m/>
    <m/>
    <m/>
    <s v="x"/>
    <m/>
    <s v="x"/>
    <s v="x"/>
    <m/>
    <m/>
    <m/>
    <m/>
    <m/>
    <s v="x"/>
    <m/>
    <m/>
    <m/>
  </r>
  <r>
    <s v="p2"/>
    <s v="P2-Raptor"/>
    <x v="5"/>
    <s v="Analyst"/>
    <s v="Analyst function in OU"/>
    <m/>
    <m/>
    <m/>
    <m/>
    <m/>
    <m/>
    <m/>
    <m/>
    <m/>
    <s v="x"/>
    <m/>
    <m/>
    <m/>
    <m/>
    <m/>
    <s v="x"/>
    <m/>
    <m/>
    <m/>
    <m/>
  </r>
  <r>
    <s v="p2"/>
    <s v="P2-Raptor"/>
    <x v="6"/>
    <s v="Designer"/>
    <s v="Designer function in OU"/>
    <m/>
    <m/>
    <m/>
    <m/>
    <m/>
    <m/>
    <m/>
    <m/>
    <m/>
    <s v="x"/>
    <m/>
    <m/>
    <m/>
    <m/>
    <m/>
    <m/>
    <m/>
    <s v="x"/>
    <m/>
    <m/>
  </r>
  <r>
    <s v="p2"/>
    <s v="P2-Raptor"/>
    <x v="7"/>
    <s v="Developer"/>
    <s v="Developer function in OU"/>
    <m/>
    <m/>
    <m/>
    <m/>
    <m/>
    <m/>
    <m/>
    <m/>
    <m/>
    <s v="x"/>
    <m/>
    <m/>
    <m/>
    <m/>
    <s v="x"/>
    <m/>
    <m/>
    <s v="x"/>
    <s v="x"/>
    <m/>
  </r>
  <r>
    <s v="p2"/>
    <s v="P2-Raptor"/>
    <x v="8"/>
    <s v="Tester"/>
    <s v="Tester function in OU"/>
    <m/>
    <m/>
    <m/>
    <m/>
    <m/>
    <m/>
    <m/>
    <m/>
    <m/>
    <s v="x"/>
    <m/>
    <m/>
    <m/>
    <m/>
    <m/>
    <m/>
    <m/>
    <m/>
    <s v="x"/>
    <m/>
  </r>
  <r>
    <s v="p2"/>
    <s v="P2-Raptor"/>
    <x v="9"/>
    <s v="Project Manager"/>
    <s v="Project Manager function in OU"/>
    <s v="x"/>
    <m/>
    <s v="x"/>
    <s v="x"/>
    <m/>
    <m/>
    <m/>
    <s v="x"/>
    <m/>
    <s v="x"/>
    <s v="x"/>
    <m/>
    <m/>
    <m/>
    <m/>
    <m/>
    <s v="x"/>
    <m/>
    <m/>
    <m/>
  </r>
  <r>
    <s v="p3"/>
    <s v="P3-Starship"/>
    <x v="10"/>
    <s v="Analyst"/>
    <s v="Analyst function in OU"/>
    <m/>
    <m/>
    <m/>
    <m/>
    <m/>
    <m/>
    <m/>
    <m/>
    <m/>
    <s v="x"/>
    <m/>
    <m/>
    <m/>
    <m/>
    <m/>
    <s v="x"/>
    <m/>
    <m/>
    <m/>
    <m/>
  </r>
  <r>
    <s v="p3"/>
    <s v="P3-Starship"/>
    <x v="11"/>
    <s v="Designer"/>
    <s v="Designer function in OU"/>
    <m/>
    <m/>
    <m/>
    <m/>
    <m/>
    <m/>
    <m/>
    <m/>
    <m/>
    <s v="x"/>
    <m/>
    <m/>
    <m/>
    <m/>
    <m/>
    <m/>
    <m/>
    <s v="x"/>
    <m/>
    <m/>
  </r>
  <r>
    <s v="p3"/>
    <s v="P3-Starship"/>
    <x v="12"/>
    <s v="Developer"/>
    <s v="Developer function in OU"/>
    <m/>
    <m/>
    <m/>
    <m/>
    <m/>
    <m/>
    <m/>
    <m/>
    <m/>
    <s v="x"/>
    <m/>
    <m/>
    <m/>
    <m/>
    <s v="x"/>
    <m/>
    <m/>
    <s v="x"/>
    <s v="x"/>
    <m/>
  </r>
  <r>
    <s v="p3"/>
    <s v="P3-Starship"/>
    <x v="13"/>
    <s v="Tester"/>
    <s v="Tester function in OU"/>
    <m/>
    <m/>
    <m/>
    <m/>
    <m/>
    <m/>
    <m/>
    <m/>
    <m/>
    <s v="x"/>
    <m/>
    <m/>
    <m/>
    <m/>
    <m/>
    <m/>
    <m/>
    <m/>
    <s v="x"/>
    <m/>
  </r>
  <r>
    <s v="p3"/>
    <s v="P3-Starship"/>
    <x v="14"/>
    <s v="Project Manager"/>
    <s v="Project Manager function in OU"/>
    <s v="x"/>
    <m/>
    <s v="x"/>
    <s v="x"/>
    <m/>
    <m/>
    <m/>
    <s v="x"/>
    <m/>
    <s v="x"/>
    <s v="x"/>
    <m/>
    <m/>
    <m/>
    <m/>
    <m/>
    <s v="x"/>
    <m/>
    <m/>
    <m/>
  </r>
  <r>
    <s v="P4"/>
    <s v="P4-SupperHeavy"/>
    <x v="15"/>
    <s v="Analyst"/>
    <s v="Analyst function in OU"/>
    <m/>
    <m/>
    <m/>
    <m/>
    <m/>
    <m/>
    <m/>
    <m/>
    <m/>
    <s v="x"/>
    <m/>
    <m/>
    <m/>
    <m/>
    <m/>
    <s v="x"/>
    <m/>
    <m/>
    <m/>
    <m/>
  </r>
  <r>
    <s v="P4"/>
    <s v="P4-SupperHeavy"/>
    <x v="16"/>
    <s v="Designer"/>
    <s v="Designer function in OU"/>
    <m/>
    <m/>
    <m/>
    <m/>
    <m/>
    <m/>
    <m/>
    <m/>
    <m/>
    <s v="x"/>
    <m/>
    <m/>
    <m/>
    <m/>
    <m/>
    <m/>
    <m/>
    <s v="x"/>
    <m/>
    <m/>
  </r>
  <r>
    <s v="P4"/>
    <s v="P4-SupperHeavy"/>
    <x v="17"/>
    <s v="Developer"/>
    <s v="Developer function in OU"/>
    <m/>
    <m/>
    <m/>
    <m/>
    <m/>
    <m/>
    <m/>
    <m/>
    <m/>
    <s v="x"/>
    <m/>
    <m/>
    <m/>
    <m/>
    <s v="x"/>
    <m/>
    <m/>
    <s v="x"/>
    <s v="x"/>
    <m/>
  </r>
  <r>
    <s v="P4"/>
    <s v="P4-SupperHeavy"/>
    <x v="18"/>
    <s v="Tester"/>
    <s v="Tester function in OU"/>
    <m/>
    <m/>
    <m/>
    <m/>
    <m/>
    <m/>
    <m/>
    <m/>
    <m/>
    <s v="x"/>
    <m/>
    <m/>
    <m/>
    <m/>
    <m/>
    <m/>
    <m/>
    <m/>
    <s v="x"/>
    <m/>
  </r>
  <r>
    <s v="P4"/>
    <s v="P4-SupperHeavy"/>
    <x v="19"/>
    <s v="Project Manager"/>
    <s v="Project Manager function in OU"/>
    <s v="x"/>
    <m/>
    <s v="x"/>
    <s v="x"/>
    <m/>
    <m/>
    <m/>
    <s v="x"/>
    <m/>
    <s v="x"/>
    <s v="x"/>
    <m/>
    <m/>
    <m/>
    <m/>
    <m/>
    <s v="x"/>
    <m/>
    <m/>
    <m/>
  </r>
  <r>
    <s v="s1"/>
    <s v="S1-CM"/>
    <x v="20"/>
    <s v="Configuration Manager"/>
    <s v="Configuration Manager function in OU"/>
    <m/>
    <s v="x"/>
    <m/>
    <m/>
    <m/>
    <m/>
    <m/>
    <m/>
    <m/>
    <m/>
    <m/>
    <m/>
    <m/>
    <m/>
    <m/>
    <m/>
    <m/>
    <m/>
    <m/>
    <m/>
  </r>
  <r>
    <s v="s2"/>
    <s v="S2-EPG-MA"/>
    <x v="21"/>
    <s v="Process manager"/>
    <s v="Process manager function in OU"/>
    <m/>
    <m/>
    <s v="x"/>
    <m/>
    <m/>
    <m/>
    <m/>
    <m/>
    <m/>
    <m/>
    <m/>
    <s v="x"/>
    <s v="x"/>
    <m/>
    <m/>
    <m/>
    <m/>
    <m/>
    <m/>
    <m/>
  </r>
  <r>
    <s v="s2"/>
    <s v="S2-EPG-MA"/>
    <x v="22"/>
    <s v="Measurements manager"/>
    <s v="Measurements manager function in OU"/>
    <s v="x"/>
    <m/>
    <s v="x"/>
    <m/>
    <m/>
    <m/>
    <s v="x"/>
    <m/>
    <m/>
    <m/>
    <m/>
    <m/>
    <m/>
    <m/>
    <m/>
    <m/>
    <m/>
    <m/>
    <m/>
    <m/>
  </r>
  <r>
    <s v="s3"/>
    <s v="S3-HR"/>
    <x v="23"/>
    <s v="Training Manager"/>
    <s v="Training Manager function in OU"/>
    <m/>
    <m/>
    <m/>
    <m/>
    <m/>
    <m/>
    <m/>
    <m/>
    <s v="x"/>
    <m/>
    <m/>
    <m/>
    <m/>
    <m/>
    <m/>
    <m/>
    <m/>
    <m/>
    <m/>
    <m/>
  </r>
  <r>
    <s v="s4"/>
    <s v="S4-PPQA"/>
    <x v="24"/>
    <s v="Process Assurance Manager"/>
    <s v="Process Assurance Manager function in OU"/>
    <m/>
    <m/>
    <m/>
    <m/>
    <m/>
    <m/>
    <m/>
    <m/>
    <m/>
    <m/>
    <m/>
    <m/>
    <m/>
    <s v="x"/>
    <m/>
    <m/>
    <m/>
    <m/>
    <m/>
    <m/>
  </r>
  <r>
    <m/>
    <m/>
    <x v="25"/>
    <m/>
    <m/>
    <m/>
    <m/>
    <m/>
    <m/>
    <m/>
    <m/>
    <m/>
    <m/>
    <m/>
    <m/>
    <m/>
    <m/>
    <m/>
    <m/>
    <m/>
    <m/>
    <m/>
    <m/>
    <m/>
    <m/>
  </r>
  <r>
    <m/>
    <m/>
    <x v="25"/>
    <m/>
    <m/>
    <m/>
    <m/>
    <m/>
    <m/>
    <m/>
    <m/>
    <m/>
    <m/>
    <m/>
    <m/>
    <m/>
    <m/>
    <m/>
    <m/>
    <m/>
    <m/>
    <m/>
    <m/>
    <m/>
    <m/>
  </r>
  <r>
    <m/>
    <m/>
    <x v="25"/>
    <m/>
    <m/>
    <m/>
    <m/>
    <m/>
    <m/>
    <m/>
    <m/>
    <m/>
    <m/>
    <m/>
    <m/>
    <m/>
    <m/>
    <m/>
    <m/>
    <m/>
    <m/>
    <m/>
    <m/>
    <m/>
    <m/>
  </r>
  <r>
    <m/>
    <m/>
    <x v="25"/>
    <m/>
    <m/>
    <m/>
    <m/>
    <m/>
    <m/>
    <m/>
    <m/>
    <m/>
    <m/>
    <m/>
    <m/>
    <m/>
    <m/>
    <m/>
    <m/>
    <m/>
    <m/>
    <m/>
    <m/>
    <m/>
    <m/>
  </r>
</pivotCacheRecords>
</file>

<file path=xl/pivotCache/pivotCacheRecords4.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9">
  <r>
    <x v="0"/>
    <x v="0"/>
  </r>
  <r>
    <x v="0"/>
    <x v="0"/>
  </r>
  <r>
    <x v="0"/>
    <x v="0"/>
  </r>
  <r>
    <x v="0"/>
    <x v="0"/>
  </r>
  <r>
    <x v="0"/>
    <x v="0"/>
  </r>
  <r>
    <x v="1"/>
    <x v="1"/>
  </r>
  <r>
    <x v="1"/>
    <x v="1"/>
  </r>
  <r>
    <x v="1"/>
    <x v="1"/>
  </r>
  <r>
    <x v="1"/>
    <x v="1"/>
  </r>
  <r>
    <x v="1"/>
    <x v="1"/>
  </r>
  <r>
    <x v="2"/>
    <x v="2"/>
  </r>
  <r>
    <x v="2"/>
    <x v="2"/>
  </r>
  <r>
    <x v="2"/>
    <x v="2"/>
  </r>
  <r>
    <x v="2"/>
    <x v="2"/>
  </r>
  <r>
    <x v="2"/>
    <x v="2"/>
  </r>
  <r>
    <x v="3"/>
    <x v="3"/>
  </r>
  <r>
    <x v="3"/>
    <x v="3"/>
  </r>
  <r>
    <x v="3"/>
    <x v="3"/>
  </r>
  <r>
    <x v="3"/>
    <x v="3"/>
  </r>
  <r>
    <x v="3"/>
    <x v="3"/>
  </r>
  <r>
    <x v="4"/>
    <x v="4"/>
  </r>
  <r>
    <x v="5"/>
    <x v="5"/>
  </r>
  <r>
    <x v="5"/>
    <x v="5"/>
  </r>
  <r>
    <x v="6"/>
    <x v="6"/>
  </r>
  <r>
    <x v="7"/>
    <x v="7"/>
  </r>
  <r>
    <x v="8"/>
    <x v="8"/>
  </r>
  <r>
    <x v="8"/>
    <x v="8"/>
  </r>
  <r>
    <x v="8"/>
    <x v="8"/>
  </r>
  <r>
    <x v="8"/>
    <x v="8"/>
  </r>
</pivotCacheRecords>
</file>

<file path=xl/pivotCache/pivotCacheRecords5.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s v="Developer"/>
    <s v="p1"/>
    <s v="x"/>
    <x v="0"/>
  </r>
  <r>
    <x v="1"/>
    <s v="Designer"/>
    <s v="p1"/>
    <s v="x"/>
    <x v="0"/>
  </r>
  <r>
    <x v="2"/>
    <s v="Analyst"/>
    <s v="p2"/>
    <s v="x"/>
    <x v="0"/>
  </r>
  <r>
    <x v="2"/>
    <s v="Analyst"/>
    <s v="p2"/>
    <s v="x"/>
    <x v="0"/>
  </r>
  <r>
    <x v="3"/>
    <s v="Developer"/>
    <s v="p2"/>
    <s v="x"/>
    <x v="0"/>
  </r>
  <r>
    <x v="4"/>
    <s v="Project Manager"/>
    <s v="p3"/>
    <s v="x"/>
    <x v="1"/>
  </r>
  <r>
    <x v="4"/>
    <s v="Project Manager"/>
    <s v="p3"/>
    <s v="x"/>
    <x v="1"/>
  </r>
  <r>
    <x v="4"/>
    <s v="Project Manager"/>
    <s v="p3"/>
    <s v="x"/>
    <x v="1"/>
  </r>
  <r>
    <x v="5"/>
    <s v="Project Manager"/>
    <s v="p4"/>
    <s v="x"/>
    <x v="1"/>
  </r>
  <r>
    <x v="6"/>
    <s v="Configuration Manager"/>
    <s v="s1"/>
    <s v="x"/>
    <x v="2"/>
  </r>
  <r>
    <x v="7"/>
    <s v="Process manager"/>
    <s v="s2"/>
    <s v="x"/>
    <x v="3"/>
  </r>
  <r>
    <x v="7"/>
    <s v="Process manager"/>
    <s v="s2"/>
    <s v="x"/>
    <x v="3"/>
  </r>
  <r>
    <x v="7"/>
    <s v="Process manager"/>
    <s v="s2"/>
    <s v="x"/>
    <x v="3"/>
  </r>
  <r>
    <x v="7"/>
    <s v="Process manager"/>
    <s v="s2"/>
    <s v="x"/>
    <x v="3"/>
  </r>
  <r>
    <x v="7"/>
    <s v="Process manager"/>
    <s v="s2"/>
    <s v="x"/>
    <x v="3"/>
  </r>
  <r>
    <x v="8"/>
    <s v="Training Manager"/>
    <s v="s3"/>
    <s v="x"/>
    <x v="4"/>
  </r>
  <r>
    <x v="9"/>
    <s v="Process Assurance Manager"/>
    <s v="s4"/>
    <s v="x"/>
    <x v="5"/>
  </r>
  <r>
    <x v="10"/>
    <m/>
    <m/>
    <m/>
    <x v="6"/>
  </r>
  <r>
    <x v="10"/>
    <m/>
    <m/>
    <m/>
    <x v="6"/>
  </r>
</pivotCacheRecords>
</file>

<file path=xl/pivotCache/pivotCacheRecords6.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s v="p1"/>
    <x v="0"/>
    <x v="0"/>
    <x v="0"/>
    <x v="0"/>
    <s v="p1"/>
    <x v="0"/>
    <s v="[4] Engineering"/>
  </r>
  <r>
    <s v="p1"/>
    <x v="0"/>
    <x v="1"/>
    <x v="1"/>
    <x v="1"/>
    <s v="p1"/>
    <x v="0"/>
    <s v="[4] Engineering"/>
  </r>
  <r>
    <s v="p2"/>
    <x v="1"/>
    <x v="2"/>
    <x v="2"/>
    <x v="2"/>
    <s v="p2"/>
    <x v="0"/>
    <s v="[4] Engineering"/>
  </r>
  <r>
    <s v="p2"/>
    <x v="1"/>
    <x v="3"/>
    <x v="2"/>
    <x v="2"/>
    <s v="p2"/>
    <x v="0"/>
    <s v="[4] Engineering"/>
  </r>
  <r>
    <s v="p2"/>
    <x v="1"/>
    <x v="4"/>
    <x v="3"/>
    <x v="0"/>
    <s v="p2"/>
    <x v="0"/>
    <s v="[4] Engineering"/>
  </r>
  <r>
    <s v="p3"/>
    <x v="2"/>
    <x v="5"/>
    <x v="4"/>
    <x v="3"/>
    <s v="p3"/>
    <x v="0"/>
    <s v="[3] Project Management"/>
  </r>
  <r>
    <s v="p3"/>
    <x v="2"/>
    <x v="6"/>
    <x v="4"/>
    <x v="3"/>
    <s v="p3"/>
    <x v="0"/>
    <s v="[3] Project Management"/>
  </r>
  <r>
    <s v="p3"/>
    <x v="2"/>
    <x v="7"/>
    <x v="4"/>
    <x v="3"/>
    <s v="p3"/>
    <x v="0"/>
    <s v="[3] Project Management"/>
  </r>
  <r>
    <s v="p4"/>
    <x v="3"/>
    <x v="8"/>
    <x v="5"/>
    <x v="3"/>
    <s v="p4"/>
    <x v="0"/>
    <s v="[3] Project Management"/>
  </r>
  <r>
    <s v="s1"/>
    <x v="4"/>
    <x v="9"/>
    <x v="6"/>
    <x v="4"/>
    <s v="s1"/>
    <x v="0"/>
    <s v="[5] Configuration Management"/>
  </r>
  <r>
    <s v="s2"/>
    <x v="5"/>
    <x v="10"/>
    <x v="7"/>
    <x v="5"/>
    <s v="s2"/>
    <x v="0"/>
    <s v="[6] Process Management"/>
  </r>
  <r>
    <s v="s2"/>
    <x v="5"/>
    <x v="11"/>
    <x v="7"/>
    <x v="5"/>
    <s v="s2"/>
    <x v="0"/>
    <s v="[6] Process Management"/>
  </r>
  <r>
    <s v="s2"/>
    <x v="5"/>
    <x v="12"/>
    <x v="7"/>
    <x v="5"/>
    <s v="s2"/>
    <x v="0"/>
    <s v="[6] Process Management"/>
  </r>
  <r>
    <s v="s2"/>
    <x v="5"/>
    <x v="13"/>
    <x v="7"/>
    <x v="5"/>
    <s v="s2"/>
    <x v="0"/>
    <s v="[6] Process Management"/>
  </r>
  <r>
    <s v="s2"/>
    <x v="5"/>
    <x v="14"/>
    <x v="7"/>
    <x v="5"/>
    <s v="s2"/>
    <x v="0"/>
    <s v="[6] Process Management"/>
  </r>
  <r>
    <s v="s3"/>
    <x v="6"/>
    <x v="15"/>
    <x v="8"/>
    <x v="6"/>
    <s v="s3"/>
    <x v="0"/>
    <s v="[7] Organisational Training"/>
  </r>
  <r>
    <s v="s4"/>
    <x v="7"/>
    <x v="16"/>
    <x v="9"/>
    <x v="7"/>
    <s v="s4"/>
    <x v="0"/>
    <s v="[8] Process Quality Assurance"/>
  </r>
  <r>
    <m/>
    <x v="8"/>
    <x v="17"/>
    <x v="10"/>
    <x v="8"/>
    <m/>
    <x v="1"/>
    <m/>
  </r>
  <r>
    <m/>
    <x v="8"/>
    <x v="17"/>
    <x v="10"/>
    <x v="8"/>
    <m/>
    <x v="1"/>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0630C27-4874-433C-B2D2-CA32DE145526}" name="PivotTable1" cacheId="9"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14" firstHeaderRow="1" firstDataRow="2" firstDataCol="1"/>
  <pivotFields count="2">
    <pivotField axis="axisCol" showAll="0">
      <items count="11">
        <item x="0"/>
        <item x="1"/>
        <item x="2"/>
        <item x="3"/>
        <item x="4"/>
        <item x="5"/>
        <item m="1" x="9"/>
        <item x="6"/>
        <item x="7"/>
        <item x="8"/>
        <item t="default"/>
      </items>
    </pivotField>
    <pivotField axis="axisRow" dataField="1" showAll="0">
      <items count="15">
        <item x="8"/>
        <item m="1" x="10"/>
        <item m="1" x="11"/>
        <item m="1" x="13"/>
        <item m="1" x="9"/>
        <item m="1" x="12"/>
        <item x="4"/>
        <item x="5"/>
        <item x="6"/>
        <item x="7"/>
        <item x="0"/>
        <item x="1"/>
        <item x="2"/>
        <item x="3"/>
        <item t="default"/>
      </items>
    </pivotField>
  </pivotFields>
  <rowFields count="1">
    <field x="1"/>
  </rowFields>
  <rowItems count="10">
    <i>
      <x/>
    </i>
    <i>
      <x v="6"/>
    </i>
    <i>
      <x v="7"/>
    </i>
    <i>
      <x v="8"/>
    </i>
    <i>
      <x v="9"/>
    </i>
    <i>
      <x v="10"/>
    </i>
    <i>
      <x v="11"/>
    </i>
    <i>
      <x v="12"/>
    </i>
    <i>
      <x v="13"/>
    </i>
    <i t="grand">
      <x/>
    </i>
  </rowItems>
  <colFields count="1">
    <field x="0"/>
  </colFields>
  <colItems count="10">
    <i>
      <x/>
    </i>
    <i>
      <x v="1"/>
    </i>
    <i>
      <x v="2"/>
    </i>
    <i>
      <x v="3"/>
    </i>
    <i>
      <x v="4"/>
    </i>
    <i>
      <x v="5"/>
    </i>
    <i>
      <x v="7"/>
    </i>
    <i>
      <x v="8"/>
    </i>
    <i>
      <x v="9"/>
    </i>
    <i t="grand">
      <x/>
    </i>
  </colItems>
  <dataFields count="1">
    <dataField name="Count of Work name" fld="1"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9626812-EC3E-45E1-93F2-18C02D9EAC1B}" name="PivotTable1" cacheId="8"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30" firstHeaderRow="1" firstDataRow="1" firstDataCol="1"/>
  <pivotFields count="25">
    <pivotField dataField="1" showAll="0"/>
    <pivotField showAll="0"/>
    <pivotField axis="axisRow" showAll="0">
      <items count="52">
        <item x="25"/>
        <item m="1" x="46"/>
        <item m="1" x="27"/>
        <item m="1" x="31"/>
        <item m="1" x="43"/>
        <item m="1" x="50"/>
        <item m="1" x="38"/>
        <item m="1" x="33"/>
        <item m="1" x="41"/>
        <item m="1" x="48"/>
        <item m="1" x="28"/>
        <item m="1" x="29"/>
        <item m="1" x="39"/>
        <item m="1" x="32"/>
        <item m="1" x="49"/>
        <item m="1" x="44"/>
        <item m="1" x="36"/>
        <item m="1" x="30"/>
        <item m="1" x="42"/>
        <item m="1" x="35"/>
        <item m="1" x="34"/>
        <item m="1" x="26"/>
        <item m="1" x="45"/>
        <item m="1" x="37"/>
        <item m="1" x="40"/>
        <item m="1" x="47"/>
        <item x="0"/>
        <item x="1"/>
        <item x="2"/>
        <item x="3"/>
        <item x="4"/>
        <item x="5"/>
        <item x="6"/>
        <item x="7"/>
        <item x="8"/>
        <item x="9"/>
        <item x="10"/>
        <item x="11"/>
        <item x="12"/>
        <item x="13"/>
        <item x="14"/>
        <item x="15"/>
        <item x="16"/>
        <item x="17"/>
        <item x="18"/>
        <item x="19"/>
        <item x="20"/>
        <item x="21"/>
        <item x="22"/>
        <item x="23"/>
        <item x="24"/>
        <item t="default"/>
      </items>
    </pivotField>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2"/>
  </rowFields>
  <rowItems count="27">
    <i>
      <x/>
    </i>
    <i>
      <x v="26"/>
    </i>
    <i>
      <x v="27"/>
    </i>
    <i>
      <x v="28"/>
    </i>
    <i>
      <x v="29"/>
    </i>
    <i>
      <x v="30"/>
    </i>
    <i>
      <x v="31"/>
    </i>
    <i>
      <x v="32"/>
    </i>
    <i>
      <x v="33"/>
    </i>
    <i>
      <x v="34"/>
    </i>
    <i>
      <x v="35"/>
    </i>
    <i>
      <x v="36"/>
    </i>
    <i>
      <x v="37"/>
    </i>
    <i>
      <x v="38"/>
    </i>
    <i>
      <x v="39"/>
    </i>
    <i>
      <x v="40"/>
    </i>
    <i>
      <x v="41"/>
    </i>
    <i>
      <x v="42"/>
    </i>
    <i>
      <x v="43"/>
    </i>
    <i>
      <x v="44"/>
    </i>
    <i>
      <x v="45"/>
    </i>
    <i>
      <x v="46"/>
    </i>
    <i>
      <x v="47"/>
    </i>
    <i>
      <x v="48"/>
    </i>
    <i>
      <x v="49"/>
    </i>
    <i>
      <x v="50"/>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F115F3FE-27E9-4DAF-85F9-49EF2B7BB2D7}"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2" firstHeaderRow="1" firstDataRow="1" firstDataCol="1"/>
  <pivotFields count="9">
    <pivotField showAll="0"/>
    <pivotField showAll="0"/>
    <pivotField axis="axisRow" dataField="1" showAll="0">
      <items count="19">
        <item x="10"/>
        <item x="9"/>
        <item x="11"/>
        <item x="5"/>
        <item x="6"/>
        <item x="12"/>
        <item x="15"/>
        <item x="13"/>
        <item x="14"/>
        <item x="0"/>
        <item x="7"/>
        <item x="16"/>
        <item x="2"/>
        <item x="3"/>
        <item x="8"/>
        <item x="1"/>
        <item x="4"/>
        <item x="17"/>
        <item t="default"/>
      </items>
    </pivotField>
    <pivotField showAll="0"/>
    <pivotField showAll="0"/>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Items count="1">
    <i/>
  </colItems>
  <dataFields count="1">
    <dataField name="Count of PA" fld="2"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63C495C5-2622-49F1-8369-35369F719F18}" name="PivotTable2" cacheId="6"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K23" firstHeaderRow="1" firstDataRow="2" firstDataCol="1"/>
  <pivotFields count="7">
    <pivotField axis="axisCol" dataField="1" showAll="0">
      <items count="11">
        <item x="0"/>
        <item x="1"/>
        <item x="3"/>
        <item m="1" x="9"/>
        <item x="4"/>
        <item x="5"/>
        <item x="8"/>
        <item x="2"/>
        <item x="6"/>
        <item x="7"/>
        <item t="default"/>
      </items>
    </pivotField>
    <pivotField showAll="0"/>
    <pivotField axis="axisRow" showAll="0">
      <items count="19">
        <item x="13"/>
        <item x="9"/>
        <item x="5"/>
        <item x="6"/>
        <item x="0"/>
        <item x="7"/>
        <item x="2"/>
        <item x="3"/>
        <item x="8"/>
        <item x="1"/>
        <item x="4"/>
        <item x="17"/>
        <item x="10"/>
        <item x="11"/>
        <item x="12"/>
        <item x="15"/>
        <item x="16"/>
        <item x="14"/>
        <item t="default"/>
      </items>
    </pivotField>
    <pivotField showAll="0"/>
    <pivotField showAll="0"/>
    <pivotField showAll="0"/>
    <pivotField showAll="0"/>
  </pivotFields>
  <rowFields count="1">
    <field x="2"/>
  </rowFields>
  <rowItems count="19">
    <i>
      <x/>
    </i>
    <i>
      <x v="1"/>
    </i>
    <i>
      <x v="2"/>
    </i>
    <i>
      <x v="3"/>
    </i>
    <i>
      <x v="4"/>
    </i>
    <i>
      <x v="5"/>
    </i>
    <i>
      <x v="6"/>
    </i>
    <i>
      <x v="7"/>
    </i>
    <i>
      <x v="8"/>
    </i>
    <i>
      <x v="9"/>
    </i>
    <i>
      <x v="10"/>
    </i>
    <i>
      <x v="11"/>
    </i>
    <i>
      <x v="12"/>
    </i>
    <i>
      <x v="13"/>
    </i>
    <i>
      <x v="14"/>
    </i>
    <i>
      <x v="15"/>
    </i>
    <i>
      <x v="16"/>
    </i>
    <i>
      <x v="17"/>
    </i>
    <i t="grand">
      <x/>
    </i>
  </rowItems>
  <colFields count="1">
    <field x="0"/>
  </colFields>
  <colItems count="10">
    <i>
      <x/>
    </i>
    <i>
      <x v="1"/>
    </i>
    <i>
      <x v="2"/>
    </i>
    <i>
      <x v="4"/>
    </i>
    <i>
      <x v="5"/>
    </i>
    <i>
      <x v="6"/>
    </i>
    <i>
      <x v="7"/>
    </i>
    <i>
      <x v="8"/>
    </i>
    <i>
      <x v="9"/>
    </i>
    <i t="grand">
      <x/>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655703AA-FCAE-455D-BD74-D52F23CD6A3E}" name="PivotTable1" cacheId="7"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11" firstHeaderRow="1" firstDataRow="1" firstDataCol="1"/>
  <pivotFields count="9">
    <pivotField showAll="0"/>
    <pivotField showAll="0"/>
    <pivotField showAll="0"/>
    <pivotField showAll="0"/>
    <pivotField showAll="0"/>
    <pivotField showAll="0"/>
    <pivotField showAll="0"/>
    <pivotField axis="axisRow" showAll="0">
      <items count="8">
        <item x="1"/>
        <item x="0"/>
        <item x="2"/>
        <item x="3"/>
        <item x="4"/>
        <item x="5"/>
        <item x="6"/>
        <item t="default"/>
      </items>
    </pivotField>
    <pivotField dataField="1" showAll="0"/>
  </pivotFields>
  <rowFields count="1">
    <field x="7"/>
  </rowFields>
  <rowItems count="8">
    <i>
      <x/>
    </i>
    <i>
      <x v="1"/>
    </i>
    <i>
      <x v="2"/>
    </i>
    <i>
      <x v="3"/>
    </i>
    <i>
      <x v="4"/>
    </i>
    <i>
      <x v="5"/>
    </i>
    <i>
      <x v="6"/>
    </i>
    <i t="grand">
      <x/>
    </i>
  </rowItems>
  <colItems count="1">
    <i/>
  </colItems>
  <dataFields count="1">
    <dataField name="Sum of PA count" fld="8"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5252C73A-3A14-4E3F-86B4-331030FC5B78}"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B26" firstHeaderRow="1" firstDataRow="1" firstDataCol="1"/>
  <pivotFields count="8">
    <pivotField dataField="1" showAll="0"/>
    <pivotField showAll="0"/>
    <pivotField showAll="0"/>
    <pivotField axis="axisRow" showAll="0">
      <items count="72">
        <item m="1" x="47"/>
        <item m="1" x="48"/>
        <item m="1" x="62"/>
        <item m="1" x="22"/>
        <item m="1" x="58"/>
        <item m="1" x="55"/>
        <item m="1" x="52"/>
        <item m="1" x="69"/>
        <item m="1" x="25"/>
        <item m="1" x="46"/>
        <item m="1" x="28"/>
        <item m="1" x="60"/>
        <item m="1" x="43"/>
        <item m="1" x="17"/>
        <item m="1" x="39"/>
        <item m="1" x="61"/>
        <item m="1" x="21"/>
        <item m="1" x="23"/>
        <item m="1" x="30"/>
        <item m="1" x="35"/>
        <item m="1" x="40"/>
        <item m="1" x="34"/>
        <item m="1" x="51"/>
        <item m="1" x="31"/>
        <item m="1" x="27"/>
        <item m="1" x="57"/>
        <item m="1" x="54"/>
        <item m="1" x="70"/>
        <item m="1" x="33"/>
        <item m="1" x="14"/>
        <item m="1" x="41"/>
        <item m="1" x="68"/>
        <item m="1" x="66"/>
        <item m="1" x="19"/>
        <item m="1" x="67"/>
        <item m="1" x="29"/>
        <item m="1" x="63"/>
        <item x="1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axis="axisRow" showAll="0">
      <items count="14">
        <item x="2"/>
        <item x="4"/>
        <item x="1"/>
        <item x="0"/>
        <item m="1" x="11"/>
        <item m="1" x="9"/>
        <item x="3"/>
        <item m="1" x="10"/>
        <item m="1" x="12"/>
        <item x="8"/>
        <item x="7"/>
        <item x="6"/>
        <item x="5"/>
        <item t="default"/>
      </items>
    </pivotField>
    <pivotField showAll="0"/>
    <pivotField axis="axisRow" showAll="0">
      <items count="3">
        <item x="0"/>
        <item x="1"/>
        <item t="default"/>
      </items>
    </pivotField>
    <pivotField showAll="0"/>
  </pivotFields>
  <rowFields count="3">
    <field x="6"/>
    <field x="4"/>
    <field x="3"/>
  </rowFields>
  <rowItems count="23">
    <i>
      <x/>
    </i>
    <i r="1">
      <x/>
    </i>
    <i r="2">
      <x v="63"/>
    </i>
    <i r="1">
      <x v="1"/>
    </i>
    <i r="2">
      <x v="67"/>
    </i>
    <i r="1">
      <x v="2"/>
    </i>
    <i r="2">
      <x v="62"/>
    </i>
    <i r="1">
      <x v="3"/>
    </i>
    <i r="2">
      <x v="61"/>
    </i>
    <i r="2">
      <x v="64"/>
    </i>
    <i r="1">
      <x v="6"/>
    </i>
    <i r="2">
      <x v="65"/>
    </i>
    <i r="2">
      <x v="66"/>
    </i>
    <i r="1">
      <x v="10"/>
    </i>
    <i r="2">
      <x v="70"/>
    </i>
    <i r="1">
      <x v="11"/>
    </i>
    <i r="2">
      <x v="69"/>
    </i>
    <i r="1">
      <x v="12"/>
    </i>
    <i r="2">
      <x v="68"/>
    </i>
    <i>
      <x v="1"/>
    </i>
    <i r="1">
      <x v="9"/>
    </i>
    <i r="2">
      <x v="37"/>
    </i>
    <i t="grand">
      <x/>
    </i>
  </rowItems>
  <colItems count="1">
    <i/>
  </colItems>
  <dataFields count="1">
    <dataField name="Count of WorkID" fld="0" subtotal="count"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5E459C42-CCFD-4C88-862C-FF38B30670AD}" name="PivotTable2"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33" firstHeaderRow="1" firstDataRow="1" firstDataCol="1"/>
  <pivotFields count="8">
    <pivotField showAll="0"/>
    <pivotField showAll="0"/>
    <pivotField axis="axisRow" showAll="0">
      <items count="19">
        <item x="10"/>
        <item x="9"/>
        <item x="11"/>
        <item x="5"/>
        <item x="6"/>
        <item x="12"/>
        <item x="15"/>
        <item x="13"/>
        <item x="14"/>
        <item x="0"/>
        <item x="7"/>
        <item x="16"/>
        <item x="2"/>
        <item x="3"/>
        <item x="8"/>
        <item x="1"/>
        <item x="4"/>
        <item x="17"/>
        <item t="default"/>
      </items>
    </pivotField>
    <pivotField axis="axisRow" showAll="0" sortType="ascending">
      <items count="72">
        <item m="1" x="64"/>
        <item m="1" x="47"/>
        <item m="1" x="48"/>
        <item m="1" x="49"/>
        <item m="1" x="62"/>
        <item m="1" x="22"/>
        <item m="1" x="32"/>
        <item m="1" x="11"/>
        <item m="1" x="15"/>
        <item m="1" x="16"/>
        <item m="1" x="12"/>
        <item m="1" x="53"/>
        <item m="1" x="44"/>
        <item m="1" x="58"/>
        <item m="1" x="55"/>
        <item m="1" x="52"/>
        <item m="1" x="69"/>
        <item m="1" x="20"/>
        <item m="1" x="56"/>
        <item m="1" x="25"/>
        <item m="1" x="46"/>
        <item m="1" x="28"/>
        <item m="1" x="18"/>
        <item m="1" x="60"/>
        <item m="1" x="43"/>
        <item m="1" x="17"/>
        <item m="1" x="39"/>
        <item m="1" x="61"/>
        <item m="1" x="59"/>
        <item m="1" x="21"/>
        <item m="1" x="23"/>
        <item m="1" x="30"/>
        <item m="1" x="35"/>
        <item m="1" x="40"/>
        <item m="1" x="34"/>
        <item m="1" x="51"/>
        <item m="1" x="65"/>
        <item m="1" x="50"/>
        <item m="1" x="42"/>
        <item m="1" x="37"/>
        <item m="1" x="26"/>
        <item m="1" x="31"/>
        <item m="1" x="45"/>
        <item x="2"/>
        <item x="6"/>
        <item x="1"/>
        <item x="0"/>
        <item x="3"/>
        <item x="9"/>
        <item x="7"/>
        <item x="4"/>
        <item x="5"/>
        <item x="8"/>
        <item m="1" x="27"/>
        <item m="1" x="57"/>
        <item m="1" x="38"/>
        <item m="1" x="54"/>
        <item m="1" x="13"/>
        <item m="1" x="70"/>
        <item m="1" x="33"/>
        <item m="1" x="14"/>
        <item m="1" x="36"/>
        <item m="1" x="41"/>
        <item m="1" x="68"/>
        <item m="1" x="24"/>
        <item m="1" x="66"/>
        <item m="1" x="19"/>
        <item m="1" x="67"/>
        <item m="1" x="29"/>
        <item m="1" x="63"/>
        <item x="10"/>
        <item t="default"/>
      </items>
    </pivotField>
    <pivotField showAll="0"/>
    <pivotField showAll="0"/>
    <pivotField showAll="0"/>
    <pivotField showAll="0"/>
  </pivotFields>
  <rowFields count="2">
    <field x="3"/>
    <field x="2"/>
  </rowFields>
  <rowItems count="30">
    <i>
      <x v="43"/>
    </i>
    <i r="1">
      <x v="12"/>
    </i>
    <i r="1">
      <x v="13"/>
    </i>
    <i>
      <x v="44"/>
    </i>
    <i r="1">
      <x v="1"/>
    </i>
    <i>
      <x v="45"/>
    </i>
    <i r="1">
      <x v="15"/>
    </i>
    <i>
      <x v="46"/>
    </i>
    <i r="1">
      <x v="9"/>
    </i>
    <i>
      <x v="47"/>
    </i>
    <i r="1">
      <x v="16"/>
    </i>
    <i>
      <x v="48"/>
    </i>
    <i r="1">
      <x v="11"/>
    </i>
    <i>
      <x v="49"/>
    </i>
    <i r="1">
      <x/>
    </i>
    <i r="1">
      <x v="2"/>
    </i>
    <i r="1">
      <x v="5"/>
    </i>
    <i r="1">
      <x v="7"/>
    </i>
    <i r="1">
      <x v="8"/>
    </i>
    <i>
      <x v="50"/>
    </i>
    <i r="1">
      <x v="3"/>
    </i>
    <i r="1">
      <x v="4"/>
    </i>
    <i r="1">
      <x v="10"/>
    </i>
    <i>
      <x v="51"/>
    </i>
    <i r="1">
      <x v="14"/>
    </i>
    <i>
      <x v="52"/>
    </i>
    <i r="1">
      <x v="6"/>
    </i>
    <i>
      <x v="70"/>
    </i>
    <i r="1">
      <x v="17"/>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398F6C70-CE68-4677-BAED-7761CBDE8A00}" name="PivotTable1" cacheId="11"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4" firstHeaderRow="1" firstDataRow="1" firstDataCol="1"/>
  <pivotFields count="8">
    <pivotField showAll="0"/>
    <pivotField axis="axisRow" showAll="0">
      <items count="41">
        <item m="1" x="10"/>
        <item m="1" x="33"/>
        <item m="1" x="36"/>
        <item m="1" x="17"/>
        <item m="1" x="24"/>
        <item m="1" x="38"/>
        <item m="1" x="32"/>
        <item m="1" x="27"/>
        <item m="1" x="34"/>
        <item x="8"/>
        <item m="1" x="23"/>
        <item m="1" x="18"/>
        <item m="1" x="37"/>
        <item m="1" x="16"/>
        <item m="1" x="22"/>
        <item m="1" x="12"/>
        <item m="1" x="13"/>
        <item m="1" x="14"/>
        <item m="1" x="31"/>
        <item m="1" x="15"/>
        <item m="1" x="29"/>
        <item m="1" x="21"/>
        <item m="1" x="19"/>
        <item m="1" x="9"/>
        <item m="1" x="30"/>
        <item m="1" x="11"/>
        <item m="1" x="20"/>
        <item m="1" x="35"/>
        <item m="1" x="26"/>
        <item m="1" x="39"/>
        <item m="1" x="25"/>
        <item m="1" x="28"/>
        <item x="0"/>
        <item x="1"/>
        <item x="2"/>
        <item x="3"/>
        <item x="4"/>
        <item x="5"/>
        <item x="6"/>
        <item x="7"/>
        <item t="default"/>
      </items>
    </pivotField>
    <pivotField showAll="0"/>
    <pivotField axis="axisRow" showAll="0">
      <items count="72">
        <item m="1" x="62"/>
        <item m="1" x="58"/>
        <item m="1" x="28"/>
        <item m="1" x="17"/>
        <item m="1" x="34"/>
        <item m="1" x="51"/>
        <item m="1" x="57"/>
        <item m="1" x="70"/>
        <item m="1" x="14"/>
        <item m="1" x="19"/>
        <item x="10"/>
        <item m="1" x="48"/>
        <item m="1" x="22"/>
        <item m="1" x="61"/>
        <item m="1" x="43"/>
        <item m="1" x="31"/>
        <item m="1" x="41"/>
        <item m="1" x="54"/>
        <item m="1" x="33"/>
        <item m="1" x="68"/>
        <item m="1" x="69"/>
        <item m="1" x="67"/>
        <item m="1" x="55"/>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showAll="0"/>
  </pivotFields>
  <rowFields count="2">
    <field x="1"/>
    <field x="3"/>
  </rowFields>
  <rowItems count="21">
    <i>
      <x v="9"/>
    </i>
    <i r="1">
      <x v="10"/>
    </i>
    <i>
      <x v="32"/>
    </i>
    <i r="1">
      <x v="61"/>
    </i>
    <i r="1">
      <x v="62"/>
    </i>
    <i>
      <x v="33"/>
    </i>
    <i r="1">
      <x v="63"/>
    </i>
    <i r="1">
      <x v="64"/>
    </i>
    <i>
      <x v="34"/>
    </i>
    <i r="1">
      <x v="65"/>
    </i>
    <i>
      <x v="35"/>
    </i>
    <i r="1">
      <x v="66"/>
    </i>
    <i>
      <x v="36"/>
    </i>
    <i r="1">
      <x v="67"/>
    </i>
    <i>
      <x v="37"/>
    </i>
    <i r="1">
      <x v="68"/>
    </i>
    <i>
      <x v="38"/>
    </i>
    <i r="1">
      <x v="69"/>
    </i>
    <i>
      <x v="39"/>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09B4CED5-1413-4115-AB8F-B13A71BF2AEB}" name="PivotTable1" cacheId="10" applyNumberFormats="0" applyBorderFormats="0" applyFontFormats="0" applyPatternFormats="0" applyAlignmentFormats="0" applyWidthHeightFormats="1" dataCaption="Values" updatedVersion="7" minRefreshableVersion="3" useAutoFormatting="1" itemPrintTitles="1" createdVersion="6" indent="0" outline="1" outlineData="1" multipleFieldFilters="0">
  <location ref="A3:A22" firstHeaderRow="1" firstDataRow="1" firstDataCol="1"/>
  <pivotFields count="5">
    <pivotField axis="axisRow" showAll="0">
      <items count="72">
        <item m="1" x="48"/>
        <item m="1" x="22"/>
        <item m="1" x="55"/>
        <item m="1" x="69"/>
        <item m="1" x="43"/>
        <item m="1" x="61"/>
        <item m="1" x="31"/>
        <item m="1" x="54"/>
        <item m="1" x="33"/>
        <item m="1" x="41"/>
        <item m="1" x="68"/>
        <item m="1" x="67"/>
        <item x="10"/>
        <item m="1" x="70"/>
        <item m="1" x="28"/>
        <item m="1" x="57"/>
        <item m="1" x="58"/>
        <item m="1" x="14"/>
        <item m="1" x="19"/>
        <item m="1" x="62"/>
        <item m="1" x="17"/>
        <item m="1" x="34"/>
        <item m="1" x="51"/>
        <item m="1" x="39"/>
        <item m="1" x="63"/>
        <item m="1" x="47"/>
        <item m="1" x="23"/>
        <item m="1" x="52"/>
        <item m="1" x="25"/>
        <item m="1" x="66"/>
        <item m="1" x="27"/>
        <item m="1" x="29"/>
        <item m="1" x="30"/>
        <item m="1" x="35"/>
        <item m="1" x="40"/>
        <item m="1" x="21"/>
        <item m="1" x="46"/>
        <item m="1" x="60"/>
        <item m="1" x="42"/>
        <item m="1" x="37"/>
        <item m="1" x="26"/>
        <item m="1" x="11"/>
        <item m="1" x="32"/>
        <item m="1" x="15"/>
        <item m="1" x="64"/>
        <item m="1" x="16"/>
        <item m="1" x="49"/>
        <item m="1" x="50"/>
        <item m="1" x="38"/>
        <item m="1" x="65"/>
        <item m="1" x="56"/>
        <item m="1" x="53"/>
        <item m="1" x="18"/>
        <item m="1" x="59"/>
        <item m="1" x="44"/>
        <item m="1" x="45"/>
        <item m="1" x="12"/>
        <item m="1" x="13"/>
        <item m="1" x="20"/>
        <item m="1" x="36"/>
        <item m="1" x="24"/>
        <item x="0"/>
        <item x="1"/>
        <item x="2"/>
        <item x="3"/>
        <item x="4"/>
        <item x="5"/>
        <item x="6"/>
        <item x="7"/>
        <item x="8"/>
        <item x="9"/>
        <item t="default"/>
      </items>
    </pivotField>
    <pivotField showAll="0"/>
    <pivotField showAll="0"/>
    <pivotField showAll="0"/>
    <pivotField axis="axisRow" showAll="0">
      <items count="17">
        <item m="1" x="14"/>
        <item m="1" x="9"/>
        <item m="1" x="10"/>
        <item m="1" x="7"/>
        <item m="1" x="11"/>
        <item m="1" x="12"/>
        <item x="6"/>
        <item m="1" x="13"/>
        <item x="1"/>
        <item x="0"/>
        <item x="2"/>
        <item x="3"/>
        <item x="4"/>
        <item x="5"/>
        <item m="1" x="8"/>
        <item m="1" x="15"/>
        <item t="default"/>
      </items>
    </pivotField>
  </pivotFields>
  <rowFields count="2">
    <field x="4"/>
    <field x="0"/>
  </rowFields>
  <rowItems count="19">
    <i>
      <x v="6"/>
    </i>
    <i r="1">
      <x v="12"/>
    </i>
    <i>
      <x v="8"/>
    </i>
    <i r="1">
      <x v="65"/>
    </i>
    <i r="1">
      <x v="66"/>
    </i>
    <i>
      <x v="9"/>
    </i>
    <i r="1">
      <x v="61"/>
    </i>
    <i r="1">
      <x v="62"/>
    </i>
    <i r="1">
      <x v="63"/>
    </i>
    <i r="1">
      <x v="64"/>
    </i>
    <i>
      <x v="10"/>
    </i>
    <i r="1">
      <x v="67"/>
    </i>
    <i>
      <x v="11"/>
    </i>
    <i r="1">
      <x v="68"/>
    </i>
    <i>
      <x v="12"/>
    </i>
    <i r="1">
      <x v="69"/>
    </i>
    <i>
      <x v="13"/>
    </i>
    <i r="1">
      <x v="70"/>
    </i>
    <i t="grand">
      <x/>
    </i>
  </rowItems>
  <colItems count="1">
    <i/>
  </colItem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github.com/DemixTech/CMMITools/blob/main/LICENSE" TargetMode="External"/><Relationship Id="rId2" Type="http://schemas.openxmlformats.org/officeDocument/2006/relationships/hyperlink" Target="http://www.demix.org/" TargetMode="External"/><Relationship Id="rId1" Type="http://schemas.openxmlformats.org/officeDocument/2006/relationships/hyperlink" Target="https://github.com/DemixTech/CMMITools" TargetMode="Externa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hyperlink" Target="https://www.compart.com/en/unicode/U+2022" TargetMode="Externa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5.xml.rels><?xml version="1.0" encoding="UTF-8" standalone="yes"?>
<Relationships xmlns="http://schemas.openxmlformats.org/package/2006/relationships"><Relationship Id="rId3" Type="http://schemas.openxmlformats.org/officeDocument/2006/relationships/hyperlink" Target="mailto:translator@email.com" TargetMode="External"/><Relationship Id="rId2" Type="http://schemas.openxmlformats.org/officeDocument/2006/relationships/hyperlink" Target="mailto:nathalie.lake@email.com" TargetMode="External"/><Relationship Id="rId1" Type="http://schemas.openxmlformats.org/officeDocument/2006/relationships/hyperlink" Target="mailto:donald.kessler@email.com" TargetMode="External"/><Relationship Id="rId4"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7.xml.rels><?xml version="1.0" encoding="UTF-8" standalone="yes"?>
<Relationships xmlns="http://schemas.openxmlformats.org/package/2006/relationships"><Relationship Id="rId3" Type="http://schemas.openxmlformats.org/officeDocument/2006/relationships/hyperlink" Target="http://emars.com/" TargetMode="External"/><Relationship Id="rId7" Type="http://schemas.openxmlformats.org/officeDocument/2006/relationships/comments" Target="../comments2.xml"/><Relationship Id="rId2" Type="http://schemas.openxmlformats.org/officeDocument/2006/relationships/hyperlink" Target="mailto:qianjiedi@gktel.com.cn" TargetMode="External"/><Relationship Id="rId1" Type="http://schemas.openxmlformats.org/officeDocument/2006/relationships/hyperlink" Target="mailto:jack@c-goshine.com" TargetMode="External"/><Relationship Id="rId6" Type="http://schemas.openxmlformats.org/officeDocument/2006/relationships/vmlDrawing" Target="../drawings/vmlDrawing3.vml"/><Relationship Id="rId5" Type="http://schemas.openxmlformats.org/officeDocument/2006/relationships/drawing" Target="../drawings/drawing3.xml"/><Relationship Id="rId4"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12.xml.rels><?xml version="1.0" encoding="UTF-8" standalone="yes"?>
<Relationships xmlns="http://schemas.openxmlformats.org/package/2006/relationships"><Relationship Id="rId2" Type="http://schemas.openxmlformats.org/officeDocument/2006/relationships/printerSettings" Target="../printerSettings/printerSettings7.bin"/><Relationship Id="rId1" Type="http://schemas.openxmlformats.org/officeDocument/2006/relationships/pivotTable" Target="../pivotTables/pivotTable2.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14.xml.rels><?xml version="1.0" encoding="UTF-8" standalone="yes"?>
<Relationships xmlns="http://schemas.openxmlformats.org/package/2006/relationships"><Relationship Id="rId8" Type="http://schemas.openxmlformats.org/officeDocument/2006/relationships/hyperlink" Target="mailto:atm2.email@gmail.com" TargetMode="External"/><Relationship Id="rId13" Type="http://schemas.openxmlformats.org/officeDocument/2006/relationships/hyperlink" Target="mailto:atm5.email@gmail.com" TargetMode="External"/><Relationship Id="rId18" Type="http://schemas.openxmlformats.org/officeDocument/2006/relationships/printerSettings" Target="../printerSettings/printerSettings8.bin"/><Relationship Id="rId3" Type="http://schemas.openxmlformats.org/officeDocument/2006/relationships/hyperlink" Target="mailto:qianjiedi@gktel.com.cn" TargetMode="External"/><Relationship Id="rId7" Type="http://schemas.openxmlformats.org/officeDocument/2006/relationships/hyperlink" Target="mailto:atm1.email@gmail.com" TargetMode="External"/><Relationship Id="rId12" Type="http://schemas.openxmlformats.org/officeDocument/2006/relationships/hyperlink" Target="mailto:atm6.email@gmail.com" TargetMode="External"/><Relationship Id="rId17" Type="http://schemas.openxmlformats.org/officeDocument/2006/relationships/hyperlink" Target="mailto:chris.hemswoth@mailcom" TargetMode="External"/><Relationship Id="rId2" Type="http://schemas.openxmlformats.org/officeDocument/2006/relationships/hyperlink" Target="mailto:xiongguohui@gktel.com.cn" TargetMode="External"/><Relationship Id="rId16" Type="http://schemas.openxmlformats.org/officeDocument/2006/relationships/hyperlink" Target="mailto:atm4.email@gmail.com" TargetMode="External"/><Relationship Id="rId20" Type="http://schemas.openxmlformats.org/officeDocument/2006/relationships/comments" Target="../comments4.xml"/><Relationship Id="rId1" Type="http://schemas.openxmlformats.org/officeDocument/2006/relationships/hyperlink" Target="http://www.c-goshine.com/" TargetMode="External"/><Relationship Id="rId6" Type="http://schemas.openxmlformats.org/officeDocument/2006/relationships/hyperlink" Target="mailto:atm1.email@gmail.com" TargetMode="External"/><Relationship Id="rId11" Type="http://schemas.openxmlformats.org/officeDocument/2006/relationships/hyperlink" Target="mailto:atm7.email@gmail.com" TargetMode="External"/><Relationship Id="rId5" Type="http://schemas.openxmlformats.org/officeDocument/2006/relationships/hyperlink" Target="mailto:dkessler@gmail.com" TargetMode="External"/><Relationship Id="rId15" Type="http://schemas.openxmlformats.org/officeDocument/2006/relationships/hyperlink" Target="mailto:atm3.email@gmail.com" TargetMode="External"/><Relationship Id="rId10" Type="http://schemas.openxmlformats.org/officeDocument/2006/relationships/hyperlink" Target="mailto:atm8.email@gmail.com" TargetMode="External"/><Relationship Id="rId19" Type="http://schemas.openxmlformats.org/officeDocument/2006/relationships/vmlDrawing" Target="../drawings/vmlDrawing5.vml"/><Relationship Id="rId4" Type="http://schemas.openxmlformats.org/officeDocument/2006/relationships/hyperlink" Target="mailto:fengxiaoling@aski.cc" TargetMode="External"/><Relationship Id="rId9" Type="http://schemas.openxmlformats.org/officeDocument/2006/relationships/hyperlink" Target="mailto:atm9.email@gmail.com" TargetMode="External"/><Relationship Id="rId14" Type="http://schemas.openxmlformats.org/officeDocument/2006/relationships/hyperlink" Target="mailto:atm1.email@gmail.com" TargetMode="External"/></Relationships>
</file>

<file path=xl/worksheets/_rels/sheet15.xml.rels><?xml version="1.0" encoding="UTF-8" standalone="yes"?>
<Relationships xmlns="http://schemas.openxmlformats.org/package/2006/relationships"><Relationship Id="rId2" Type="http://schemas.openxmlformats.org/officeDocument/2006/relationships/comments" Target="../comments5.xml"/><Relationship Id="rId1" Type="http://schemas.openxmlformats.org/officeDocument/2006/relationships/vmlDrawing" Target="../drawings/vmlDrawing6.vml"/></Relationships>
</file>

<file path=xl/worksheets/_rels/sheet1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7.vml"/><Relationship Id="rId1" Type="http://schemas.openxmlformats.org/officeDocument/2006/relationships/printerSettings" Target="../printerSettings/printerSettings9.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0.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34.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35.xml.rels><?xml version="1.0" encoding="UTF-8" standalone="yes"?>
<Relationships xmlns="http://schemas.openxmlformats.org/package/2006/relationships"><Relationship Id="rId2" Type="http://schemas.openxmlformats.org/officeDocument/2006/relationships/printerSettings" Target="../printerSettings/printerSettings18.bin"/><Relationship Id="rId1" Type="http://schemas.openxmlformats.org/officeDocument/2006/relationships/pivotTable" Target="../pivotTables/pivotTable7.xml"/></Relationships>
</file>

<file path=xl/worksheets/_rels/sheet36.xml.rels><?xml version="1.0" encoding="UTF-8" standalone="yes"?>
<Relationships xmlns="http://schemas.openxmlformats.org/package/2006/relationships"><Relationship Id="rId2" Type="http://schemas.openxmlformats.org/officeDocument/2006/relationships/printerSettings" Target="../printerSettings/printerSettings19.bin"/><Relationship Id="rId1" Type="http://schemas.openxmlformats.org/officeDocument/2006/relationships/pivotTable" Target="../pivotTables/pivotTable8.xml"/></Relationships>
</file>

<file path=xl/worksheets/_rels/sheet37.xml.rels><?xml version="1.0" encoding="UTF-8" standalone="yes"?>
<Relationships xmlns="http://schemas.openxmlformats.org/package/2006/relationships"><Relationship Id="rId2" Type="http://schemas.openxmlformats.org/officeDocument/2006/relationships/printerSettings" Target="../printerSettings/printerSettings20.bin"/><Relationship Id="rId1" Type="http://schemas.openxmlformats.org/officeDocument/2006/relationships/pivotTable" Target="../pivotTables/pivotTable9.xml"/></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3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4.xml"/><Relationship Id="rId1" Type="http://schemas.openxmlformats.org/officeDocument/2006/relationships/printerSettings" Target="../printerSettings/printerSettings22.bin"/></Relationships>
</file>

<file path=xl/worksheets/_rels/sheet47.xml.rels><?xml version="1.0" encoding="UTF-8" standalone="yes"?>
<Relationships xmlns="http://schemas.openxmlformats.org/package/2006/relationships"><Relationship Id="rId1" Type="http://schemas.openxmlformats.org/officeDocument/2006/relationships/hyperlink" Target="https://www.codetable.ne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6F4717-F58D-4952-BD2C-E61BD9771829}">
  <sheetPr codeName="Sheet31"/>
  <dimension ref="A2:A9"/>
  <sheetViews>
    <sheetView workbookViewId="0"/>
  </sheetViews>
  <sheetFormatPr defaultColWidth="8.7265625" defaultRowHeight="14.5"/>
  <cols>
    <col min="1" max="1" width="86.81640625" style="150" customWidth="1"/>
    <col min="2" max="16384" width="8.7265625" style="8"/>
  </cols>
  <sheetData>
    <row r="2" spans="1:1">
      <c r="A2" s="150" t="s">
        <v>1238</v>
      </c>
    </row>
    <row r="3" spans="1:1">
      <c r="A3" s="151" t="s">
        <v>1239</v>
      </c>
    </row>
    <row r="4" spans="1:1">
      <c r="A4" s="151"/>
    </row>
    <row r="5" spans="1:1">
      <c r="A5" s="150" t="s">
        <v>1244</v>
      </c>
    </row>
    <row r="6" spans="1:1" s="150" customFormat="1">
      <c r="A6" s="151" t="s">
        <v>1245</v>
      </c>
    </row>
    <row r="8" spans="1:1">
      <c r="A8" s="150" t="s">
        <v>1247</v>
      </c>
    </row>
    <row r="9" spans="1:1">
      <c r="A9" s="151" t="s">
        <v>1243</v>
      </c>
    </row>
  </sheetData>
  <phoneticPr fontId="54" type="noConversion"/>
  <hyperlinks>
    <hyperlink ref="A9" r:id="rId1" xr:uid="{39679646-49C7-407F-8118-A30604911A92}"/>
    <hyperlink ref="A3" r:id="rId2" xr:uid="{050EFA58-FB1D-4DBC-B511-ADA76D783411}"/>
    <hyperlink ref="A6" r:id="rId3" xr:uid="{B4F6B77D-830C-4AF1-AA69-2F9596E87F3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7E3A57-C66C-42F6-89DB-AF5126E807BA}">
  <sheetPr codeName="Sheet1"/>
  <dimension ref="A2:AF83"/>
  <sheetViews>
    <sheetView tabSelected="1" workbookViewId="0">
      <selection activeCell="D26" sqref="D26"/>
    </sheetView>
  </sheetViews>
  <sheetFormatPr defaultColWidth="8.7265625" defaultRowHeight="14.5"/>
  <cols>
    <col min="1" max="1" width="8.453125" style="43" customWidth="1"/>
    <col min="2" max="2" width="19.453125" style="43" customWidth="1"/>
    <col min="3" max="3" width="17.453125" style="43" customWidth="1"/>
    <col min="4" max="4" width="46" style="103" customWidth="1"/>
    <col min="5" max="16384" width="8.7265625" style="43"/>
  </cols>
  <sheetData>
    <row r="2" spans="1:32">
      <c r="A2" s="43" t="s">
        <v>1209</v>
      </c>
    </row>
    <row r="4" spans="1:32">
      <c r="A4" s="43" t="s">
        <v>1049</v>
      </c>
      <c r="H4" s="215" t="s">
        <v>1116</v>
      </c>
    </row>
    <row r="5" spans="1:32">
      <c r="A5" s="47" t="s">
        <v>847</v>
      </c>
      <c r="B5" s="47" t="s">
        <v>848</v>
      </c>
      <c r="C5" s="47" t="s">
        <v>846</v>
      </c>
      <c r="D5" s="105" t="s">
        <v>382</v>
      </c>
      <c r="G5" s="150"/>
      <c r="H5" s="150"/>
      <c r="I5" s="150"/>
      <c r="J5" s="150"/>
      <c r="K5" s="150"/>
      <c r="L5" s="150"/>
      <c r="M5" s="150"/>
      <c r="N5" s="150"/>
      <c r="O5" s="150"/>
      <c r="P5" s="8"/>
      <c r="Q5" s="8"/>
      <c r="R5" s="8"/>
      <c r="S5" s="8"/>
      <c r="W5" s="8"/>
      <c r="X5" s="8"/>
      <c r="Y5" s="8"/>
      <c r="Z5" s="8"/>
      <c r="AA5" s="8"/>
      <c r="AB5" s="8"/>
      <c r="AC5" s="8"/>
      <c r="AD5" s="8"/>
      <c r="AE5" s="8"/>
      <c r="AF5" s="8"/>
    </row>
    <row r="6" spans="1:32">
      <c r="A6" s="44">
        <v>9</v>
      </c>
      <c r="B6" s="45">
        <v>44137</v>
      </c>
      <c r="C6" s="44" t="s">
        <v>845</v>
      </c>
      <c r="D6" s="56" t="s">
        <v>1246</v>
      </c>
      <c r="G6" s="150"/>
      <c r="H6" s="150"/>
      <c r="I6" s="150"/>
      <c r="J6" s="150"/>
      <c r="K6" s="150"/>
      <c r="L6" s="150"/>
      <c r="M6" s="150"/>
      <c r="N6" s="150"/>
    </row>
    <row r="7" spans="1:32">
      <c r="A7" s="44">
        <v>10</v>
      </c>
      <c r="B7" s="45">
        <v>44137</v>
      </c>
      <c r="C7" s="44" t="s">
        <v>845</v>
      </c>
      <c r="D7" s="56" t="s">
        <v>851</v>
      </c>
      <c r="G7" s="150"/>
      <c r="H7" s="198"/>
      <c r="I7" s="198"/>
      <c r="J7" s="198"/>
      <c r="K7" s="198"/>
      <c r="L7" s="198"/>
      <c r="M7" s="150"/>
      <c r="N7" s="199"/>
      <c r="O7" s="200"/>
      <c r="P7" s="200"/>
      <c r="Q7" s="200"/>
      <c r="R7" s="200"/>
      <c r="S7" s="8"/>
    </row>
    <row r="8" spans="1:32" ht="29">
      <c r="A8" s="44">
        <v>13</v>
      </c>
      <c r="B8" s="45">
        <v>44142</v>
      </c>
      <c r="C8" s="44" t="s">
        <v>845</v>
      </c>
      <c r="D8" s="56" t="s">
        <v>967</v>
      </c>
      <c r="G8" s="150"/>
      <c r="H8" s="150"/>
      <c r="I8" s="150"/>
      <c r="J8" s="150"/>
      <c r="K8" s="150"/>
      <c r="L8" s="150"/>
      <c r="M8" s="150"/>
      <c r="N8" s="150"/>
      <c r="O8" s="150"/>
      <c r="P8" s="8"/>
      <c r="Q8" s="8"/>
      <c r="R8" s="8"/>
      <c r="S8" s="8"/>
      <c r="T8" s="8"/>
    </row>
    <row r="9" spans="1:32">
      <c r="A9" s="44">
        <v>16</v>
      </c>
      <c r="B9" s="45">
        <v>44145</v>
      </c>
      <c r="C9" s="44" t="s">
        <v>845</v>
      </c>
      <c r="D9" s="56" t="s">
        <v>1001</v>
      </c>
      <c r="G9" s="150"/>
      <c r="H9" s="150"/>
      <c r="I9" s="150"/>
      <c r="J9" s="150"/>
      <c r="K9" s="150"/>
      <c r="L9" s="150"/>
      <c r="M9" s="150"/>
      <c r="N9" s="150"/>
      <c r="O9" s="150"/>
      <c r="P9" s="8"/>
      <c r="Q9" s="8"/>
      <c r="R9" s="8"/>
      <c r="S9" s="8"/>
    </row>
    <row r="10" spans="1:32">
      <c r="A10" s="44">
        <v>17</v>
      </c>
      <c r="B10" s="45">
        <v>44145</v>
      </c>
      <c r="C10" s="44" t="s">
        <v>845</v>
      </c>
      <c r="D10" s="56" t="s">
        <v>1010</v>
      </c>
      <c r="G10" s="150"/>
      <c r="H10" s="150"/>
      <c r="I10" s="150"/>
      <c r="J10" s="150"/>
      <c r="K10" s="150"/>
      <c r="L10" s="150"/>
      <c r="M10" s="150"/>
      <c r="N10" s="150"/>
      <c r="O10" s="150"/>
      <c r="P10" s="8"/>
      <c r="Q10" s="8"/>
      <c r="R10" s="8"/>
      <c r="S10" s="8"/>
    </row>
    <row r="11" spans="1:32" ht="29">
      <c r="A11" s="44">
        <v>24</v>
      </c>
      <c r="B11" s="45">
        <v>44153</v>
      </c>
      <c r="C11" s="44" t="s">
        <v>845</v>
      </c>
      <c r="D11" s="56" t="s">
        <v>1053</v>
      </c>
      <c r="G11" s="150"/>
      <c r="H11" s="150"/>
      <c r="I11" s="150"/>
      <c r="J11" s="150"/>
      <c r="K11" s="150"/>
      <c r="L11" s="150"/>
      <c r="M11" s="150"/>
      <c r="N11" s="150"/>
      <c r="O11" s="150"/>
      <c r="P11" s="8"/>
      <c r="Q11" s="8"/>
      <c r="R11" s="8"/>
      <c r="S11" s="8"/>
    </row>
    <row r="12" spans="1:32" ht="29">
      <c r="A12" s="44">
        <v>25</v>
      </c>
      <c r="B12" s="45">
        <v>44153</v>
      </c>
      <c r="C12" s="44" t="s">
        <v>845</v>
      </c>
      <c r="D12" s="56" t="s">
        <v>1079</v>
      </c>
      <c r="G12" s="150"/>
      <c r="H12" s="150"/>
      <c r="I12" s="150"/>
      <c r="J12" s="150"/>
      <c r="K12" s="150"/>
      <c r="L12" s="150"/>
      <c r="M12" s="150"/>
      <c r="N12" s="150"/>
      <c r="O12" s="150"/>
      <c r="P12" s="8"/>
      <c r="Q12" s="8"/>
      <c r="R12" s="8"/>
      <c r="S12" s="8"/>
    </row>
    <row r="13" spans="1:32" ht="29">
      <c r="A13" s="44">
        <v>26</v>
      </c>
      <c r="B13" s="45">
        <v>44154</v>
      </c>
      <c r="C13" s="44" t="s">
        <v>845</v>
      </c>
      <c r="D13" s="56" t="s">
        <v>1085</v>
      </c>
      <c r="G13" s="150"/>
      <c r="H13" s="150"/>
      <c r="I13" s="150"/>
      <c r="J13" s="150"/>
      <c r="K13" s="150"/>
      <c r="L13" s="150"/>
      <c r="M13" s="150"/>
      <c r="N13" s="150"/>
      <c r="O13" s="150"/>
      <c r="P13" s="8"/>
      <c r="Q13" s="8"/>
      <c r="R13" s="8"/>
      <c r="S13" s="8"/>
    </row>
    <row r="14" spans="1:32">
      <c r="A14" s="44">
        <v>34</v>
      </c>
      <c r="B14" s="45">
        <v>44170</v>
      </c>
      <c r="C14" s="44" t="s">
        <v>845</v>
      </c>
      <c r="D14" s="56" t="s">
        <v>1168</v>
      </c>
      <c r="G14" s="150"/>
      <c r="H14" s="150"/>
      <c r="I14" s="150"/>
      <c r="J14" s="150"/>
      <c r="K14" s="150"/>
      <c r="L14" s="150"/>
      <c r="M14" s="150"/>
      <c r="N14" s="150"/>
      <c r="O14" s="150"/>
      <c r="P14" s="8"/>
      <c r="Q14" s="8"/>
      <c r="R14" s="8"/>
      <c r="S14" s="8"/>
    </row>
    <row r="15" spans="1:32">
      <c r="A15" s="44">
        <v>38</v>
      </c>
      <c r="B15" s="45">
        <v>44175</v>
      </c>
      <c r="C15" s="44" t="s">
        <v>845</v>
      </c>
      <c r="D15" s="56" t="s">
        <v>1208</v>
      </c>
      <c r="G15" s="150"/>
      <c r="H15" s="150"/>
      <c r="I15" s="150"/>
      <c r="J15" s="150"/>
      <c r="K15" s="150"/>
      <c r="L15" s="150"/>
      <c r="M15" s="150"/>
      <c r="N15" s="150"/>
      <c r="O15" s="150"/>
      <c r="P15" s="8"/>
      <c r="Q15" s="8"/>
      <c r="R15" s="8"/>
      <c r="S15" s="8"/>
    </row>
    <row r="16" spans="1:32" ht="29">
      <c r="A16" s="44">
        <v>43</v>
      </c>
      <c r="B16" s="45">
        <v>44231</v>
      </c>
      <c r="C16" s="44" t="s">
        <v>1352</v>
      </c>
      <c r="D16" s="56" t="s">
        <v>1669</v>
      </c>
      <c r="G16" s="150"/>
      <c r="H16" s="150"/>
      <c r="I16" s="150"/>
      <c r="J16" s="150"/>
      <c r="K16" s="150"/>
      <c r="L16" s="150"/>
      <c r="M16" s="150"/>
      <c r="N16" s="150"/>
      <c r="O16" s="150"/>
      <c r="P16" s="8"/>
      <c r="Q16" s="8"/>
      <c r="R16" s="8"/>
      <c r="S16" s="8"/>
    </row>
    <row r="17" spans="1:19" ht="29">
      <c r="A17" s="44">
        <v>50</v>
      </c>
      <c r="B17" s="45">
        <v>44314</v>
      </c>
      <c r="C17" s="44" t="s">
        <v>845</v>
      </c>
      <c r="D17" s="56" t="s">
        <v>1668</v>
      </c>
      <c r="G17" s="150"/>
      <c r="H17" s="150"/>
      <c r="I17" s="150"/>
      <c r="J17" s="150"/>
      <c r="K17" s="150"/>
      <c r="L17" s="150"/>
      <c r="M17" s="150"/>
      <c r="N17" s="150"/>
      <c r="O17" s="150"/>
      <c r="P17" s="8"/>
      <c r="Q17" s="8"/>
      <c r="R17" s="8"/>
      <c r="S17" s="8"/>
    </row>
    <row r="18" spans="1:19" ht="29">
      <c r="A18" s="44">
        <v>51</v>
      </c>
      <c r="B18" s="45">
        <v>44318</v>
      </c>
      <c r="C18" s="44" t="s">
        <v>845</v>
      </c>
      <c r="D18" s="56" t="s">
        <v>1675</v>
      </c>
      <c r="G18" s="150"/>
      <c r="H18" s="150"/>
      <c r="I18" s="150"/>
      <c r="J18" s="150"/>
      <c r="K18" s="150"/>
      <c r="L18" s="150"/>
      <c r="M18" s="150"/>
      <c r="N18" s="150"/>
      <c r="O18" s="150"/>
      <c r="P18" s="8"/>
      <c r="Q18" s="8"/>
      <c r="R18" s="8"/>
      <c r="S18" s="8"/>
    </row>
    <row r="19" spans="1:19">
      <c r="A19" s="44">
        <v>52</v>
      </c>
      <c r="B19" s="45">
        <v>44324</v>
      </c>
      <c r="C19" s="44" t="s">
        <v>845</v>
      </c>
      <c r="D19" s="56" t="s">
        <v>1676</v>
      </c>
      <c r="G19" s="150"/>
      <c r="H19" s="150"/>
      <c r="I19" s="150"/>
      <c r="J19" s="150"/>
      <c r="K19" s="150"/>
      <c r="L19" s="150"/>
      <c r="M19" s="150"/>
    </row>
    <row r="23" spans="1:19">
      <c r="H23" s="8"/>
      <c r="I23" s="8"/>
      <c r="J23" s="8"/>
      <c r="K23" s="8"/>
      <c r="L23" s="8"/>
      <c r="M23" s="8"/>
      <c r="N23" s="8"/>
      <c r="O23" s="8"/>
      <c r="P23" s="8"/>
      <c r="Q23" s="8"/>
      <c r="R23" s="8"/>
    </row>
    <row r="24" spans="1:19">
      <c r="H24" s="201"/>
      <c r="I24" s="201"/>
      <c r="J24" s="201"/>
      <c r="K24" s="201"/>
      <c r="L24" s="201"/>
      <c r="M24" s="8"/>
      <c r="N24" s="202"/>
      <c r="O24" s="202"/>
      <c r="P24" s="202"/>
      <c r="Q24" s="202"/>
      <c r="R24" s="202"/>
    </row>
    <row r="25" spans="1:19">
      <c r="H25" s="8"/>
      <c r="I25" s="8"/>
      <c r="J25" s="8"/>
      <c r="K25" s="8"/>
      <c r="L25" s="8"/>
      <c r="M25" s="8"/>
      <c r="N25" s="8"/>
      <c r="O25" s="8"/>
      <c r="P25" s="8"/>
      <c r="Q25" s="8"/>
      <c r="R25" s="8"/>
    </row>
    <row r="26" spans="1:19">
      <c r="H26" s="8"/>
      <c r="I26" s="8"/>
      <c r="J26" s="8"/>
      <c r="K26" s="8"/>
      <c r="L26" s="8"/>
      <c r="M26" s="8"/>
      <c r="N26" s="8"/>
      <c r="O26" s="8"/>
      <c r="P26" s="8"/>
      <c r="Q26" s="8"/>
      <c r="R26" s="8"/>
    </row>
    <row r="27" spans="1:19">
      <c r="H27" s="8"/>
      <c r="I27" s="8"/>
      <c r="J27" s="8"/>
      <c r="K27" s="8"/>
      <c r="L27" s="8"/>
      <c r="M27" s="8"/>
      <c r="N27" s="8"/>
      <c r="O27" s="8"/>
      <c r="P27" s="8"/>
      <c r="Q27" s="8"/>
      <c r="R27" s="8"/>
    </row>
    <row r="28" spans="1:19">
      <c r="H28" s="8"/>
      <c r="I28" s="8"/>
      <c r="J28" s="8"/>
      <c r="K28" s="8"/>
      <c r="L28" s="8"/>
      <c r="M28" s="8"/>
      <c r="N28" s="8"/>
      <c r="O28" s="8"/>
      <c r="P28" s="8"/>
      <c r="Q28" s="8"/>
      <c r="R28" s="8"/>
    </row>
    <row r="29" spans="1:19">
      <c r="H29" s="8"/>
      <c r="I29" s="8"/>
      <c r="J29" s="8"/>
      <c r="K29" s="8"/>
      <c r="L29" s="8"/>
      <c r="M29" s="8"/>
      <c r="N29" s="8"/>
      <c r="O29" s="8"/>
      <c r="P29" s="8"/>
      <c r="Q29" s="8"/>
      <c r="R29" s="8"/>
    </row>
    <row r="30" spans="1:19">
      <c r="H30" s="8"/>
      <c r="I30" s="8"/>
      <c r="J30" s="8"/>
      <c r="K30" s="8"/>
      <c r="L30" s="8"/>
      <c r="M30" s="8"/>
      <c r="N30" s="8"/>
      <c r="O30" s="8"/>
      <c r="P30" s="8"/>
      <c r="Q30" s="8"/>
      <c r="R30" s="8"/>
    </row>
    <row r="31" spans="1:19">
      <c r="H31" s="8"/>
      <c r="I31" s="8"/>
      <c r="J31" s="8"/>
      <c r="K31" s="8"/>
      <c r="L31" s="8"/>
      <c r="M31" s="8"/>
      <c r="N31" s="8"/>
      <c r="O31" s="8"/>
      <c r="P31" s="8"/>
      <c r="Q31" s="8"/>
      <c r="R31" s="8"/>
    </row>
    <row r="32" spans="1:19">
      <c r="H32" s="8"/>
      <c r="I32" s="8"/>
      <c r="J32" s="8"/>
      <c r="K32" s="8"/>
      <c r="L32" s="8"/>
      <c r="M32" s="8"/>
      <c r="N32" s="8"/>
      <c r="O32" s="8"/>
      <c r="P32" s="8"/>
      <c r="Q32" s="8"/>
      <c r="R32" s="8"/>
    </row>
    <row r="33" spans="2:18">
      <c r="H33" s="8"/>
      <c r="I33" s="8"/>
      <c r="J33" s="8"/>
      <c r="K33" s="8"/>
      <c r="L33" s="8"/>
      <c r="M33" s="8"/>
      <c r="N33" s="8"/>
      <c r="O33" s="8"/>
      <c r="P33" s="8"/>
      <c r="Q33" s="8"/>
      <c r="R33" s="8"/>
    </row>
    <row r="34" spans="2:18">
      <c r="H34" s="8"/>
      <c r="I34" s="8"/>
      <c r="J34" s="8"/>
      <c r="K34" s="8"/>
      <c r="L34" s="8"/>
      <c r="M34" s="8"/>
      <c r="N34" s="8"/>
      <c r="O34" s="8"/>
      <c r="P34" s="8"/>
      <c r="Q34" s="8"/>
      <c r="R34" s="8"/>
    </row>
    <row r="35" spans="2:18">
      <c r="H35" s="8"/>
      <c r="I35" s="8"/>
      <c r="J35" s="8"/>
      <c r="K35" s="8"/>
      <c r="L35" s="8"/>
      <c r="M35" s="8"/>
      <c r="N35" s="8"/>
      <c r="O35" s="8"/>
      <c r="P35" s="8"/>
      <c r="Q35" s="8"/>
      <c r="R35" s="8"/>
    </row>
    <row r="36" spans="2:18">
      <c r="H36" s="8"/>
      <c r="I36" s="8"/>
      <c r="J36" s="8"/>
      <c r="K36" s="8"/>
      <c r="L36" s="8"/>
      <c r="M36" s="8"/>
      <c r="N36" s="8"/>
      <c r="O36" s="8"/>
      <c r="P36" s="8"/>
      <c r="Q36" s="8"/>
      <c r="R36" s="8"/>
    </row>
    <row r="44" spans="2:18">
      <c r="B44" s="351" t="s">
        <v>1485</v>
      </c>
      <c r="D44" s="350" t="s">
        <v>1484</v>
      </c>
      <c r="H44" s="349" t="s">
        <v>1090</v>
      </c>
      <c r="I44" s="349"/>
      <c r="J44" s="349"/>
      <c r="K44" s="349"/>
      <c r="L44" s="349"/>
    </row>
    <row r="63" spans="2:19">
      <c r="B63" s="352" t="s">
        <v>1092</v>
      </c>
      <c r="C63" s="352"/>
      <c r="D63" s="353" t="s">
        <v>1093</v>
      </c>
      <c r="F63" s="354" t="s">
        <v>1095</v>
      </c>
      <c r="G63" s="354"/>
      <c r="H63" s="354"/>
      <c r="I63" s="354"/>
      <c r="K63" s="355" t="s">
        <v>1486</v>
      </c>
      <c r="L63" s="355"/>
      <c r="M63" s="355"/>
      <c r="N63" s="355"/>
      <c r="P63" s="357" t="s">
        <v>1091</v>
      </c>
      <c r="Q63" s="356"/>
      <c r="R63" s="356"/>
      <c r="S63" s="356"/>
    </row>
    <row r="83" spans="6:8">
      <c r="F83" s="362" t="s">
        <v>1500</v>
      </c>
      <c r="G83" s="362"/>
      <c r="H83" s="361"/>
    </row>
  </sheetData>
  <phoneticPr fontId="54" type="noConversion"/>
  <hyperlinks>
    <hyperlink ref="H4" r:id="rId1" xr:uid="{6EF8A606-3F2A-4918-A470-2199C4F700DC}"/>
  </hyperlinks>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420AA4-5A04-4C61-ADE1-65689A6B2AA3}">
  <sheetPr codeName="Sheet35"/>
  <dimension ref="A1:B47"/>
  <sheetViews>
    <sheetView workbookViewId="0">
      <selection activeCell="B16" sqref="B16"/>
    </sheetView>
  </sheetViews>
  <sheetFormatPr defaultColWidth="8.7265625" defaultRowHeight="14.5"/>
  <cols>
    <col min="1" max="1" width="25.81640625" style="117" customWidth="1"/>
    <col min="2" max="2" width="90.1796875" style="117" customWidth="1"/>
    <col min="3" max="16384" width="8.7265625" style="117"/>
  </cols>
  <sheetData>
    <row r="1" spans="1:2">
      <c r="A1" s="294" t="s">
        <v>1266</v>
      </c>
      <c r="B1" s="294"/>
    </row>
    <row r="2" spans="1:2" ht="43.5">
      <c r="A2" s="117" t="s">
        <v>1267</v>
      </c>
      <c r="B2" s="117" t="s">
        <v>1268</v>
      </c>
    </row>
    <row r="3" spans="1:2">
      <c r="B3" s="295" t="s">
        <v>1269</v>
      </c>
    </row>
    <row r="4" spans="1:2">
      <c r="B4" s="296" t="s">
        <v>1270</v>
      </c>
    </row>
    <row r="5" spans="1:2" ht="29">
      <c r="B5" s="297" t="s">
        <v>1271</v>
      </c>
    </row>
    <row r="7" spans="1:2" ht="72.5">
      <c r="A7" s="117" t="s">
        <v>1272</v>
      </c>
      <c r="B7" s="117" t="s">
        <v>1273</v>
      </c>
    </row>
    <row r="9" spans="1:2" ht="29">
      <c r="A9" s="117" t="s">
        <v>1274</v>
      </c>
      <c r="B9" s="117" t="s">
        <v>1275</v>
      </c>
    </row>
    <row r="11" spans="1:2">
      <c r="A11" s="294" t="s">
        <v>1276</v>
      </c>
      <c r="B11" s="294"/>
    </row>
    <row r="12" spans="1:2">
      <c r="A12" s="117" t="s">
        <v>1240</v>
      </c>
      <c r="B12" s="117" t="s">
        <v>1277</v>
      </c>
    </row>
    <row r="13" spans="1:2" ht="43.5">
      <c r="A13" s="117" t="s">
        <v>1210</v>
      </c>
      <c r="B13" s="117" t="s">
        <v>1278</v>
      </c>
    </row>
    <row r="14" spans="1:2">
      <c r="A14" s="117" t="s">
        <v>1279</v>
      </c>
      <c r="B14" s="117" t="s">
        <v>1280</v>
      </c>
    </row>
    <row r="15" spans="1:2" ht="58">
      <c r="A15" s="117" t="s">
        <v>949</v>
      </c>
      <c r="B15" s="117" t="s">
        <v>1281</v>
      </c>
    </row>
    <row r="16" spans="1:2" ht="43.5">
      <c r="A16" s="125" t="s">
        <v>950</v>
      </c>
      <c r="B16" s="117" t="s">
        <v>1282</v>
      </c>
    </row>
    <row r="17" spans="1:2">
      <c r="A17" s="125" t="s">
        <v>962</v>
      </c>
      <c r="B17" s="117" t="s">
        <v>1283</v>
      </c>
    </row>
    <row r="18" spans="1:2" ht="29">
      <c r="A18" s="125" t="s">
        <v>951</v>
      </c>
      <c r="B18" s="117" t="s">
        <v>1284</v>
      </c>
    </row>
    <row r="19" spans="1:2" ht="43.5">
      <c r="A19" s="125" t="s">
        <v>1191</v>
      </c>
      <c r="B19" s="117" t="s">
        <v>1285</v>
      </c>
    </row>
    <row r="20" spans="1:2">
      <c r="A20" s="125" t="s">
        <v>1004</v>
      </c>
      <c r="B20" s="117" t="s">
        <v>1286</v>
      </c>
    </row>
    <row r="21" spans="1:2">
      <c r="A21" s="125" t="s">
        <v>1287</v>
      </c>
    </row>
    <row r="22" spans="1:2">
      <c r="A22" s="125" t="s">
        <v>1288</v>
      </c>
    </row>
    <row r="23" spans="1:2">
      <c r="A23" s="125" t="s">
        <v>1289</v>
      </c>
    </row>
    <row r="24" spans="1:2">
      <c r="A24" s="125" t="s">
        <v>1290</v>
      </c>
    </row>
    <row r="25" spans="1:2">
      <c r="A25" s="125" t="s">
        <v>955</v>
      </c>
    </row>
    <row r="26" spans="1:2">
      <c r="A26" s="125" t="s">
        <v>956</v>
      </c>
    </row>
    <row r="27" spans="1:2">
      <c r="A27" s="125" t="s">
        <v>957</v>
      </c>
    </row>
    <row r="28" spans="1:2">
      <c r="A28" s="125" t="s">
        <v>1241</v>
      </c>
    </row>
    <row r="29" spans="1:2">
      <c r="A29" s="125" t="s">
        <v>1242</v>
      </c>
    </row>
    <row r="30" spans="1:2">
      <c r="A30" s="125" t="s">
        <v>672</v>
      </c>
    </row>
    <row r="31" spans="1:2">
      <c r="A31" s="125" t="s">
        <v>1291</v>
      </c>
    </row>
    <row r="32" spans="1:2">
      <c r="A32" s="125" t="s">
        <v>953</v>
      </c>
    </row>
    <row r="33" spans="1:1">
      <c r="A33" s="125" t="s">
        <v>1292</v>
      </c>
    </row>
    <row r="34" spans="1:1">
      <c r="A34" s="125" t="s">
        <v>1293</v>
      </c>
    </row>
    <row r="35" spans="1:1">
      <c r="A35" s="125" t="s">
        <v>1294</v>
      </c>
    </row>
    <row r="36" spans="1:1">
      <c r="A36" s="125" t="s">
        <v>1295</v>
      </c>
    </row>
    <row r="37" spans="1:1">
      <c r="A37" s="125" t="s">
        <v>954</v>
      </c>
    </row>
    <row r="38" spans="1:1">
      <c r="A38" s="125" t="s">
        <v>1052</v>
      </c>
    </row>
    <row r="39" spans="1:1">
      <c r="A39" s="125" t="s">
        <v>1139</v>
      </c>
    </row>
    <row r="40" spans="1:1">
      <c r="A40" s="125" t="s">
        <v>1050</v>
      </c>
    </row>
    <row r="41" spans="1:1">
      <c r="A41" s="125" t="s">
        <v>1051</v>
      </c>
    </row>
    <row r="42" spans="1:1">
      <c r="A42" s="125" t="s">
        <v>1000</v>
      </c>
    </row>
    <row r="43" spans="1:1">
      <c r="A43" s="125" t="s">
        <v>1140</v>
      </c>
    </row>
    <row r="44" spans="1:1">
      <c r="A44" s="125" t="s">
        <v>1141</v>
      </c>
    </row>
    <row r="45" spans="1:1">
      <c r="A45" s="125" t="s">
        <v>1142</v>
      </c>
    </row>
    <row r="46" spans="1:1">
      <c r="A46" s="125" t="s">
        <v>958</v>
      </c>
    </row>
    <row r="47" spans="1:1">
      <c r="A47" s="125"/>
    </row>
  </sheetData>
  <phoneticPr fontId="5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FE0296-20FD-40FE-AC51-871E9DFCC000}">
  <sheetPr codeName="Sheet2"/>
  <dimension ref="A1:AF55"/>
  <sheetViews>
    <sheetView workbookViewId="0">
      <pane xSplit="1" ySplit="6" topLeftCell="B7" activePane="bottomRight" state="frozen"/>
      <selection pane="topRight" activeCell="B1" sqref="B1"/>
      <selection pane="bottomLeft" activeCell="A7" sqref="A7"/>
      <selection pane="bottomRight" activeCell="B2" sqref="B2"/>
    </sheetView>
  </sheetViews>
  <sheetFormatPr defaultColWidth="8.7265625" defaultRowHeight="14.5"/>
  <cols>
    <col min="1" max="1" width="30.6328125" customWidth="1"/>
    <col min="2" max="8" width="11.7265625" style="132" customWidth="1"/>
    <col min="9" max="10" width="8.7265625" style="57"/>
    <col min="11" max="11" width="16.453125" style="57" customWidth="1"/>
    <col min="12" max="29" width="8.7265625" style="57"/>
    <col min="30" max="30" width="30.6328125" style="77" customWidth="1"/>
    <col min="31" max="32" width="8.7265625" style="77"/>
    <col min="33" max="16384" width="8.7265625" style="57"/>
  </cols>
  <sheetData>
    <row r="1" spans="1:32">
      <c r="AD1" s="77" t="s">
        <v>959</v>
      </c>
      <c r="AE1" s="77">
        <v>48</v>
      </c>
    </row>
    <row r="2" spans="1:32" s="104" customFormat="1" ht="29">
      <c r="A2" s="314"/>
      <c r="B2" s="104" t="s">
        <v>1615</v>
      </c>
      <c r="C2" s="104" t="s">
        <v>1616</v>
      </c>
      <c r="D2" s="104" t="s">
        <v>1301</v>
      </c>
      <c r="E2" s="104" t="s">
        <v>1302</v>
      </c>
      <c r="F2" s="104" t="s">
        <v>1311</v>
      </c>
      <c r="G2" s="104" t="s">
        <v>1303</v>
      </c>
      <c r="H2" s="104" t="s">
        <v>1204</v>
      </c>
      <c r="AD2" s="315"/>
      <c r="AE2" s="315"/>
      <c r="AF2" s="315"/>
    </row>
    <row r="7" spans="1:32" s="77" customFormat="1">
      <c r="A7" t="s">
        <v>1240</v>
      </c>
      <c r="B7" s="132" t="s">
        <v>411</v>
      </c>
      <c r="C7" s="132" t="s">
        <v>411</v>
      </c>
      <c r="D7" s="132" t="s">
        <v>411</v>
      </c>
      <c r="E7" s="132" t="s">
        <v>411</v>
      </c>
      <c r="F7" s="132" t="s">
        <v>411</v>
      </c>
      <c r="G7" s="132" t="s">
        <v>411</v>
      </c>
      <c r="H7" s="132" t="s">
        <v>411</v>
      </c>
      <c r="I7" s="128">
        <f>COUNTA(B7:H7)</f>
        <v>7</v>
      </c>
      <c r="J7" s="128"/>
      <c r="K7" s="129"/>
      <c r="L7" s="128"/>
      <c r="M7" s="128"/>
      <c r="N7" s="128"/>
      <c r="O7" s="128"/>
      <c r="P7" s="128"/>
      <c r="Q7" s="128"/>
      <c r="R7" s="128"/>
      <c r="S7" s="128"/>
      <c r="T7" s="128"/>
      <c r="U7" s="128"/>
      <c r="V7" s="128"/>
      <c r="W7" s="128"/>
      <c r="X7" s="128"/>
      <c r="Y7" s="128"/>
      <c r="Z7" s="128"/>
      <c r="AA7" s="128"/>
      <c r="AB7" s="128"/>
      <c r="AC7" s="128"/>
    </row>
    <row r="8" spans="1:32" s="77" customFormat="1">
      <c r="A8" t="s">
        <v>1210</v>
      </c>
      <c r="B8" s="132"/>
      <c r="C8" s="132"/>
      <c r="D8" s="132"/>
      <c r="E8" s="132"/>
      <c r="F8" s="132"/>
      <c r="G8" s="132"/>
      <c r="H8" s="132"/>
      <c r="I8" s="128">
        <f t="shared" ref="I8:I54" si="0">COUNTA(B8:H8)</f>
        <v>0</v>
      </c>
      <c r="J8" s="128"/>
      <c r="K8" s="129"/>
      <c r="L8" s="128"/>
      <c r="M8" s="128"/>
      <c r="N8" s="128"/>
      <c r="O8" s="128"/>
      <c r="P8" s="128"/>
      <c r="Q8" s="128"/>
      <c r="R8" s="128"/>
      <c r="S8" s="128"/>
      <c r="T8" s="128"/>
      <c r="U8" s="128"/>
      <c r="V8" s="128"/>
      <c r="W8" s="128"/>
      <c r="X8" s="128"/>
      <c r="Y8" s="128"/>
      <c r="Z8" s="128"/>
      <c r="AA8" s="128"/>
      <c r="AB8" s="128"/>
      <c r="AC8" s="128"/>
    </row>
    <row r="9" spans="1:32" s="77" customFormat="1">
      <c r="A9" t="s">
        <v>1279</v>
      </c>
      <c r="B9" s="132"/>
      <c r="C9" s="132"/>
      <c r="D9" s="132"/>
      <c r="E9" s="132"/>
      <c r="F9" s="132" t="s">
        <v>411</v>
      </c>
      <c r="G9" s="132"/>
      <c r="H9" s="132"/>
      <c r="I9" s="128">
        <f t="shared" si="0"/>
        <v>1</v>
      </c>
      <c r="J9" s="128"/>
      <c r="K9" s="129"/>
      <c r="L9" s="128"/>
      <c r="M9" s="128"/>
      <c r="N9" s="128"/>
      <c r="O9" s="128"/>
      <c r="P9" s="128"/>
      <c r="Q9" s="128"/>
      <c r="R9" s="128"/>
      <c r="S9" s="128"/>
      <c r="T9" s="128"/>
      <c r="U9" s="128"/>
      <c r="V9" s="128"/>
      <c r="W9" s="128"/>
      <c r="X9" s="128"/>
      <c r="Y9" s="128"/>
      <c r="Z9" s="128"/>
      <c r="AA9" s="128"/>
      <c r="AB9" s="128"/>
      <c r="AC9" s="128"/>
    </row>
    <row r="10" spans="1:32" s="77" customFormat="1">
      <c r="A10" t="s">
        <v>949</v>
      </c>
      <c r="B10" s="132" t="s">
        <v>411</v>
      </c>
      <c r="C10" s="132" t="s">
        <v>411</v>
      </c>
      <c r="D10" s="132" t="s">
        <v>411</v>
      </c>
      <c r="E10" s="132" t="s">
        <v>411</v>
      </c>
      <c r="F10" s="132" t="s">
        <v>411</v>
      </c>
      <c r="G10" s="132" t="s">
        <v>411</v>
      </c>
      <c r="H10" s="132" t="s">
        <v>411</v>
      </c>
      <c r="I10" s="128">
        <f t="shared" si="0"/>
        <v>7</v>
      </c>
      <c r="J10" s="128"/>
      <c r="K10" s="129"/>
      <c r="L10" s="128"/>
      <c r="M10" s="128"/>
      <c r="N10" s="128"/>
      <c r="O10" s="128"/>
      <c r="P10" s="128"/>
      <c r="Q10" s="128"/>
      <c r="R10" s="128"/>
      <c r="S10" s="128"/>
      <c r="T10" s="128"/>
      <c r="U10" s="128"/>
      <c r="V10" s="128"/>
      <c r="W10" s="128"/>
      <c r="X10" s="128"/>
      <c r="Y10" s="128"/>
      <c r="Z10" s="128"/>
      <c r="AA10" s="128"/>
      <c r="AB10" s="128"/>
      <c r="AC10" s="128"/>
    </row>
    <row r="11" spans="1:32" s="77" customFormat="1">
      <c r="A11" t="s">
        <v>950</v>
      </c>
      <c r="B11" s="132" t="s">
        <v>411</v>
      </c>
      <c r="C11" s="132"/>
      <c r="D11" s="132" t="s">
        <v>411</v>
      </c>
      <c r="E11" s="132"/>
      <c r="F11" s="132" t="s">
        <v>411</v>
      </c>
      <c r="G11" s="132"/>
      <c r="H11" s="132"/>
      <c r="I11" s="128">
        <f t="shared" si="0"/>
        <v>3</v>
      </c>
      <c r="J11" s="128"/>
      <c r="K11" s="129"/>
      <c r="L11" s="128"/>
      <c r="M11" s="128"/>
      <c r="N11" s="128"/>
      <c r="O11" s="128"/>
      <c r="P11" s="128"/>
      <c r="Q11" s="128"/>
      <c r="R11" s="128"/>
      <c r="S11" s="128"/>
      <c r="T11" s="128"/>
      <c r="U11" s="128"/>
      <c r="V11" s="128"/>
      <c r="W11" s="128"/>
      <c r="X11" s="128"/>
      <c r="Y11" s="128"/>
      <c r="Z11" s="128"/>
      <c r="AA11" s="128"/>
      <c r="AB11" s="128"/>
      <c r="AC11" s="128"/>
    </row>
    <row r="12" spans="1:32" s="77" customFormat="1">
      <c r="A12" t="s">
        <v>962</v>
      </c>
      <c r="B12" s="132" t="s">
        <v>411</v>
      </c>
      <c r="C12" s="132"/>
      <c r="D12" s="132"/>
      <c r="E12" s="132" t="s">
        <v>411</v>
      </c>
      <c r="F12" s="132" t="s">
        <v>411</v>
      </c>
      <c r="G12" s="132"/>
      <c r="H12" s="132"/>
      <c r="I12" s="128">
        <f t="shared" si="0"/>
        <v>3</v>
      </c>
      <c r="J12" s="128"/>
      <c r="K12" s="129"/>
      <c r="L12" s="128"/>
      <c r="M12" s="128"/>
      <c r="N12" s="128"/>
      <c r="O12" s="128"/>
      <c r="P12" s="128"/>
      <c r="Q12" s="128"/>
      <c r="R12" s="128"/>
      <c r="S12" s="128"/>
      <c r="T12" s="128"/>
      <c r="U12" s="128"/>
      <c r="V12" s="128"/>
      <c r="W12" s="128"/>
      <c r="X12" s="128"/>
      <c r="Y12" s="128"/>
      <c r="Z12" s="128"/>
      <c r="AA12" s="128"/>
      <c r="AB12" s="128"/>
      <c r="AC12" s="128"/>
    </row>
    <row r="13" spans="1:32" s="77" customFormat="1">
      <c r="A13" t="s">
        <v>951</v>
      </c>
      <c r="B13" s="132" t="s">
        <v>411</v>
      </c>
      <c r="C13" s="132"/>
      <c r="D13" s="132" t="s">
        <v>411</v>
      </c>
      <c r="E13" s="132" t="s">
        <v>411</v>
      </c>
      <c r="F13" s="132" t="s">
        <v>411</v>
      </c>
      <c r="G13" s="132" t="s">
        <v>411</v>
      </c>
      <c r="H13" s="132" t="s">
        <v>411</v>
      </c>
      <c r="I13" s="128">
        <f t="shared" si="0"/>
        <v>6</v>
      </c>
      <c r="J13" s="128"/>
      <c r="K13" s="129"/>
      <c r="L13" s="128"/>
      <c r="M13" s="128"/>
      <c r="N13" s="128"/>
      <c r="O13" s="128"/>
      <c r="P13" s="128"/>
      <c r="Q13" s="128"/>
      <c r="R13" s="128"/>
      <c r="S13" s="128"/>
      <c r="T13" s="128"/>
      <c r="U13" s="128"/>
      <c r="V13" s="128"/>
      <c r="W13" s="128"/>
      <c r="X13" s="128"/>
      <c r="Y13" s="128"/>
      <c r="Z13" s="128"/>
      <c r="AA13" s="128"/>
      <c r="AB13" s="128"/>
      <c r="AC13" s="128"/>
    </row>
    <row r="14" spans="1:32" s="77" customFormat="1">
      <c r="A14" t="s">
        <v>1191</v>
      </c>
      <c r="B14" s="132" t="s">
        <v>411</v>
      </c>
      <c r="C14" s="132" t="s">
        <v>411</v>
      </c>
      <c r="D14" s="132" t="s">
        <v>411</v>
      </c>
      <c r="E14" s="132" t="s">
        <v>411</v>
      </c>
      <c r="F14" s="132" t="s">
        <v>411</v>
      </c>
      <c r="G14" s="132" t="s">
        <v>411</v>
      </c>
      <c r="H14" s="132" t="s">
        <v>411</v>
      </c>
      <c r="I14" s="128">
        <f t="shared" si="0"/>
        <v>7</v>
      </c>
      <c r="J14" s="128"/>
      <c r="K14" s="129"/>
      <c r="L14" s="128"/>
      <c r="M14" s="128"/>
      <c r="N14" s="128"/>
      <c r="O14" s="128"/>
      <c r="P14" s="128"/>
      <c r="Q14" s="128"/>
      <c r="R14" s="128"/>
      <c r="S14" s="128"/>
      <c r="T14" s="128"/>
      <c r="U14" s="128"/>
      <c r="V14" s="128"/>
      <c r="W14" s="128"/>
      <c r="X14" s="128"/>
      <c r="Y14" s="128"/>
      <c r="Z14" s="128"/>
      <c r="AA14" s="128"/>
      <c r="AB14" s="128"/>
      <c r="AC14" s="128"/>
    </row>
    <row r="15" spans="1:32" s="77" customFormat="1">
      <c r="A15" t="s">
        <v>1004</v>
      </c>
      <c r="B15" s="132" t="s">
        <v>411</v>
      </c>
      <c r="C15" s="132" t="s">
        <v>411</v>
      </c>
      <c r="D15" s="132" t="s">
        <v>411</v>
      </c>
      <c r="E15" s="132" t="s">
        <v>411</v>
      </c>
      <c r="F15" s="132" t="s">
        <v>411</v>
      </c>
      <c r="G15" s="132" t="s">
        <v>411</v>
      </c>
      <c r="H15" s="132" t="s">
        <v>411</v>
      </c>
      <c r="I15" s="128">
        <f t="shared" si="0"/>
        <v>7</v>
      </c>
      <c r="J15" s="128"/>
      <c r="K15" s="129"/>
      <c r="L15" s="128"/>
      <c r="M15" s="128"/>
      <c r="N15" s="128"/>
      <c r="O15" s="128"/>
      <c r="P15" s="128"/>
      <c r="Q15" s="128"/>
      <c r="R15" s="128"/>
      <c r="S15" s="128"/>
      <c r="T15" s="128"/>
      <c r="U15" s="128"/>
      <c r="V15" s="128"/>
      <c r="W15" s="128"/>
      <c r="X15" s="128"/>
      <c r="Y15" s="128"/>
      <c r="Z15" s="128"/>
      <c r="AA15" s="128"/>
      <c r="AB15" s="128"/>
      <c r="AC15" s="128"/>
    </row>
    <row r="16" spans="1:32" s="77" customFormat="1">
      <c r="A16" t="s">
        <v>1194</v>
      </c>
      <c r="B16" s="132" t="s">
        <v>411</v>
      </c>
      <c r="C16" s="132" t="s">
        <v>411</v>
      </c>
      <c r="D16" s="132"/>
      <c r="E16" s="132"/>
      <c r="F16" s="132"/>
      <c r="G16" s="132"/>
      <c r="H16" s="132"/>
      <c r="I16" s="128">
        <f t="shared" si="0"/>
        <v>2</v>
      </c>
      <c r="J16" s="128"/>
      <c r="K16" s="129"/>
      <c r="L16" s="128"/>
      <c r="M16" s="128"/>
      <c r="N16" s="128"/>
      <c r="O16" s="128"/>
      <c r="P16" s="128"/>
      <c r="Q16" s="128"/>
      <c r="R16" s="128"/>
      <c r="S16" s="128"/>
      <c r="T16" s="128"/>
      <c r="U16" s="128"/>
      <c r="V16" s="128"/>
      <c r="W16" s="128"/>
      <c r="X16" s="128"/>
      <c r="Y16" s="128"/>
      <c r="Z16" s="128"/>
      <c r="AA16" s="128"/>
      <c r="AB16" s="128"/>
      <c r="AC16" s="128"/>
    </row>
    <row r="17" spans="1:32" s="128" customFormat="1">
      <c r="A17" t="s">
        <v>1195</v>
      </c>
      <c r="B17" s="132"/>
      <c r="C17" s="132"/>
      <c r="D17" s="132"/>
      <c r="E17" s="132"/>
      <c r="F17" s="132"/>
      <c r="G17" s="132"/>
      <c r="H17" s="132"/>
      <c r="I17" s="128">
        <f t="shared" si="0"/>
        <v>0</v>
      </c>
      <c r="K17" s="129"/>
      <c r="AD17" s="77"/>
      <c r="AE17" s="77"/>
      <c r="AF17" s="77"/>
    </row>
    <row r="18" spans="1:32" s="128" customFormat="1">
      <c r="A18" t="s">
        <v>1196</v>
      </c>
      <c r="B18" s="132"/>
      <c r="C18" s="132"/>
      <c r="D18" s="132"/>
      <c r="E18" s="132"/>
      <c r="F18" s="132"/>
      <c r="G18" s="132"/>
      <c r="H18" s="132"/>
      <c r="I18" s="128">
        <f t="shared" si="0"/>
        <v>0</v>
      </c>
      <c r="K18" s="129"/>
      <c r="AD18" s="77"/>
      <c r="AE18" s="77"/>
      <c r="AF18" s="77"/>
    </row>
    <row r="19" spans="1:32" s="128" customFormat="1">
      <c r="A19" t="s">
        <v>1591</v>
      </c>
      <c r="B19" s="132"/>
      <c r="C19" s="132"/>
      <c r="D19" s="132"/>
      <c r="E19" s="132"/>
      <c r="F19" s="132"/>
      <c r="G19" s="132"/>
      <c r="H19" s="132"/>
      <c r="I19" s="128">
        <f t="shared" si="0"/>
        <v>0</v>
      </c>
      <c r="K19" s="129"/>
      <c r="AD19" s="77"/>
      <c r="AE19" s="77"/>
      <c r="AF19" s="77"/>
    </row>
    <row r="20" spans="1:32" s="128" customFormat="1">
      <c r="A20" t="s">
        <v>955</v>
      </c>
      <c r="B20" s="132" t="s">
        <v>411</v>
      </c>
      <c r="C20" s="132" t="s">
        <v>411</v>
      </c>
      <c r="D20" s="132"/>
      <c r="E20" s="132" t="s">
        <v>411</v>
      </c>
      <c r="F20" s="132"/>
      <c r="G20" s="132"/>
      <c r="H20" s="132"/>
      <c r="I20" s="128">
        <f t="shared" si="0"/>
        <v>3</v>
      </c>
      <c r="K20" s="129"/>
      <c r="AD20" s="77"/>
      <c r="AE20" s="77"/>
      <c r="AF20" s="77"/>
    </row>
    <row r="21" spans="1:32" s="128" customFormat="1">
      <c r="A21" t="s">
        <v>956</v>
      </c>
      <c r="B21" s="132"/>
      <c r="C21" s="132" t="s">
        <v>411</v>
      </c>
      <c r="D21" s="132"/>
      <c r="E21" s="132" t="s">
        <v>411</v>
      </c>
      <c r="F21" s="132"/>
      <c r="G21" s="132"/>
      <c r="H21" s="132"/>
      <c r="I21" s="128">
        <f t="shared" si="0"/>
        <v>2</v>
      </c>
      <c r="K21" s="129"/>
      <c r="AD21" s="77"/>
      <c r="AE21" s="77"/>
      <c r="AF21" s="77"/>
    </row>
    <row r="22" spans="1:32" s="128" customFormat="1">
      <c r="A22" t="s">
        <v>957</v>
      </c>
      <c r="B22" s="132"/>
      <c r="C22" s="132" t="s">
        <v>411</v>
      </c>
      <c r="D22" s="132"/>
      <c r="E22" s="132" t="s">
        <v>411</v>
      </c>
      <c r="F22" s="132"/>
      <c r="G22" s="132"/>
      <c r="H22" s="132"/>
      <c r="I22" s="128">
        <f t="shared" si="0"/>
        <v>2</v>
      </c>
      <c r="K22" s="129"/>
      <c r="AD22" s="77"/>
      <c r="AE22" s="77"/>
      <c r="AF22" s="77"/>
    </row>
    <row r="23" spans="1:32" s="128" customFormat="1">
      <c r="A23" t="s">
        <v>1241</v>
      </c>
      <c r="B23" s="132"/>
      <c r="C23" s="132"/>
      <c r="D23" s="132"/>
      <c r="E23" s="132"/>
      <c r="F23" s="132"/>
      <c r="G23" s="132"/>
      <c r="H23" s="132"/>
      <c r="I23" s="128">
        <f t="shared" si="0"/>
        <v>0</v>
      </c>
      <c r="K23" s="129"/>
      <c r="AD23" s="77"/>
      <c r="AE23" s="77"/>
      <c r="AF23" s="77"/>
    </row>
    <row r="24" spans="1:32" s="128" customFormat="1">
      <c r="A24" t="s">
        <v>1242</v>
      </c>
      <c r="B24" s="132"/>
      <c r="C24" s="132"/>
      <c r="D24" s="132"/>
      <c r="E24" s="132"/>
      <c r="F24" s="132"/>
      <c r="G24" s="132"/>
      <c r="H24" s="132"/>
      <c r="I24" s="128">
        <f t="shared" si="0"/>
        <v>0</v>
      </c>
      <c r="K24" s="129"/>
      <c r="AD24" s="77"/>
      <c r="AE24" s="77"/>
      <c r="AF24" s="77"/>
    </row>
    <row r="25" spans="1:32" s="128" customFormat="1">
      <c r="A25" t="s">
        <v>672</v>
      </c>
      <c r="B25" s="132" t="s">
        <v>411</v>
      </c>
      <c r="C25" s="132" t="s">
        <v>411</v>
      </c>
      <c r="D25" s="132"/>
      <c r="E25" s="132" t="s">
        <v>411</v>
      </c>
      <c r="F25" s="132"/>
      <c r="G25" s="132"/>
      <c r="H25" s="132"/>
      <c r="I25" s="128">
        <f t="shared" si="0"/>
        <v>3</v>
      </c>
      <c r="K25" s="129"/>
      <c r="AD25" s="77"/>
      <c r="AE25" s="77"/>
      <c r="AF25" s="77"/>
    </row>
    <row r="26" spans="1:32" s="128" customFormat="1">
      <c r="A26" t="s">
        <v>1183</v>
      </c>
      <c r="B26" s="132"/>
      <c r="C26" s="132"/>
      <c r="D26" s="132"/>
      <c r="E26" s="132"/>
      <c r="F26" s="132"/>
      <c r="G26" s="132"/>
      <c r="H26" s="132"/>
      <c r="I26" s="128">
        <f t="shared" si="0"/>
        <v>0</v>
      </c>
      <c r="K26" s="129"/>
      <c r="AD26" s="77"/>
      <c r="AE26" s="77"/>
      <c r="AF26" s="77"/>
    </row>
    <row r="27" spans="1:32" s="128" customFormat="1">
      <c r="A27" t="s">
        <v>953</v>
      </c>
      <c r="B27" s="132" t="s">
        <v>411</v>
      </c>
      <c r="C27" s="132" t="s">
        <v>411</v>
      </c>
      <c r="D27" s="132"/>
      <c r="E27" s="132" t="s">
        <v>411</v>
      </c>
      <c r="F27" s="132" t="s">
        <v>411</v>
      </c>
      <c r="G27" s="132"/>
      <c r="H27" s="132"/>
      <c r="I27" s="128">
        <f t="shared" si="0"/>
        <v>4</v>
      </c>
      <c r="K27" s="129"/>
      <c r="AD27" s="77"/>
      <c r="AE27" s="77"/>
      <c r="AF27" s="77"/>
    </row>
    <row r="28" spans="1:32" s="128" customFormat="1">
      <c r="A28" t="s">
        <v>1312</v>
      </c>
      <c r="B28" s="132"/>
      <c r="C28" s="132"/>
      <c r="D28" s="132"/>
      <c r="E28" s="132"/>
      <c r="F28" s="132" t="s">
        <v>411</v>
      </c>
      <c r="G28" s="132"/>
      <c r="H28" s="132"/>
      <c r="I28" s="128">
        <f t="shared" si="0"/>
        <v>1</v>
      </c>
      <c r="K28" s="129"/>
      <c r="AD28" s="77"/>
      <c r="AE28" s="77"/>
      <c r="AF28" s="77"/>
    </row>
    <row r="29" spans="1:32" s="128" customFormat="1">
      <c r="A29" t="s">
        <v>1516</v>
      </c>
      <c r="B29" s="132"/>
      <c r="C29" s="132"/>
      <c r="D29" s="132"/>
      <c r="E29" s="132"/>
      <c r="F29" s="132"/>
      <c r="G29" s="132"/>
      <c r="H29" s="132"/>
      <c r="I29" s="128">
        <f t="shared" si="0"/>
        <v>0</v>
      </c>
      <c r="K29" s="129"/>
      <c r="AD29" s="77"/>
      <c r="AE29" s="77"/>
      <c r="AF29" s="77"/>
    </row>
    <row r="30" spans="1:32">
      <c r="A30" t="s">
        <v>1517</v>
      </c>
      <c r="I30" s="128">
        <f t="shared" si="0"/>
        <v>0</v>
      </c>
    </row>
    <row r="31" spans="1:32">
      <c r="A31" t="s">
        <v>1518</v>
      </c>
      <c r="I31" s="128">
        <f t="shared" si="0"/>
        <v>0</v>
      </c>
    </row>
    <row r="32" spans="1:32">
      <c r="A32" t="s">
        <v>1052</v>
      </c>
      <c r="I32" s="128">
        <f t="shared" si="0"/>
        <v>0</v>
      </c>
    </row>
    <row r="33" spans="1:9">
      <c r="A33" t="s">
        <v>1515</v>
      </c>
      <c r="I33" s="128">
        <f t="shared" si="0"/>
        <v>0</v>
      </c>
    </row>
    <row r="34" spans="1:9">
      <c r="A34" t="s">
        <v>1347</v>
      </c>
      <c r="B34" s="132" t="s">
        <v>411</v>
      </c>
      <c r="I34" s="128">
        <f t="shared" si="0"/>
        <v>1</v>
      </c>
    </row>
    <row r="35" spans="1:9">
      <c r="A35" t="s">
        <v>1348</v>
      </c>
      <c r="B35" s="132" t="s">
        <v>411</v>
      </c>
      <c r="I35" s="128">
        <f t="shared" si="0"/>
        <v>1</v>
      </c>
    </row>
    <row r="36" spans="1:9">
      <c r="A36" t="s">
        <v>1349</v>
      </c>
      <c r="C36" s="132" t="s">
        <v>411</v>
      </c>
      <c r="I36" s="128">
        <f t="shared" si="0"/>
        <v>1</v>
      </c>
    </row>
    <row r="37" spans="1:9">
      <c r="A37" t="s">
        <v>1350</v>
      </c>
      <c r="C37" s="132" t="s">
        <v>411</v>
      </c>
      <c r="I37" s="128">
        <f t="shared" si="0"/>
        <v>1</v>
      </c>
    </row>
    <row r="38" spans="1:9">
      <c r="A38" t="s">
        <v>1351</v>
      </c>
      <c r="C38" s="132" t="s">
        <v>411</v>
      </c>
      <c r="I38" s="128">
        <f t="shared" si="0"/>
        <v>1</v>
      </c>
    </row>
    <row r="39" spans="1:9">
      <c r="A39" t="s">
        <v>1142</v>
      </c>
      <c r="I39" s="128">
        <f t="shared" si="0"/>
        <v>0</v>
      </c>
    </row>
    <row r="40" spans="1:9">
      <c r="A40" t="s">
        <v>1203</v>
      </c>
      <c r="I40" s="128">
        <f t="shared" si="0"/>
        <v>0</v>
      </c>
    </row>
    <row r="41" spans="1:9">
      <c r="A41" t="s">
        <v>1197</v>
      </c>
      <c r="I41" s="128">
        <f t="shared" si="0"/>
        <v>0</v>
      </c>
    </row>
    <row r="42" spans="1:9">
      <c r="A42" t="s">
        <v>1198</v>
      </c>
      <c r="I42" s="128">
        <f t="shared" si="0"/>
        <v>0</v>
      </c>
    </row>
    <row r="43" spans="1:9">
      <c r="A43" t="s">
        <v>1199</v>
      </c>
      <c r="I43" s="128">
        <f t="shared" si="0"/>
        <v>0</v>
      </c>
    </row>
    <row r="44" spans="1:9">
      <c r="A44" t="s">
        <v>1050</v>
      </c>
      <c r="I44" s="128">
        <f t="shared" si="0"/>
        <v>0</v>
      </c>
    </row>
    <row r="45" spans="1:9">
      <c r="A45" t="s">
        <v>1051</v>
      </c>
      <c r="I45" s="128">
        <f t="shared" si="0"/>
        <v>0</v>
      </c>
    </row>
    <row r="46" spans="1:9">
      <c r="A46" t="s">
        <v>1519</v>
      </c>
      <c r="I46" s="128">
        <f t="shared" si="0"/>
        <v>0</v>
      </c>
    </row>
    <row r="47" spans="1:9">
      <c r="A47" t="s">
        <v>1520</v>
      </c>
      <c r="I47" s="128">
        <f t="shared" si="0"/>
        <v>0</v>
      </c>
    </row>
    <row r="48" spans="1:9">
      <c r="A48" t="s">
        <v>1521</v>
      </c>
      <c r="I48" s="128">
        <f t="shared" si="0"/>
        <v>0</v>
      </c>
    </row>
    <row r="49" spans="1:9">
      <c r="A49" t="s">
        <v>1522</v>
      </c>
      <c r="I49" s="128">
        <f t="shared" si="0"/>
        <v>0</v>
      </c>
    </row>
    <row r="50" spans="1:9">
      <c r="A50" t="s">
        <v>1523</v>
      </c>
      <c r="I50" s="128">
        <f t="shared" si="0"/>
        <v>0</v>
      </c>
    </row>
    <row r="51" spans="1:9">
      <c r="A51" t="s">
        <v>1524</v>
      </c>
      <c r="I51" s="128">
        <f t="shared" si="0"/>
        <v>0</v>
      </c>
    </row>
    <row r="52" spans="1:9">
      <c r="A52" t="s">
        <v>1525</v>
      </c>
      <c r="I52" s="128">
        <f t="shared" si="0"/>
        <v>0</v>
      </c>
    </row>
    <row r="53" spans="1:9">
      <c r="A53" t="s">
        <v>958</v>
      </c>
      <c r="I53" s="128">
        <f t="shared" si="0"/>
        <v>0</v>
      </c>
    </row>
    <row r="54" spans="1:9">
      <c r="A54" t="s">
        <v>1302</v>
      </c>
      <c r="I54" s="128">
        <f t="shared" si="0"/>
        <v>0</v>
      </c>
    </row>
    <row r="55" spans="1:9">
      <c r="I55" s="128"/>
    </row>
  </sheetData>
  <phoneticPr fontId="54" type="noConversion"/>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7105" r:id="rId4" name="Button 1">
              <controlPr defaultSize="0" print="0" autoFill="0" autoPict="0" macro="[0]!ThisWorkbook.ListAllSheets">
                <anchor moveWithCells="1" sizeWithCells="1">
                  <from>
                    <xdr:col>0</xdr:col>
                    <xdr:colOff>222250</xdr:colOff>
                    <xdr:row>1</xdr:row>
                    <xdr:rowOff>171450</xdr:rowOff>
                  </from>
                  <to>
                    <xdr:col>0</xdr:col>
                    <xdr:colOff>1593850</xdr:colOff>
                    <xdr:row>3</xdr:row>
                    <xdr:rowOff>114300</xdr:rowOff>
                  </to>
                </anchor>
              </controlPr>
            </control>
          </mc:Choice>
        </mc:AlternateContent>
        <mc:AlternateContent xmlns:mc="http://schemas.openxmlformats.org/markup-compatibility/2006">
          <mc:Choice Requires="x14">
            <control shapeId="47106" r:id="rId5" name="Button 2">
              <controlPr defaultSize="0" print="0" autoFill="0" autoPict="0" macro="[0]!ThisWorkbook.ShowAllSheets">
                <anchor moveWithCells="1" sizeWithCells="1">
                  <from>
                    <xdr:col>8</xdr:col>
                    <xdr:colOff>361950</xdr:colOff>
                    <xdr:row>2</xdr:row>
                    <xdr:rowOff>50800</xdr:rowOff>
                  </from>
                  <to>
                    <xdr:col>10</xdr:col>
                    <xdr:colOff>514350</xdr:colOff>
                    <xdr:row>3</xdr:row>
                    <xdr:rowOff>146050</xdr:rowOff>
                  </to>
                </anchor>
              </controlPr>
            </control>
          </mc:Choice>
        </mc:AlternateContent>
        <mc:AlternateContent xmlns:mc="http://schemas.openxmlformats.org/markup-compatibility/2006">
          <mc:Choice Requires="x14">
            <control shapeId="47107" r:id="rId6" name="Button 3">
              <controlPr defaultSize="0" print="0" autoFill="0" autoPict="0" macro="[0]!ThisWorkbook.ShowStep1">
                <anchor moveWithCells="1" sizeWithCells="1">
                  <from>
                    <xdr:col>1</xdr:col>
                    <xdr:colOff>165100</xdr:colOff>
                    <xdr:row>2</xdr:row>
                    <xdr:rowOff>38100</xdr:rowOff>
                  </from>
                  <to>
                    <xdr:col>1</xdr:col>
                    <xdr:colOff>793750</xdr:colOff>
                    <xdr:row>3</xdr:row>
                    <xdr:rowOff>57150</xdr:rowOff>
                  </to>
                </anchor>
              </controlPr>
            </control>
          </mc:Choice>
        </mc:AlternateContent>
        <mc:AlternateContent xmlns:mc="http://schemas.openxmlformats.org/markup-compatibility/2006">
          <mc:Choice Requires="x14">
            <control shapeId="47108" r:id="rId7" name="Button 4">
              <controlPr defaultSize="0" print="0" autoFill="0" autoPict="0" macro="[0]!ThisWorkbook.ShowStep2">
                <anchor moveWithCells="1" sizeWithCells="1">
                  <from>
                    <xdr:col>2</xdr:col>
                    <xdr:colOff>152400</xdr:colOff>
                    <xdr:row>2</xdr:row>
                    <xdr:rowOff>50800</xdr:rowOff>
                  </from>
                  <to>
                    <xdr:col>2</xdr:col>
                    <xdr:colOff>774700</xdr:colOff>
                    <xdr:row>3</xdr:row>
                    <xdr:rowOff>69850</xdr:rowOff>
                  </to>
                </anchor>
              </controlPr>
            </control>
          </mc:Choice>
        </mc:AlternateContent>
        <mc:AlternateContent xmlns:mc="http://schemas.openxmlformats.org/markup-compatibility/2006">
          <mc:Choice Requires="x14">
            <control shapeId="47109" r:id="rId8" name="Button 5">
              <controlPr defaultSize="0" print="0" autoFill="0" autoPict="0" macro="[0]!ThisWorkbook.ShowStep3">
                <anchor moveWithCells="1" sizeWithCells="1">
                  <from>
                    <xdr:col>3</xdr:col>
                    <xdr:colOff>152400</xdr:colOff>
                    <xdr:row>2</xdr:row>
                    <xdr:rowOff>31750</xdr:rowOff>
                  </from>
                  <to>
                    <xdr:col>3</xdr:col>
                    <xdr:colOff>755650</xdr:colOff>
                    <xdr:row>3</xdr:row>
                    <xdr:rowOff>107950</xdr:rowOff>
                  </to>
                </anchor>
              </controlPr>
            </control>
          </mc:Choice>
        </mc:AlternateContent>
        <mc:AlternateContent xmlns:mc="http://schemas.openxmlformats.org/markup-compatibility/2006">
          <mc:Choice Requires="x14">
            <control shapeId="47110" r:id="rId9" name="Button 6">
              <controlPr defaultSize="0" print="0" autoFill="0" autoPict="0" macro="[0]!ThisWorkbook.ShowStep4">
                <anchor moveWithCells="1" sizeWithCells="1">
                  <from>
                    <xdr:col>4</xdr:col>
                    <xdr:colOff>165100</xdr:colOff>
                    <xdr:row>2</xdr:row>
                    <xdr:rowOff>50800</xdr:rowOff>
                  </from>
                  <to>
                    <xdr:col>4</xdr:col>
                    <xdr:colOff>755650</xdr:colOff>
                    <xdr:row>3</xdr:row>
                    <xdr:rowOff>127000</xdr:rowOff>
                  </to>
                </anchor>
              </controlPr>
            </control>
          </mc:Choice>
        </mc:AlternateContent>
        <mc:AlternateContent xmlns:mc="http://schemas.openxmlformats.org/markup-compatibility/2006">
          <mc:Choice Requires="x14">
            <control shapeId="47111" r:id="rId10" name="Button 7">
              <controlPr defaultSize="0" print="0" autoFill="0" autoPict="0" macro="[0]!ThisWorkbook.ShowStep5">
                <anchor moveWithCells="1" sizeWithCells="1">
                  <from>
                    <xdr:col>5</xdr:col>
                    <xdr:colOff>165100</xdr:colOff>
                    <xdr:row>2</xdr:row>
                    <xdr:rowOff>50800</xdr:rowOff>
                  </from>
                  <to>
                    <xdr:col>5</xdr:col>
                    <xdr:colOff>781050</xdr:colOff>
                    <xdr:row>3</xdr:row>
                    <xdr:rowOff>127000</xdr:rowOff>
                  </to>
                </anchor>
              </controlPr>
            </control>
          </mc:Choice>
        </mc:AlternateContent>
        <mc:AlternateContent xmlns:mc="http://schemas.openxmlformats.org/markup-compatibility/2006">
          <mc:Choice Requires="x14">
            <control shapeId="47112" r:id="rId11" name="Button 8">
              <controlPr defaultSize="0" print="0" autoFill="0" autoPict="0" macro="[0]!ThisWorkbook.ShowStep6">
                <anchor moveWithCells="1" sizeWithCells="1">
                  <from>
                    <xdr:col>6</xdr:col>
                    <xdr:colOff>127000</xdr:colOff>
                    <xdr:row>2</xdr:row>
                    <xdr:rowOff>31750</xdr:rowOff>
                  </from>
                  <to>
                    <xdr:col>6</xdr:col>
                    <xdr:colOff>755650</xdr:colOff>
                    <xdr:row>3</xdr:row>
                    <xdr:rowOff>107950</xdr:rowOff>
                  </to>
                </anchor>
              </controlPr>
            </control>
          </mc:Choice>
        </mc:AlternateContent>
        <mc:AlternateContent xmlns:mc="http://schemas.openxmlformats.org/markup-compatibility/2006">
          <mc:Choice Requires="x14">
            <control shapeId="47113" r:id="rId12" name="Button 9">
              <controlPr defaultSize="0" print="0" autoFill="0" autoPict="0" macro="[0]!ThisWorkbook.ShowStep7">
                <anchor moveWithCells="1" sizeWithCells="1">
                  <from>
                    <xdr:col>7</xdr:col>
                    <xdr:colOff>107950</xdr:colOff>
                    <xdr:row>2</xdr:row>
                    <xdr:rowOff>38100</xdr:rowOff>
                  </from>
                  <to>
                    <xdr:col>7</xdr:col>
                    <xdr:colOff>736600</xdr:colOff>
                    <xdr:row>3</xdr:row>
                    <xdr:rowOff>114300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3829DC-5DAA-46B6-B8E9-0F6582DE2BB7}">
  <sheetPr codeName="Sheet4">
    <tabColor theme="7" tint="0.79998168889431442"/>
  </sheetPr>
  <dimension ref="A1:E47"/>
  <sheetViews>
    <sheetView topLeftCell="A26" workbookViewId="0">
      <selection activeCell="B38" sqref="B38"/>
    </sheetView>
  </sheetViews>
  <sheetFormatPr defaultRowHeight="14.5"/>
  <cols>
    <col min="1" max="1" width="54.26953125" style="8" customWidth="1"/>
    <col min="2" max="2" width="56" style="8" customWidth="1"/>
    <col min="3" max="3" width="16.81640625" customWidth="1"/>
  </cols>
  <sheetData>
    <row r="1" spans="1:2">
      <c r="A1" s="1" t="s">
        <v>0</v>
      </c>
      <c r="B1" s="23" t="s">
        <v>720</v>
      </c>
    </row>
    <row r="2" spans="1:2">
      <c r="A2" s="2" t="s">
        <v>1</v>
      </c>
      <c r="B2" s="3" t="s">
        <v>1526</v>
      </c>
    </row>
    <row r="3" spans="1:2">
      <c r="A3" s="2" t="s">
        <v>2</v>
      </c>
      <c r="B3" s="324"/>
    </row>
    <row r="4" spans="1:2">
      <c r="A4" s="2" t="s">
        <v>727</v>
      </c>
      <c r="B4" s="3" t="s">
        <v>1527</v>
      </c>
    </row>
    <row r="5" spans="1:2">
      <c r="A5" s="2" t="s">
        <v>1609</v>
      </c>
      <c r="B5" s="4">
        <v>53517</v>
      </c>
    </row>
    <row r="6" spans="1:2">
      <c r="A6" s="5" t="s">
        <v>3</v>
      </c>
      <c r="B6" s="5"/>
    </row>
    <row r="7" spans="1:2">
      <c r="A7" s="2" t="s">
        <v>4</v>
      </c>
      <c r="B7" s="6" t="s">
        <v>1528</v>
      </c>
    </row>
    <row r="8" spans="1:2">
      <c r="A8" s="2" t="s">
        <v>5</v>
      </c>
      <c r="B8" s="6" t="s">
        <v>6</v>
      </c>
    </row>
    <row r="9" spans="1:2">
      <c r="A9" s="2" t="s">
        <v>7</v>
      </c>
      <c r="B9" s="6" t="s">
        <v>1529</v>
      </c>
    </row>
    <row r="10" spans="1:2" ht="52">
      <c r="A10" s="2" t="s">
        <v>8</v>
      </c>
      <c r="B10" s="6" t="s">
        <v>1530</v>
      </c>
    </row>
    <row r="11" spans="1:2">
      <c r="A11" s="2" t="s">
        <v>1115</v>
      </c>
      <c r="B11" s="6" t="s">
        <v>1531</v>
      </c>
    </row>
    <row r="12" spans="1:2">
      <c r="A12" s="2" t="s">
        <v>9</v>
      </c>
      <c r="B12" s="6" t="s">
        <v>1532</v>
      </c>
    </row>
    <row r="13" spans="1:2">
      <c r="A13" s="2" t="s">
        <v>10</v>
      </c>
      <c r="B13" s="6" t="s">
        <v>1533</v>
      </c>
    </row>
    <row r="14" spans="1:2">
      <c r="A14" s="2" t="s">
        <v>11</v>
      </c>
      <c r="B14" s="6" t="s">
        <v>1534</v>
      </c>
    </row>
    <row r="15" spans="1:2">
      <c r="A15" s="5" t="s">
        <v>12</v>
      </c>
      <c r="B15" s="5"/>
    </row>
    <row r="16" spans="1:2">
      <c r="A16" s="2" t="s">
        <v>13</v>
      </c>
      <c r="B16" s="83" t="s">
        <v>1592</v>
      </c>
    </row>
    <row r="17" spans="1:2">
      <c r="A17" s="2" t="s">
        <v>14</v>
      </c>
      <c r="B17" s="298" t="s">
        <v>1593</v>
      </c>
    </row>
    <row r="18" spans="1:2">
      <c r="A18" s="2" t="s">
        <v>15</v>
      </c>
      <c r="B18" s="6" t="s">
        <v>1594</v>
      </c>
    </row>
    <row r="19" spans="1:2">
      <c r="A19" s="2" t="s">
        <v>16</v>
      </c>
      <c r="B19" s="6" t="s">
        <v>1595</v>
      </c>
    </row>
    <row r="20" spans="1:2">
      <c r="A20" s="2" t="s">
        <v>17</v>
      </c>
      <c r="B20" s="6" t="s">
        <v>1593</v>
      </c>
    </row>
    <row r="21" spans="1:2">
      <c r="A21" s="5" t="s">
        <v>19</v>
      </c>
      <c r="B21" s="5"/>
    </row>
    <row r="22" spans="1:2">
      <c r="A22" s="2" t="s">
        <v>20</v>
      </c>
      <c r="B22" s="298">
        <v>44174</v>
      </c>
    </row>
    <row r="23" spans="1:2">
      <c r="A23" s="2" t="s">
        <v>21</v>
      </c>
      <c r="B23" s="299" t="s">
        <v>1596</v>
      </c>
    </row>
    <row r="24" spans="1:2">
      <c r="A24" s="2" t="s">
        <v>22</v>
      </c>
      <c r="B24" s="299">
        <v>44302</v>
      </c>
    </row>
    <row r="25" spans="1:2">
      <c r="A25" s="2" t="s">
        <v>23</v>
      </c>
      <c r="B25" s="298">
        <v>44298</v>
      </c>
    </row>
    <row r="26" spans="1:2">
      <c r="A26" s="2" t="s">
        <v>24</v>
      </c>
      <c r="B26" s="299">
        <v>44302</v>
      </c>
    </row>
    <row r="27" spans="1:2">
      <c r="A27" s="5" t="s">
        <v>25</v>
      </c>
      <c r="B27" s="22"/>
    </row>
    <row r="28" spans="1:2">
      <c r="A28" s="2" t="s">
        <v>4</v>
      </c>
      <c r="B28" s="298" t="s">
        <v>1597</v>
      </c>
    </row>
    <row r="29" spans="1:2">
      <c r="A29" s="2" t="s">
        <v>7</v>
      </c>
      <c r="B29" s="298" t="s">
        <v>1598</v>
      </c>
    </row>
    <row r="30" spans="1:2">
      <c r="A30" s="2" t="s">
        <v>9</v>
      </c>
      <c r="B30" s="298" t="s">
        <v>1535</v>
      </c>
    </row>
    <row r="31" spans="1:2">
      <c r="A31" s="2" t="s">
        <v>10</v>
      </c>
      <c r="B31" s="27" t="s">
        <v>1599</v>
      </c>
    </row>
    <row r="32" spans="1:2">
      <c r="A32" s="5" t="s">
        <v>26</v>
      </c>
      <c r="B32" s="5"/>
    </row>
    <row r="33" spans="1:5">
      <c r="A33" s="2" t="s">
        <v>4</v>
      </c>
      <c r="B33" s="325" t="s">
        <v>1600</v>
      </c>
    </row>
    <row r="34" spans="1:5">
      <c r="A34" s="2" t="s">
        <v>5</v>
      </c>
      <c r="B34" s="427" t="str">
        <f>B16</f>
        <v>Software for Mars (Pty) Ltd</v>
      </c>
      <c r="C34" s="117"/>
    </row>
    <row r="35" spans="1:5">
      <c r="A35" s="2" t="s">
        <v>9</v>
      </c>
      <c r="B35" s="326" t="s">
        <v>1536</v>
      </c>
    </row>
    <row r="36" spans="1:5">
      <c r="A36" s="2" t="s">
        <v>10</v>
      </c>
      <c r="B36" s="327" t="s">
        <v>1601</v>
      </c>
    </row>
    <row r="37" spans="1:5">
      <c r="A37" s="5" t="s">
        <v>27</v>
      </c>
      <c r="B37" s="5"/>
    </row>
    <row r="38" spans="1:5">
      <c r="A38" s="2" t="s">
        <v>4</v>
      </c>
      <c r="B38" s="298" t="s">
        <v>1602</v>
      </c>
    </row>
    <row r="39" spans="1:5">
      <c r="A39" s="2" t="s">
        <v>5</v>
      </c>
      <c r="B39" s="298" t="s">
        <v>1353</v>
      </c>
    </row>
    <row r="40" spans="1:5">
      <c r="A40" s="2" t="s">
        <v>7</v>
      </c>
      <c r="B40" s="298" t="s">
        <v>424</v>
      </c>
    </row>
    <row r="41" spans="1:5">
      <c r="A41" s="2" t="s">
        <v>9</v>
      </c>
      <c r="B41" s="299" t="s">
        <v>1537</v>
      </c>
    </row>
    <row r="42" spans="1:5">
      <c r="A42" s="2" t="s">
        <v>10</v>
      </c>
      <c r="B42" s="88" t="s">
        <v>1603</v>
      </c>
    </row>
    <row r="43" spans="1:5">
      <c r="A43" s="7" t="s">
        <v>28</v>
      </c>
      <c r="B43" s="5"/>
    </row>
    <row r="44" spans="1:5">
      <c r="A44" s="2" t="s">
        <v>4</v>
      </c>
      <c r="B44" s="6" t="s">
        <v>1249</v>
      </c>
      <c r="D44" t="s">
        <v>1160</v>
      </c>
      <c r="E44" t="s">
        <v>1133</v>
      </c>
    </row>
    <row r="45" spans="1:5">
      <c r="A45" s="2" t="s">
        <v>5</v>
      </c>
      <c r="B45" s="6" t="s">
        <v>6</v>
      </c>
      <c r="D45" t="s">
        <v>6</v>
      </c>
      <c r="E45" t="s">
        <v>1134</v>
      </c>
    </row>
    <row r="46" spans="1:5">
      <c r="A46" s="2" t="s">
        <v>9</v>
      </c>
      <c r="B46" s="6" t="s">
        <v>1137</v>
      </c>
      <c r="D46" t="s">
        <v>1137</v>
      </c>
      <c r="E46" t="s">
        <v>1135</v>
      </c>
    </row>
    <row r="47" spans="1:5">
      <c r="A47" s="2" t="s">
        <v>10</v>
      </c>
      <c r="B47" s="27" t="s">
        <v>1138</v>
      </c>
      <c r="D47" t="s">
        <v>1138</v>
      </c>
      <c r="E47" t="s">
        <v>1136</v>
      </c>
    </row>
  </sheetData>
  <phoneticPr fontId="54" type="noConversion"/>
  <conditionalFormatting sqref="B1:B3 B5:B21 B27 B32 B37 B43:B1048576">
    <cfRule type="cellIs" dxfId="128" priority="7" operator="equal">
      <formula>"xxx"</formula>
    </cfRule>
  </conditionalFormatting>
  <conditionalFormatting sqref="B4">
    <cfRule type="cellIs" dxfId="127" priority="6" operator="equal">
      <formula>"xxx"</formula>
    </cfRule>
  </conditionalFormatting>
  <conditionalFormatting sqref="B22:B26">
    <cfRule type="cellIs" dxfId="126" priority="5" operator="equal">
      <formula>"xxx"</formula>
    </cfRule>
  </conditionalFormatting>
  <conditionalFormatting sqref="B28:B31">
    <cfRule type="cellIs" dxfId="125" priority="4" operator="equal">
      <formula>"xxx"</formula>
    </cfRule>
  </conditionalFormatting>
  <conditionalFormatting sqref="B33 B35:B36">
    <cfRule type="cellIs" dxfId="124" priority="3" operator="equal">
      <formula>"xxx"</formula>
    </cfRule>
  </conditionalFormatting>
  <conditionalFormatting sqref="B38:B42">
    <cfRule type="cellIs" dxfId="123" priority="2" operator="equal">
      <formula>"xxx"</formula>
    </cfRule>
  </conditionalFormatting>
  <conditionalFormatting sqref="B34">
    <cfRule type="cellIs" dxfId="122" priority="1" operator="equal">
      <formula>"xxx"</formula>
    </cfRule>
  </conditionalFormatting>
  <hyperlinks>
    <hyperlink ref="B31" r:id="rId1" xr:uid="{23051012-7087-4A8E-AF78-9CA1E2169F1A}"/>
    <hyperlink ref="B36" r:id="rId2" xr:uid="{225F4806-6E4C-4247-B2D6-3FCF0741FBF6}"/>
    <hyperlink ref="B42" r:id="rId3" display="translator@email.com" xr:uid="{B548D2D9-222F-4849-B763-621F3700ED87}"/>
  </hyperlinks>
  <pageMargins left="0.7" right="0.7" top="0.75" bottom="0.75" header="0.3" footer="0.3"/>
  <pageSetup orientation="portrait" r:id="rId4"/>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5A62A0-F9AC-4268-861F-70FCC2ECDB8E}">
  <sheetPr codeName="Sheet5">
    <tabColor theme="7" tint="0.79998168889431442"/>
  </sheetPr>
  <dimension ref="A1:D55"/>
  <sheetViews>
    <sheetView workbookViewId="0">
      <selection activeCell="B9" sqref="B9:C9"/>
    </sheetView>
  </sheetViews>
  <sheetFormatPr defaultColWidth="8.7265625" defaultRowHeight="14.5"/>
  <cols>
    <col min="1" max="1" width="33.7265625" style="11" customWidth="1"/>
    <col min="2" max="2" width="70.7265625" style="11" customWidth="1"/>
    <col min="3" max="3" width="11.1796875" style="11" customWidth="1"/>
    <col min="4" max="16384" width="8.7265625" style="11"/>
  </cols>
  <sheetData>
    <row r="1" spans="1:3">
      <c r="A1" s="24" t="s">
        <v>762</v>
      </c>
    </row>
    <row r="2" spans="1:3" s="50" customFormat="1" ht="15.5">
      <c r="A2" s="51" t="s">
        <v>719</v>
      </c>
      <c r="B2" s="51"/>
      <c r="C2" s="49"/>
    </row>
    <row r="3" spans="1:3">
      <c r="A3" s="11" t="s">
        <v>714</v>
      </c>
      <c r="B3" s="90" t="str">
        <f>'Agreement 3'!B16</f>
        <v>Software for Mars (Pty) Ltd</v>
      </c>
      <c r="C3" s="11" t="s">
        <v>1002</v>
      </c>
    </row>
    <row r="4" spans="1:3">
      <c r="A4" s="11" t="s">
        <v>713</v>
      </c>
      <c r="B4" s="11" t="s">
        <v>1604</v>
      </c>
    </row>
    <row r="5" spans="1:3" s="98" customFormat="1"/>
    <row r="6" spans="1:3">
      <c r="A6" s="11" t="s">
        <v>715</v>
      </c>
      <c r="B6" s="91" t="str">
        <f>CONCATENATE(TEXT(B27,"yyyy-mm-dd"),"to",TEXT(B36,"mm-dd")," (A",RIGHT(B10,1),") ",'Agreement 3'!B4," D",'Agreement 3'!B2," C",'Agreement 3'!B5, " ",Planning!B4)</f>
        <v>2021-04-10to04-16 (A5) R0000 D124 C53517 SoftMARS</v>
      </c>
      <c r="C6" s="11" t="s">
        <v>1003</v>
      </c>
    </row>
    <row r="7" spans="1:3">
      <c r="A7" s="11" t="s">
        <v>716</v>
      </c>
      <c r="B7" s="98" t="s">
        <v>1617</v>
      </c>
    </row>
    <row r="8" spans="1:3" s="98" customFormat="1"/>
    <row r="9" spans="1:3" s="98" customFormat="1">
      <c r="A9" s="98" t="s">
        <v>438</v>
      </c>
      <c r="B9" s="99" t="s">
        <v>524</v>
      </c>
      <c r="C9" s="98" t="s">
        <v>384</v>
      </c>
    </row>
    <row r="10" spans="1:3" s="98" customFormat="1">
      <c r="A10" s="98" t="s">
        <v>412</v>
      </c>
      <c r="B10" s="99" t="s">
        <v>409</v>
      </c>
      <c r="C10" s="98" t="s">
        <v>384</v>
      </c>
    </row>
    <row r="11" spans="1:3" s="98" customFormat="1">
      <c r="A11" s="98" t="s">
        <v>413</v>
      </c>
      <c r="B11" s="99" t="s">
        <v>415</v>
      </c>
      <c r="C11" s="98" t="s">
        <v>384</v>
      </c>
    </row>
    <row r="12" spans="1:3" s="98" customFormat="1" ht="43.5">
      <c r="A12" s="98" t="s">
        <v>419</v>
      </c>
      <c r="B12" s="98" t="s">
        <v>726</v>
      </c>
    </row>
    <row r="13" spans="1:3" s="98" customFormat="1"/>
    <row r="14" spans="1:3">
      <c r="A14" s="11" t="s">
        <v>850</v>
      </c>
      <c r="B14" s="91" t="str">
        <f>CONCATENATE("D",'Agreement 3'!B2, " (A",RIGHT(B10,1),") ",B4," - ",'Agreement 3'!B18," (Q",ROUNDUP(MONTH('Agreement 3'!B26)/3,0),") ",YEAR('Agreement 3'!B26))</f>
        <v>D124 (A5) SoftMARS - Base Alpha City (Q2) 2021</v>
      </c>
      <c r="C14" s="11" t="s">
        <v>1002</v>
      </c>
    </row>
    <row r="15" spans="1:3">
      <c r="A15" s="11" t="s">
        <v>849</v>
      </c>
      <c r="B15" s="11" t="s">
        <v>1605</v>
      </c>
    </row>
    <row r="16" spans="1:3">
      <c r="A16" s="11" t="s">
        <v>765</v>
      </c>
      <c r="B16" s="92">
        <f>'Agreement 3'!B5</f>
        <v>53517</v>
      </c>
      <c r="C16" s="11" t="s">
        <v>1002</v>
      </c>
    </row>
    <row r="18" spans="1:3" s="50" customFormat="1" ht="15.5">
      <c r="A18" s="51" t="s">
        <v>961</v>
      </c>
      <c r="B18" s="51"/>
      <c r="C18" s="49"/>
    </row>
    <row r="19" spans="1:3" s="50" customFormat="1" ht="15.5">
      <c r="A19" s="50" t="s">
        <v>875</v>
      </c>
      <c r="B19" s="414" t="s">
        <v>1354</v>
      </c>
      <c r="C19" s="49"/>
    </row>
    <row r="20" spans="1:3" s="50" customFormat="1" ht="15.5">
      <c r="A20" s="50" t="s">
        <v>963</v>
      </c>
      <c r="B20" s="94">
        <f>B21-1</f>
        <v>44267</v>
      </c>
      <c r="C20" s="49"/>
    </row>
    <row r="21" spans="1:3" s="50" customFormat="1" ht="15.5">
      <c r="A21" s="50" t="s">
        <v>1006</v>
      </c>
      <c r="B21" s="146">
        <f>B24-14</f>
        <v>44268</v>
      </c>
      <c r="C21" s="49" t="s">
        <v>1003</v>
      </c>
    </row>
    <row r="22" spans="1:3" s="50" customFormat="1" ht="15.5">
      <c r="B22" s="94"/>
      <c r="C22" s="49"/>
    </row>
    <row r="23" spans="1:3" s="50" customFormat="1" ht="15.5">
      <c r="A23" s="50" t="s">
        <v>964</v>
      </c>
      <c r="B23" s="94">
        <f>B24-1</f>
        <v>44281</v>
      </c>
      <c r="C23" s="49"/>
    </row>
    <row r="24" spans="1:3" s="50" customFormat="1" ht="15.5">
      <c r="A24" s="50" t="s">
        <v>1007</v>
      </c>
      <c r="B24" s="146">
        <f>B27-14</f>
        <v>44282</v>
      </c>
      <c r="C24" s="49" t="s">
        <v>1003</v>
      </c>
    </row>
    <row r="25" spans="1:3" s="50" customFormat="1" ht="15.5">
      <c r="B25" s="94"/>
      <c r="C25" s="49"/>
    </row>
    <row r="26" spans="1:3" s="50" customFormat="1" ht="15.5">
      <c r="A26" s="50" t="s">
        <v>876</v>
      </c>
      <c r="B26" s="94">
        <f>B27-2</f>
        <v>44294</v>
      </c>
      <c r="C26" s="49"/>
    </row>
    <row r="27" spans="1:3" s="50" customFormat="1" ht="15.5">
      <c r="A27" s="50" t="s">
        <v>877</v>
      </c>
      <c r="B27" s="146">
        <f>B30-B29</f>
        <v>44296</v>
      </c>
      <c r="C27" s="50" t="s">
        <v>1003</v>
      </c>
    </row>
    <row r="28" spans="1:3" s="50" customFormat="1" ht="15.5">
      <c r="A28" s="50" t="s">
        <v>878</v>
      </c>
      <c r="B28" s="50">
        <v>0</v>
      </c>
      <c r="C28" s="49"/>
    </row>
    <row r="29" spans="1:3" s="50" customFormat="1" ht="15.5">
      <c r="A29" s="50" t="s">
        <v>1011</v>
      </c>
      <c r="B29" s="50">
        <v>2</v>
      </c>
      <c r="C29" s="49" t="s">
        <v>985</v>
      </c>
    </row>
    <row r="30" spans="1:3" s="50" customFormat="1" ht="15.5">
      <c r="A30" s="50" t="s">
        <v>879</v>
      </c>
      <c r="B30" s="93">
        <f>'Agreement 3'!B25</f>
        <v>44298</v>
      </c>
      <c r="C30" s="127"/>
    </row>
    <row r="31" spans="1:3" s="50" customFormat="1" ht="15.5">
      <c r="A31" s="50" t="s">
        <v>1129</v>
      </c>
      <c r="B31" s="50">
        <v>0</v>
      </c>
      <c r="C31" s="127"/>
    </row>
    <row r="32" spans="1:3" s="50" customFormat="1" ht="15.5">
      <c r="A32" s="50" t="s">
        <v>755</v>
      </c>
      <c r="B32" s="93">
        <f>B33-B31</f>
        <v>44302</v>
      </c>
      <c r="C32" s="127" t="s">
        <v>1003</v>
      </c>
    </row>
    <row r="33" spans="1:4" s="50" customFormat="1" ht="15.5">
      <c r="A33" s="50" t="s">
        <v>880</v>
      </c>
      <c r="B33" s="93">
        <f>'Agreement 3'!B26</f>
        <v>44302</v>
      </c>
      <c r="C33" s="49" t="s">
        <v>1002</v>
      </c>
    </row>
    <row r="34" spans="1:4" s="117" customFormat="1" ht="15.5">
      <c r="A34" s="50" t="s">
        <v>400</v>
      </c>
      <c r="B34" s="39">
        <f>B33-B27+1-B28</f>
        <v>7</v>
      </c>
      <c r="C34" s="117" t="s">
        <v>1003</v>
      </c>
    </row>
    <row r="35" spans="1:4" s="117" customFormat="1" ht="15.5">
      <c r="A35" s="117" t="s">
        <v>1131</v>
      </c>
      <c r="B35" s="50">
        <v>0</v>
      </c>
    </row>
    <row r="36" spans="1:4" s="117" customFormat="1">
      <c r="A36" s="117" t="s">
        <v>1130</v>
      </c>
      <c r="B36" s="239">
        <f>B35+B32</f>
        <v>44302</v>
      </c>
      <c r="C36" s="117" t="s">
        <v>1003</v>
      </c>
    </row>
    <row r="37" spans="1:4" s="117" customFormat="1" ht="15.5">
      <c r="A37" s="117" t="s">
        <v>1355</v>
      </c>
      <c r="B37" s="50">
        <v>14</v>
      </c>
    </row>
    <row r="38" spans="1:4" s="117" customFormat="1">
      <c r="A38" s="117" t="s">
        <v>1132</v>
      </c>
      <c r="B38" s="239">
        <f>B36+B37-1</f>
        <v>44315</v>
      </c>
      <c r="C38" s="117" t="s">
        <v>1003</v>
      </c>
    </row>
    <row r="40" spans="1:4" s="50" customFormat="1" ht="31">
      <c r="A40" s="51" t="s">
        <v>965</v>
      </c>
      <c r="B40" s="51"/>
      <c r="C40" s="49"/>
    </row>
    <row r="41" spans="1:4" s="50" customFormat="1" ht="15.5">
      <c r="A41" s="50" t="s">
        <v>966</v>
      </c>
      <c r="B41" s="55" t="str">
        <f>'Agreement 3'!B23</f>
        <v>Conduct Maturity Level 5 appraisal in April 2021</v>
      </c>
      <c r="C41" s="49" t="s">
        <v>1002</v>
      </c>
    </row>
    <row r="42" spans="1:4" s="50" customFormat="1" ht="43.5">
      <c r="A42" s="50" t="s">
        <v>857</v>
      </c>
      <c r="B42" s="91" t="str">
        <f>B44</f>
        <v>[BO-1] Improve production efficiency to improve productivity 
[BO-2] Improve delivery capacity
[BO-3] Reduce Code Acceptance Defects</v>
      </c>
      <c r="C42" s="49" t="s">
        <v>1003</v>
      </c>
    </row>
    <row r="43" spans="1:4" s="120" customFormat="1">
      <c r="A43" s="120" t="s">
        <v>594</v>
      </c>
      <c r="B43" s="238" t="s">
        <v>1231</v>
      </c>
      <c r="C43" s="120" t="s">
        <v>885</v>
      </c>
      <c r="D43" s="125" t="s">
        <v>1083</v>
      </c>
    </row>
    <row r="44" spans="1:4" s="120" customFormat="1" ht="43.5">
      <c r="A44" s="120" t="s">
        <v>595</v>
      </c>
      <c r="B44" s="89" t="s">
        <v>1356</v>
      </c>
      <c r="C44" s="120" t="s">
        <v>885</v>
      </c>
      <c r="D44" s="125" t="s">
        <v>1083</v>
      </c>
    </row>
    <row r="45" spans="1:4" s="120" customFormat="1">
      <c r="A45" s="120" t="s">
        <v>596</v>
      </c>
      <c r="B45" s="238" t="s">
        <v>404</v>
      </c>
      <c r="C45" s="120" t="s">
        <v>885</v>
      </c>
      <c r="D45" s="125" t="s">
        <v>1083</v>
      </c>
    </row>
    <row r="46" spans="1:4" s="125" customFormat="1">
      <c r="B46" s="89"/>
    </row>
    <row r="47" spans="1:4" s="125" customFormat="1">
      <c r="A47" s="125" t="s">
        <v>597</v>
      </c>
      <c r="B47" s="89" t="s">
        <v>1538</v>
      </c>
      <c r="C47" s="125" t="s">
        <v>885</v>
      </c>
      <c r="D47" s="125" t="s">
        <v>1083</v>
      </c>
    </row>
    <row r="48" spans="1:4" s="125" customFormat="1">
      <c r="A48" s="125" t="s">
        <v>598</v>
      </c>
      <c r="B48" s="89" t="s">
        <v>1539</v>
      </c>
      <c r="C48" s="125" t="s">
        <v>885</v>
      </c>
      <c r="D48" s="125" t="s">
        <v>1083</v>
      </c>
    </row>
    <row r="49" spans="1:3" s="125" customFormat="1">
      <c r="A49" s="125" t="s">
        <v>599</v>
      </c>
      <c r="B49" s="89" t="s">
        <v>1161</v>
      </c>
      <c r="C49" s="125" t="s">
        <v>885</v>
      </c>
    </row>
    <row r="50" spans="1:3" s="125" customFormat="1">
      <c r="A50" s="125" t="s">
        <v>600</v>
      </c>
      <c r="B50" s="89" t="s">
        <v>621</v>
      </c>
      <c r="C50" s="125" t="s">
        <v>885</v>
      </c>
    </row>
    <row r="51" spans="1:3" s="125" customFormat="1">
      <c r="A51" s="125" t="s">
        <v>601</v>
      </c>
      <c r="B51" s="89" t="s">
        <v>1540</v>
      </c>
      <c r="C51" s="125" t="s">
        <v>885</v>
      </c>
    </row>
    <row r="52" spans="1:3" s="125" customFormat="1">
      <c r="A52" s="125" t="s">
        <v>602</v>
      </c>
      <c r="B52" s="89" t="s">
        <v>1541</v>
      </c>
      <c r="C52" s="125" t="s">
        <v>885</v>
      </c>
    </row>
    <row r="53" spans="1:3" s="125" customFormat="1">
      <c r="B53" s="238"/>
    </row>
    <row r="54" spans="1:3" s="50" customFormat="1" ht="46.5">
      <c r="A54" s="50" t="s">
        <v>1080</v>
      </c>
      <c r="B54" s="418" t="s">
        <v>1357</v>
      </c>
      <c r="C54" s="49"/>
    </row>
    <row r="55" spans="1:3" s="50" customFormat="1" ht="15.5">
      <c r="C55" s="49"/>
    </row>
  </sheetData>
  <phoneticPr fontId="54" type="noConversion"/>
  <dataValidations count="3">
    <dataValidation type="list" allowBlank="1" showInputMessage="1" showErrorMessage="1" sqref="B10" xr:uid="{170C69E8-4854-4334-86A0-95A18A3B336D}">
      <formula1>tbl_target</formula1>
    </dataValidation>
    <dataValidation type="list" allowBlank="1" showInputMessage="1" showErrorMessage="1" sqref="B11" xr:uid="{B70B65BD-D681-4C23-AB71-2BB73A769AA3}">
      <formula1>tbl_modelview</formula1>
    </dataValidation>
    <dataValidation type="list" allowBlank="1" showInputMessage="1" showErrorMessage="1" sqref="B9" xr:uid="{A40B55AF-85AF-497D-9232-9B089DAE7A17}">
      <formula1>tbl_timezone</formula1>
    </dataValidation>
  </dataValidations>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679368-7C25-4A06-979D-D4975358A58D}">
  <sheetPr codeName="Sheet11">
    <tabColor theme="5" tint="0.79998168889431442"/>
    <pageSetUpPr fitToPage="1"/>
  </sheetPr>
  <dimension ref="A1:C57"/>
  <sheetViews>
    <sheetView zoomScale="85" zoomScaleNormal="85" workbookViewId="0">
      <selection activeCell="B8" sqref="B8"/>
    </sheetView>
  </sheetViews>
  <sheetFormatPr defaultColWidth="10.81640625" defaultRowHeight="15.5"/>
  <cols>
    <col min="1" max="1" width="38.453125" style="50" customWidth="1"/>
    <col min="2" max="2" width="71.81640625" style="50" customWidth="1"/>
    <col min="3" max="3" width="32.453125" style="49" customWidth="1"/>
    <col min="4" max="4" width="44.26953125" style="50" customWidth="1"/>
    <col min="5" max="16384" width="10.81640625" style="50"/>
  </cols>
  <sheetData>
    <row r="1" spans="1:3" ht="37">
      <c r="A1" s="48" t="s">
        <v>1017</v>
      </c>
      <c r="B1" s="48"/>
      <c r="C1" s="49" t="s">
        <v>852</v>
      </c>
    </row>
    <row r="2" spans="1:3">
      <c r="A2" s="51" t="s">
        <v>389</v>
      </c>
      <c r="B2" s="51"/>
    </row>
    <row r="3" spans="1:3">
      <c r="A3" s="50" t="s">
        <v>853</v>
      </c>
      <c r="B3" s="55" t="str">
        <f>'Agreement 3'!B16</f>
        <v>Software for Mars (Pty) Ltd</v>
      </c>
      <c r="C3" s="49" t="s">
        <v>1002</v>
      </c>
    </row>
    <row r="4" spans="1:3">
      <c r="A4" s="50" t="s">
        <v>854</v>
      </c>
      <c r="B4" s="55" t="str">
        <f>IF('Agreement 3'!B17&lt;&gt;"",'Agreement 3'!B17,"")</f>
        <v>Mars</v>
      </c>
      <c r="C4" s="49" t="s">
        <v>1002</v>
      </c>
    </row>
    <row r="5" spans="1:3" s="84" customFormat="1" ht="14.5">
      <c r="A5" s="84" t="s">
        <v>31</v>
      </c>
      <c r="B5" s="117" t="s">
        <v>1607</v>
      </c>
    </row>
    <row r="6" spans="1:3" s="84" customFormat="1" ht="14.5">
      <c r="A6" s="84" t="s">
        <v>32</v>
      </c>
      <c r="B6" s="117" t="s">
        <v>1606</v>
      </c>
    </row>
    <row r="7" spans="1:3" s="84" customFormat="1">
      <c r="A7" s="84" t="s">
        <v>33</v>
      </c>
      <c r="B7" s="55" t="str">
        <f>'Agreement 3'!B18</f>
        <v>Base Alpha City</v>
      </c>
      <c r="C7" s="84" t="s">
        <v>1002</v>
      </c>
    </row>
    <row r="8" spans="1:3" s="84" customFormat="1">
      <c r="A8" s="84" t="s">
        <v>34</v>
      </c>
      <c r="B8" s="55" t="str">
        <f>'Agreement 3'!B19</f>
        <v>Tharsis</v>
      </c>
      <c r="C8" s="84" t="s">
        <v>1002</v>
      </c>
    </row>
    <row r="9" spans="1:3" s="84" customFormat="1" ht="14.5">
      <c r="A9" s="84" t="s">
        <v>35</v>
      </c>
      <c r="B9" s="86" t="s">
        <v>1611</v>
      </c>
    </row>
    <row r="10" spans="1:3" s="84" customFormat="1" ht="14.5">
      <c r="A10" s="84" t="s">
        <v>17</v>
      </c>
      <c r="B10" s="85" t="s">
        <v>18</v>
      </c>
      <c r="C10" s="84" t="s">
        <v>384</v>
      </c>
    </row>
    <row r="11" spans="1:3" ht="31">
      <c r="A11" s="50" t="s">
        <v>855</v>
      </c>
      <c r="B11" s="87" t="str">
        <f>_xlfn.CONCAT(B5,", ",B6,", ",B7,", ",B8,", ",B9,", ",B10)</f>
        <v>Room 1, Dome 1, No. 1 First Street, Base Alpha City, Tharsis, Planet04, China</v>
      </c>
      <c r="C11" s="49" t="s">
        <v>1003</v>
      </c>
    </row>
    <row r="12" spans="1:3">
      <c r="A12" s="50" t="s">
        <v>856</v>
      </c>
      <c r="B12" s="301" t="s">
        <v>1608</v>
      </c>
    </row>
    <row r="13" spans="1:3" ht="46.5">
      <c r="A13" s="50" t="s">
        <v>857</v>
      </c>
      <c r="B13" s="55" t="str">
        <f>_xlfn.CONCAT(Planning!B44)</f>
        <v>[BO-1] Improve production efficiency to improve productivity 
[BO-2] Improve delivery capacity
[BO-3] Reduce Code Acceptance Defects</v>
      </c>
      <c r="C13" s="49" t="s">
        <v>962</v>
      </c>
    </row>
    <row r="14" spans="1:3" ht="46.5">
      <c r="A14" s="50" t="str">
        <f>Planning!A54</f>
        <v>Appraisal objectives</v>
      </c>
      <c r="B14" s="55" t="str">
        <f>Planning!B54</f>
        <v>[A1]: In support of the business objectives, understand the current strength and weaknesses of the CMMI maturity level 3 practices within the organisation [BO-1, BO-2 &amp; BO-3].</v>
      </c>
      <c r="C14" s="50" t="s">
        <v>962</v>
      </c>
    </row>
    <row r="15" spans="1:3">
      <c r="A15" s="50" t="str">
        <f>Planning!A47</f>
        <v>QPPO Target Measurement/KPI</v>
      </c>
      <c r="B15" s="55" t="str">
        <f>Planning!B47</f>
        <v>Post release defect density: UCL:2.424, CL:2.103, LCL:1.783</v>
      </c>
      <c r="C15" s="49" t="s">
        <v>962</v>
      </c>
    </row>
    <row r="16" spans="1:3">
      <c r="A16" s="50" t="str">
        <f>Planning!A48</f>
        <v>QPPO Actual Measurement/KPI</v>
      </c>
      <c r="B16" s="55" t="str">
        <f>Planning!B48</f>
        <v>Post release defect density: UCL:1.8726,CL:1.607,LCL:1.3407</v>
      </c>
      <c r="C16" s="49" t="s">
        <v>962</v>
      </c>
    </row>
    <row r="17" spans="1:3" ht="68.150000000000006" customHeight="1">
      <c r="A17" s="50" t="s">
        <v>986</v>
      </c>
      <c r="B17" s="415"/>
    </row>
    <row r="19" spans="1:3">
      <c r="A19" s="51" t="s">
        <v>858</v>
      </c>
      <c r="B19" s="51"/>
    </row>
    <row r="20" spans="1:3">
      <c r="A20" s="50" t="s">
        <v>859</v>
      </c>
      <c r="B20" s="89" t="s">
        <v>1358</v>
      </c>
    </row>
    <row r="21" spans="1:3">
      <c r="A21" s="50" t="s">
        <v>860</v>
      </c>
      <c r="B21" s="89"/>
    </row>
    <row r="22" spans="1:3">
      <c r="A22" s="50" t="s">
        <v>861</v>
      </c>
      <c r="B22" s="89" t="s">
        <v>1542</v>
      </c>
    </row>
    <row r="23" spans="1:3" ht="87">
      <c r="A23" s="50" t="s">
        <v>862</v>
      </c>
      <c r="B23" s="412" t="s">
        <v>1610</v>
      </c>
      <c r="C23" s="306"/>
    </row>
    <row r="24" spans="1:3" ht="31">
      <c r="A24" s="50" t="s">
        <v>863</v>
      </c>
      <c r="B24" s="54" t="s">
        <v>347</v>
      </c>
      <c r="C24" s="49" t="s">
        <v>384</v>
      </c>
    </row>
    <row r="25" spans="1:3">
      <c r="A25" s="50" t="s">
        <v>864</v>
      </c>
      <c r="B25" s="50">
        <v>2481632</v>
      </c>
    </row>
    <row r="26" spans="1:3" ht="46.5">
      <c r="A26" s="50" t="s">
        <v>977</v>
      </c>
      <c r="B26" s="328" t="s">
        <v>1514</v>
      </c>
      <c r="C26" s="49" t="s">
        <v>1003</v>
      </c>
    </row>
    <row r="27" spans="1:3" s="117" customFormat="1" ht="14.5">
      <c r="A27" s="117" t="s">
        <v>31</v>
      </c>
      <c r="B27" s="117" t="str">
        <f t="shared" ref="B27:B32" si="0">B5</f>
        <v>Room 1, Dome 1</v>
      </c>
    </row>
    <row r="28" spans="1:3" s="117" customFormat="1" ht="14.5">
      <c r="A28" s="117" t="s">
        <v>32</v>
      </c>
      <c r="B28" s="117" t="str">
        <f t="shared" si="0"/>
        <v>No. 1 First Street</v>
      </c>
    </row>
    <row r="29" spans="1:3" s="117" customFormat="1">
      <c r="A29" s="117" t="s">
        <v>33</v>
      </c>
      <c r="B29" s="55" t="str">
        <f t="shared" si="0"/>
        <v>Base Alpha City</v>
      </c>
      <c r="C29" s="117" t="s">
        <v>1002</v>
      </c>
    </row>
    <row r="30" spans="1:3" s="117" customFormat="1">
      <c r="A30" s="117" t="s">
        <v>34</v>
      </c>
      <c r="B30" s="55" t="str">
        <f t="shared" si="0"/>
        <v>Tharsis</v>
      </c>
      <c r="C30" s="117" t="s">
        <v>1002</v>
      </c>
    </row>
    <row r="31" spans="1:3" s="117" customFormat="1" ht="14.5">
      <c r="A31" s="117" t="s">
        <v>35</v>
      </c>
      <c r="B31" s="89" t="str">
        <f t="shared" si="0"/>
        <v>Planet04</v>
      </c>
    </row>
    <row r="32" spans="1:3" s="117" customFormat="1" ht="14.5">
      <c r="A32" s="117" t="s">
        <v>17</v>
      </c>
      <c r="B32" s="121" t="str">
        <f t="shared" si="0"/>
        <v>China</v>
      </c>
      <c r="C32" s="117" t="s">
        <v>384</v>
      </c>
    </row>
    <row r="33" spans="1:3" ht="31">
      <c r="A33" s="50" t="s">
        <v>855</v>
      </c>
      <c r="B33" s="102" t="str">
        <f>_xlfn.CONCAT(B27,", ",B28,", ",B29,", ",B30,", ",B31,", ",B32)</f>
        <v>Room 1, Dome 1, No. 1 First Street, Base Alpha City, Tharsis, Planet04, China</v>
      </c>
      <c r="C33" s="49" t="s">
        <v>1003</v>
      </c>
    </row>
    <row r="35" spans="1:3">
      <c r="A35" s="51" t="s">
        <v>865</v>
      </c>
      <c r="B35" s="51"/>
    </row>
    <row r="36" spans="1:3">
      <c r="A36" s="50" t="s">
        <v>866</v>
      </c>
      <c r="B36" s="55" t="str">
        <f>'Agreement 3'!B29</f>
        <v>The Boss</v>
      </c>
      <c r="C36" s="49" t="s">
        <v>1002</v>
      </c>
    </row>
    <row r="37" spans="1:3">
      <c r="A37" s="50" t="s">
        <v>867</v>
      </c>
      <c r="B37" s="55" t="str">
        <f>'Agreement 3'!B28</f>
        <v>Prof Kessler, Donald</v>
      </c>
      <c r="C37" s="49" t="s">
        <v>1002</v>
      </c>
    </row>
    <row r="38" spans="1:3">
      <c r="A38" s="50" t="s">
        <v>868</v>
      </c>
      <c r="B38" s="55" t="str">
        <f>'Agreement 3'!B16</f>
        <v>Software for Mars (Pty) Ltd</v>
      </c>
      <c r="C38" s="49" t="s">
        <v>1002</v>
      </c>
    </row>
    <row r="39" spans="1:3" ht="31">
      <c r="A39" s="50" t="s">
        <v>1084</v>
      </c>
      <c r="B39" s="54" t="s">
        <v>735</v>
      </c>
      <c r="C39" s="49" t="s">
        <v>384</v>
      </c>
    </row>
    <row r="40" spans="1:3" ht="31">
      <c r="A40" s="50" t="s">
        <v>869</v>
      </c>
      <c r="B40" s="52" t="str">
        <f>B11</f>
        <v>Room 1, Dome 1, No. 1 First Street, Base Alpha City, Tharsis, Planet04, China</v>
      </c>
      <c r="C40" s="49" t="s">
        <v>1003</v>
      </c>
    </row>
    <row r="41" spans="1:3">
      <c r="A41" s="50" t="s">
        <v>870</v>
      </c>
      <c r="B41" s="78" t="str">
        <f>'Agreement 3'!B31</f>
        <v>donald.kessler@email.com</v>
      </c>
      <c r="C41" s="49" t="s">
        <v>1002</v>
      </c>
    </row>
    <row r="42" spans="1:3">
      <c r="A42" s="50" t="s">
        <v>871</v>
      </c>
      <c r="B42" s="79" t="str">
        <f>'Agreement 3'!B30</f>
        <v>+000 1111 2222</v>
      </c>
      <c r="C42" s="49" t="s">
        <v>1002</v>
      </c>
    </row>
    <row r="44" spans="1:3">
      <c r="A44" s="51" t="s">
        <v>425</v>
      </c>
      <c r="B44" s="51"/>
    </row>
    <row r="45" spans="1:3">
      <c r="A45" s="50" t="s">
        <v>1018</v>
      </c>
      <c r="B45" s="55" t="str">
        <f>'Agreement 3'!B33</f>
        <v>Miss Lake, Nathalie</v>
      </c>
      <c r="C45" s="49" t="s">
        <v>1002</v>
      </c>
    </row>
    <row r="46" spans="1:3">
      <c r="A46" s="50" t="s">
        <v>872</v>
      </c>
      <c r="B46" s="54" t="s">
        <v>735</v>
      </c>
      <c r="C46" s="49" t="s">
        <v>384</v>
      </c>
    </row>
    <row r="47" spans="1:3">
      <c r="A47" s="50" t="s">
        <v>873</v>
      </c>
      <c r="B47" s="79" t="str">
        <f>'Agreement 3'!B35</f>
        <v>+0000 1111 3333</v>
      </c>
      <c r="C47" s="49" t="s">
        <v>1002</v>
      </c>
    </row>
    <row r="48" spans="1:3">
      <c r="A48" s="50" t="s">
        <v>874</v>
      </c>
      <c r="B48" s="78" t="str">
        <f>'Agreement 3'!B36</f>
        <v>nathalie.lake@email.com</v>
      </c>
      <c r="C48" s="49" t="s">
        <v>1002</v>
      </c>
    </row>
    <row r="50" spans="1:3">
      <c r="A50" s="51" t="s">
        <v>27</v>
      </c>
      <c r="B50" s="51"/>
    </row>
    <row r="51" spans="1:3">
      <c r="A51" s="50" t="s">
        <v>13</v>
      </c>
      <c r="B51" s="55" t="str">
        <f>'Agreement 3'!B38</f>
        <v>Miss Land, Barbara</v>
      </c>
      <c r="C51" s="49" t="s">
        <v>1002</v>
      </c>
    </row>
    <row r="52" spans="1:3">
      <c r="A52" s="50" t="s">
        <v>1013</v>
      </c>
      <c r="B52" s="55" t="str">
        <f>'Agreement 3'!B39</f>
        <v>Freelance</v>
      </c>
      <c r="C52" s="49" t="s">
        <v>1002</v>
      </c>
    </row>
    <row r="53" spans="1:3">
      <c r="A53" s="50" t="s">
        <v>1014</v>
      </c>
      <c r="B53" s="54" t="s">
        <v>1012</v>
      </c>
      <c r="C53" s="49" t="s">
        <v>384</v>
      </c>
    </row>
    <row r="54" spans="1:3">
      <c r="A54" s="50" t="s">
        <v>728</v>
      </c>
      <c r="B54" s="54" t="s">
        <v>434</v>
      </c>
      <c r="C54" s="49" t="s">
        <v>384</v>
      </c>
    </row>
    <row r="55" spans="1:3">
      <c r="A55" s="50" t="s">
        <v>1015</v>
      </c>
      <c r="B55" s="50" t="s">
        <v>1016</v>
      </c>
    </row>
    <row r="56" spans="1:3">
      <c r="A56" s="50" t="s">
        <v>873</v>
      </c>
      <c r="B56" s="79" t="str">
        <f>'Agreement 3'!B41</f>
        <v>+000 1111 44444</v>
      </c>
      <c r="C56" s="49" t="s">
        <v>1002</v>
      </c>
    </row>
    <row r="57" spans="1:3">
      <c r="A57" s="50" t="s">
        <v>874</v>
      </c>
      <c r="B57" s="78" t="str">
        <f>'Agreement 3'!B42</f>
        <v>barbara.land@email.com</v>
      </c>
      <c r="C57" s="49" t="s">
        <v>1002</v>
      </c>
    </row>
  </sheetData>
  <phoneticPr fontId="54" type="noConversion"/>
  <dataValidations count="4">
    <dataValidation type="list" allowBlank="1" showInputMessage="1" showErrorMessage="1" sqref="B24" xr:uid="{CDD3F377-5378-44E1-B83C-16B7392CD656}">
      <formula1>tbl_isic</formula1>
    </dataValidation>
    <dataValidation type="list" allowBlank="1" showInputMessage="1" showErrorMessage="1" sqref="B10:B11 B32" xr:uid="{47BCE4C7-CDFB-4924-9960-11AC778C2B0D}">
      <formula1>tbl_country</formula1>
    </dataValidation>
    <dataValidation type="list" allowBlank="1" showInputMessage="1" showErrorMessage="1" sqref="B53 B46 B39" xr:uid="{455989D4-6CBB-4348-9320-53E041112C6F}">
      <formula1>"External, Internal"</formula1>
    </dataValidation>
    <dataValidation type="list" allowBlank="1" showInputMessage="1" showErrorMessage="1" sqref="B54" xr:uid="{FC239A9B-BA8D-45B5-BDCF-3883E916D0DB}">
      <formula1>tbl_reportingRelationship</formula1>
    </dataValidation>
  </dataValidations>
  <hyperlinks>
    <hyperlink ref="B41" r:id="rId1" display="jack@c-goshine.com" xr:uid="{25F06946-4C8A-47A6-8E18-995C96686BFB}"/>
    <hyperlink ref="B48" r:id="rId2" display="qianjiedi@gktel.com.cn" xr:uid="{08A30BD2-48E8-412B-8CD5-0F226B0D1FEE}"/>
    <hyperlink ref="B12" r:id="rId3" xr:uid="{971EBEBB-7D52-4A46-B80E-A06E6B6366A7}"/>
  </hyperlinks>
  <pageMargins left="0.7" right="0.7" top="0.75" bottom="0.75" header="0.3" footer="0.3"/>
  <pageSetup paperSize="9" scale="69" fitToHeight="0" orientation="portrait" r:id="rId4"/>
  <rowBreaks count="1" manualBreakCount="1">
    <brk id="34" max="16383" man="1"/>
  </rowBreaks>
  <drawing r:id="rId5"/>
  <legacyDrawing r:id="rId6"/>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D8613-A38E-4458-BEFC-71D869DF37C2}">
  <sheetPr codeName="Sheet12">
    <tabColor theme="5" tint="0.79998168889431442"/>
    <pageSetUpPr fitToPage="1"/>
  </sheetPr>
  <dimension ref="A1:AJ27"/>
  <sheetViews>
    <sheetView topLeftCell="I1" zoomScale="85" zoomScaleNormal="85" workbookViewId="0">
      <selection activeCell="AO2" sqref="AO2"/>
    </sheetView>
  </sheetViews>
  <sheetFormatPr defaultColWidth="8.81640625" defaultRowHeight="14.5"/>
  <cols>
    <col min="1" max="1" width="11.453125" style="98" customWidth="1"/>
    <col min="2" max="2" width="20.453125" style="98" customWidth="1"/>
    <col min="3" max="3" width="60.453125" style="98" customWidth="1"/>
    <col min="4" max="4" width="15.1796875" style="98" customWidth="1"/>
    <col min="5" max="5" width="20.453125" style="98" customWidth="1"/>
    <col min="6" max="7" width="15.453125" style="107" customWidth="1"/>
    <col min="8" max="8" width="11.81640625" style="98" customWidth="1"/>
    <col min="9" max="9" width="9.81640625" style="104" customWidth="1"/>
    <col min="10" max="27" width="6.453125" style="104" customWidth="1"/>
    <col min="28" max="28" width="8.7265625" style="104" customWidth="1"/>
    <col min="29" max="31" width="7.453125" style="98" customWidth="1"/>
    <col min="32" max="32" width="7.453125" style="117" customWidth="1"/>
    <col min="33" max="35" width="7.453125" style="98" customWidth="1"/>
    <col min="36" max="36" width="5.1796875" style="98" customWidth="1"/>
    <col min="37" max="16384" width="8.81640625" style="98"/>
  </cols>
  <sheetData>
    <row r="1" spans="1:36" s="50" customFormat="1" ht="57" customHeight="1">
      <c r="A1" s="113" t="s">
        <v>1512</v>
      </c>
      <c r="B1" s="48"/>
      <c r="C1" s="114"/>
      <c r="D1" s="115"/>
      <c r="E1" s="115"/>
      <c r="F1" s="115"/>
      <c r="G1" s="115"/>
      <c r="H1" s="115"/>
      <c r="I1" s="115"/>
      <c r="J1" s="115"/>
      <c r="K1" s="115"/>
      <c r="L1" s="115"/>
      <c r="M1" s="115"/>
      <c r="N1" s="115"/>
      <c r="O1" s="115"/>
      <c r="P1" s="115"/>
      <c r="Q1" s="115"/>
      <c r="R1" s="115"/>
      <c r="S1" s="115"/>
      <c r="T1" s="115"/>
      <c r="U1" s="115"/>
      <c r="V1" s="115"/>
      <c r="W1" s="115"/>
      <c r="X1" s="115"/>
      <c r="Y1" s="115"/>
      <c r="Z1" s="115"/>
      <c r="AA1" s="115"/>
      <c r="AB1" s="260" t="s">
        <v>1185</v>
      </c>
      <c r="AC1" s="428" t="s">
        <v>1186</v>
      </c>
      <c r="AD1" s="428"/>
      <c r="AE1" s="428"/>
      <c r="AF1" s="428"/>
      <c r="AG1" s="428"/>
      <c r="AH1" s="428"/>
      <c r="AI1" s="428"/>
      <c r="AJ1" s="428"/>
    </row>
    <row r="2" spans="1:36" s="401" customFormat="1" ht="94.5">
      <c r="A2" s="399" t="s">
        <v>881</v>
      </c>
      <c r="B2" s="399" t="s">
        <v>13</v>
      </c>
      <c r="C2" s="399" t="s">
        <v>382</v>
      </c>
      <c r="D2" s="399" t="s">
        <v>882</v>
      </c>
      <c r="E2" s="399" t="s">
        <v>1147</v>
      </c>
      <c r="F2" s="400" t="s">
        <v>1148</v>
      </c>
      <c r="G2" s="400" t="s">
        <v>1149</v>
      </c>
      <c r="H2" s="399" t="s">
        <v>1510</v>
      </c>
      <c r="I2" s="261" t="s">
        <v>1513</v>
      </c>
      <c r="J2" s="262" t="s">
        <v>883</v>
      </c>
      <c r="K2" s="262" t="s">
        <v>884</v>
      </c>
      <c r="L2" s="262" t="s">
        <v>836</v>
      </c>
      <c r="M2" s="262" t="s">
        <v>885</v>
      </c>
      <c r="N2" s="262" t="s">
        <v>886</v>
      </c>
      <c r="O2" s="262" t="s">
        <v>887</v>
      </c>
      <c r="P2" s="262" t="s">
        <v>888</v>
      </c>
      <c r="Q2" s="262" t="s">
        <v>889</v>
      </c>
      <c r="R2" s="262" t="s">
        <v>890</v>
      </c>
      <c r="S2" s="262" t="s">
        <v>891</v>
      </c>
      <c r="T2" s="262" t="s">
        <v>753</v>
      </c>
      <c r="U2" s="262" t="s">
        <v>892</v>
      </c>
      <c r="V2" s="262" t="s">
        <v>893</v>
      </c>
      <c r="W2" s="262" t="s">
        <v>894</v>
      </c>
      <c r="X2" s="262" t="s">
        <v>895</v>
      </c>
      <c r="Y2" s="262" t="s">
        <v>751</v>
      </c>
      <c r="Z2" s="262" t="s">
        <v>896</v>
      </c>
      <c r="AA2" s="262" t="s">
        <v>897</v>
      </c>
      <c r="AB2" s="261"/>
      <c r="AC2" s="263" t="s">
        <v>1187</v>
      </c>
      <c r="AD2" s="263" t="s">
        <v>1188</v>
      </c>
      <c r="AE2" s="263" t="s">
        <v>1672</v>
      </c>
      <c r="AF2" s="263" t="s">
        <v>1189</v>
      </c>
      <c r="AG2" s="263" t="s">
        <v>1673</v>
      </c>
      <c r="AH2" s="263" t="s">
        <v>1674</v>
      </c>
      <c r="AI2" s="263" t="s">
        <v>1156</v>
      </c>
      <c r="AJ2" s="264" t="s">
        <v>1190</v>
      </c>
    </row>
    <row r="3" spans="1:36" s="265" customFormat="1" ht="13">
      <c r="A3" s="266" t="s">
        <v>898</v>
      </c>
      <c r="B3" s="265" t="s">
        <v>1544</v>
      </c>
      <c r="C3" s="266" t="s">
        <v>1543</v>
      </c>
      <c r="D3" s="266" t="s">
        <v>1150</v>
      </c>
      <c r="E3" s="266" t="s">
        <v>1364</v>
      </c>
      <c r="F3" s="267">
        <v>44021</v>
      </c>
      <c r="G3" s="267">
        <v>44260</v>
      </c>
      <c r="H3" s="266" t="s">
        <v>1366</v>
      </c>
      <c r="I3" s="268" t="s">
        <v>1511</v>
      </c>
      <c r="J3" s="269" t="s">
        <v>1101</v>
      </c>
      <c r="K3" s="269" t="s">
        <v>1101</v>
      </c>
      <c r="L3" s="269"/>
      <c r="M3" s="269"/>
      <c r="N3" s="269"/>
      <c r="O3" s="269"/>
      <c r="P3" s="269"/>
      <c r="Q3" s="269"/>
      <c r="R3" s="269"/>
      <c r="S3" s="269"/>
      <c r="T3" s="269"/>
      <c r="U3" s="269"/>
      <c r="V3" s="269"/>
      <c r="W3" s="269"/>
      <c r="X3" s="269"/>
      <c r="Y3" s="269"/>
      <c r="Z3" s="269"/>
      <c r="AA3" s="269"/>
      <c r="AB3" s="268">
        <v>10</v>
      </c>
      <c r="AC3" s="270" t="s">
        <v>1315</v>
      </c>
      <c r="AD3" s="270"/>
      <c r="AE3" s="270"/>
      <c r="AF3" s="270"/>
      <c r="AG3" s="270"/>
      <c r="AH3" s="270"/>
      <c r="AI3" s="270"/>
      <c r="AJ3" s="271"/>
    </row>
    <row r="4" spans="1:36" s="265" customFormat="1" ht="13">
      <c r="A4" s="266" t="s">
        <v>899</v>
      </c>
      <c r="B4" s="265" t="s">
        <v>1545</v>
      </c>
      <c r="C4" s="266" t="s">
        <v>1546</v>
      </c>
      <c r="D4" s="266" t="s">
        <v>1150</v>
      </c>
      <c r="E4" s="300" t="s">
        <v>1364</v>
      </c>
      <c r="F4" s="272">
        <v>44086</v>
      </c>
      <c r="G4" s="272">
        <v>44258</v>
      </c>
      <c r="H4" s="266" t="s">
        <v>1366</v>
      </c>
      <c r="I4" s="268" t="s">
        <v>1511</v>
      </c>
      <c r="J4" s="269"/>
      <c r="K4" s="269"/>
      <c r="L4" s="269"/>
      <c r="M4" s="269" t="s">
        <v>1101</v>
      </c>
      <c r="N4" s="269" t="s">
        <v>1101</v>
      </c>
      <c r="O4" s="269" t="s">
        <v>1101</v>
      </c>
      <c r="P4" s="269"/>
      <c r="Q4" s="269"/>
      <c r="R4" s="269"/>
      <c r="S4" s="269"/>
      <c r="T4" s="269"/>
      <c r="U4" s="269"/>
      <c r="V4" s="269"/>
      <c r="W4" s="269"/>
      <c r="X4" s="269"/>
      <c r="Y4" s="269"/>
      <c r="Z4" s="269"/>
      <c r="AA4" s="269"/>
      <c r="AB4" s="268">
        <v>11</v>
      </c>
      <c r="AC4" s="270" t="s">
        <v>1315</v>
      </c>
      <c r="AD4" s="270"/>
      <c r="AE4" s="270"/>
      <c r="AF4" s="270"/>
      <c r="AG4" s="270"/>
      <c r="AH4" s="270"/>
      <c r="AI4" s="270"/>
      <c r="AJ4" s="271"/>
    </row>
    <row r="5" spans="1:36" s="265" customFormat="1" ht="13">
      <c r="A5" s="266" t="s">
        <v>900</v>
      </c>
      <c r="B5" s="265" t="s">
        <v>1547</v>
      </c>
      <c r="C5" s="266" t="s">
        <v>1548</v>
      </c>
      <c r="D5" s="266" t="s">
        <v>1150</v>
      </c>
      <c r="E5" s="300" t="s">
        <v>1364</v>
      </c>
      <c r="F5" s="272">
        <v>44062</v>
      </c>
      <c r="G5" s="272">
        <v>44247</v>
      </c>
      <c r="H5" s="266" t="s">
        <v>1366</v>
      </c>
      <c r="I5" s="268" t="s">
        <v>1511</v>
      </c>
      <c r="J5" s="269"/>
      <c r="K5" s="269"/>
      <c r="L5" s="269"/>
      <c r="M5" s="269"/>
      <c r="N5" s="269"/>
      <c r="O5" s="269"/>
      <c r="P5" s="269"/>
      <c r="Q5" s="269"/>
      <c r="R5" s="269"/>
      <c r="S5" s="269"/>
      <c r="T5" s="269"/>
      <c r="U5" s="269" t="s">
        <v>1101</v>
      </c>
      <c r="V5" s="269" t="s">
        <v>1101</v>
      </c>
      <c r="W5" s="269" t="s">
        <v>1101</v>
      </c>
      <c r="X5" s="269"/>
      <c r="Y5" s="269"/>
      <c r="Z5" s="269"/>
      <c r="AA5" s="269"/>
      <c r="AB5" s="268">
        <v>9</v>
      </c>
      <c r="AC5" s="270"/>
      <c r="AD5" s="270" t="s">
        <v>1315</v>
      </c>
      <c r="AE5" s="270"/>
      <c r="AF5" s="270"/>
      <c r="AG5" s="270"/>
      <c r="AH5" s="270"/>
      <c r="AI5" s="270"/>
      <c r="AJ5" s="271"/>
    </row>
    <row r="6" spans="1:36" s="265" customFormat="1" ht="13">
      <c r="A6" s="266" t="s">
        <v>901</v>
      </c>
      <c r="B6" s="265" t="s">
        <v>1549</v>
      </c>
      <c r="C6" s="272" t="s">
        <v>1550</v>
      </c>
      <c r="D6" s="266" t="s">
        <v>1150</v>
      </c>
      <c r="E6" s="300" t="s">
        <v>1364</v>
      </c>
      <c r="F6" s="272" t="s">
        <v>1365</v>
      </c>
      <c r="G6" s="272">
        <v>44265</v>
      </c>
      <c r="H6" s="300" t="s">
        <v>1366</v>
      </c>
      <c r="I6" s="268" t="s">
        <v>1511</v>
      </c>
      <c r="J6" s="269"/>
      <c r="K6" s="269"/>
      <c r="L6" s="269"/>
      <c r="M6" s="269"/>
      <c r="N6" s="269"/>
      <c r="O6" s="269"/>
      <c r="P6" s="269"/>
      <c r="Q6" s="269"/>
      <c r="R6" s="269"/>
      <c r="S6" s="269" t="s">
        <v>1101</v>
      </c>
      <c r="T6" s="269"/>
      <c r="U6" s="269"/>
      <c r="V6" s="269"/>
      <c r="W6" s="269"/>
      <c r="X6" s="269"/>
      <c r="Y6" s="269"/>
      <c r="Z6" s="269"/>
      <c r="AA6" s="269"/>
      <c r="AB6" s="268">
        <v>7</v>
      </c>
      <c r="AC6" s="270"/>
      <c r="AD6" s="270" t="s">
        <v>411</v>
      </c>
      <c r="AE6" s="270"/>
      <c r="AF6" s="270"/>
      <c r="AG6" s="270"/>
      <c r="AH6" s="270"/>
      <c r="AI6" s="270"/>
      <c r="AJ6" s="271"/>
    </row>
    <row r="7" spans="1:36" s="265" customFormat="1" ht="26">
      <c r="A7" s="274" t="s">
        <v>903</v>
      </c>
      <c r="B7" s="274" t="s">
        <v>1360</v>
      </c>
      <c r="C7" s="274" t="s">
        <v>1551</v>
      </c>
      <c r="D7" s="274" t="s">
        <v>1151</v>
      </c>
      <c r="E7" s="275"/>
      <c r="F7" s="276"/>
      <c r="G7" s="276"/>
      <c r="H7" s="300" t="s">
        <v>1366</v>
      </c>
      <c r="I7" s="269" t="s">
        <v>952</v>
      </c>
      <c r="J7" s="269"/>
      <c r="K7" s="269"/>
      <c r="L7" s="269"/>
      <c r="M7" s="269"/>
      <c r="N7" s="269"/>
      <c r="O7" s="269"/>
      <c r="P7" s="269"/>
      <c r="Q7" s="269"/>
      <c r="R7" s="269"/>
      <c r="S7" s="269"/>
      <c r="T7" s="269"/>
      <c r="U7" s="269"/>
      <c r="V7" s="269"/>
      <c r="W7" s="269"/>
      <c r="X7" s="269"/>
      <c r="Y7" s="269" t="s">
        <v>1170</v>
      </c>
      <c r="Z7" s="269"/>
      <c r="AA7" s="269"/>
      <c r="AB7" s="273">
        <v>1</v>
      </c>
      <c r="AC7" s="270"/>
      <c r="AD7" s="270"/>
      <c r="AE7" s="270" t="s">
        <v>411</v>
      </c>
      <c r="AF7" s="270"/>
      <c r="AG7" s="270"/>
      <c r="AH7" s="270"/>
      <c r="AI7" s="270"/>
      <c r="AJ7" s="271"/>
    </row>
    <row r="8" spans="1:36" s="265" customFormat="1" ht="65">
      <c r="A8" s="274" t="s">
        <v>904</v>
      </c>
      <c r="B8" s="274" t="s">
        <v>1361</v>
      </c>
      <c r="C8" s="274" t="s">
        <v>1552</v>
      </c>
      <c r="D8" s="274" t="s">
        <v>1151</v>
      </c>
      <c r="E8" s="275"/>
      <c r="F8" s="276"/>
      <c r="G8" s="276"/>
      <c r="H8" s="300" t="s">
        <v>1366</v>
      </c>
      <c r="I8" s="269" t="s">
        <v>952</v>
      </c>
      <c r="J8" s="269"/>
      <c r="K8" s="269"/>
      <c r="L8" s="269"/>
      <c r="M8" s="269"/>
      <c r="N8" s="269"/>
      <c r="O8" s="269"/>
      <c r="P8" s="269" t="s">
        <v>1170</v>
      </c>
      <c r="Q8" s="269" t="s">
        <v>1170</v>
      </c>
      <c r="R8" s="269" t="s">
        <v>1170</v>
      </c>
      <c r="S8" s="269"/>
      <c r="T8" s="269"/>
      <c r="U8" s="269"/>
      <c r="V8" s="269"/>
      <c r="W8" s="269"/>
      <c r="X8" s="269" t="s">
        <v>1170</v>
      </c>
      <c r="Y8" s="269"/>
      <c r="Z8" s="269" t="s">
        <v>1170</v>
      </c>
      <c r="AA8" s="269"/>
      <c r="AB8" s="273">
        <v>1</v>
      </c>
      <c r="AC8" s="270"/>
      <c r="AD8" s="270"/>
      <c r="AE8" s="270"/>
      <c r="AF8" s="270" t="s">
        <v>411</v>
      </c>
      <c r="AG8" s="270" t="s">
        <v>411</v>
      </c>
      <c r="AH8" s="270"/>
      <c r="AI8" s="270"/>
      <c r="AJ8" s="271"/>
    </row>
    <row r="9" spans="1:36" s="265" customFormat="1" ht="39">
      <c r="A9" s="274" t="s">
        <v>905</v>
      </c>
      <c r="B9" s="274" t="s">
        <v>1362</v>
      </c>
      <c r="C9" s="274" t="s">
        <v>1553</v>
      </c>
      <c r="D9" s="274" t="s">
        <v>1151</v>
      </c>
      <c r="E9" s="275"/>
      <c r="F9" s="276"/>
      <c r="G9" s="276"/>
      <c r="H9" s="300" t="s">
        <v>1366</v>
      </c>
      <c r="I9" s="269" t="s">
        <v>952</v>
      </c>
      <c r="J9" s="269"/>
      <c r="K9" s="269"/>
      <c r="L9" s="269"/>
      <c r="M9" s="269"/>
      <c r="N9" s="269"/>
      <c r="O9" s="269"/>
      <c r="P9" s="269"/>
      <c r="Q9" s="269"/>
      <c r="R9" s="269"/>
      <c r="S9" s="269"/>
      <c r="T9" s="269" t="s">
        <v>1170</v>
      </c>
      <c r="U9" s="269"/>
      <c r="V9" s="269"/>
      <c r="W9" s="269"/>
      <c r="X9" s="269"/>
      <c r="Y9" s="269"/>
      <c r="Z9" s="269"/>
      <c r="AA9" s="269"/>
      <c r="AB9" s="273">
        <v>1</v>
      </c>
      <c r="AC9" s="270"/>
      <c r="AD9" s="270"/>
      <c r="AE9" s="270"/>
      <c r="AF9" s="270"/>
      <c r="AG9" s="270"/>
      <c r="AH9" s="270" t="s">
        <v>411</v>
      </c>
      <c r="AI9" s="270"/>
      <c r="AJ9" s="271"/>
    </row>
    <row r="10" spans="1:36" s="265" customFormat="1" ht="26">
      <c r="A10" s="274" t="s">
        <v>906</v>
      </c>
      <c r="B10" s="274" t="s">
        <v>1363</v>
      </c>
      <c r="C10" s="274" t="s">
        <v>1554</v>
      </c>
      <c r="D10" s="274" t="s">
        <v>1151</v>
      </c>
      <c r="E10" s="275"/>
      <c r="F10" s="276"/>
      <c r="G10" s="276"/>
      <c r="H10" s="300" t="s">
        <v>1366</v>
      </c>
      <c r="I10" s="269" t="s">
        <v>952</v>
      </c>
      <c r="J10" s="269"/>
      <c r="K10" s="269"/>
      <c r="L10" s="269" t="s">
        <v>1170</v>
      </c>
      <c r="M10" s="269"/>
      <c r="N10" s="269"/>
      <c r="O10" s="269"/>
      <c r="P10" s="269"/>
      <c r="Q10" s="269"/>
      <c r="R10" s="269"/>
      <c r="S10" s="269"/>
      <c r="T10" s="269"/>
      <c r="U10" s="269"/>
      <c r="V10" s="269"/>
      <c r="W10" s="269"/>
      <c r="X10" s="269"/>
      <c r="Y10" s="269"/>
      <c r="Z10" s="269"/>
      <c r="AA10" s="269"/>
      <c r="AB10" s="273">
        <v>1</v>
      </c>
      <c r="AC10" s="270"/>
      <c r="AD10" s="270"/>
      <c r="AE10" s="270"/>
      <c r="AF10" s="270"/>
      <c r="AG10" s="270"/>
      <c r="AH10" s="270"/>
      <c r="AI10" s="270" t="s">
        <v>411</v>
      </c>
      <c r="AJ10" s="271"/>
    </row>
    <row r="20" spans="3:3">
      <c r="C20" s="117"/>
    </row>
    <row r="23" spans="3:3">
      <c r="C23" s="419" t="s">
        <v>1667</v>
      </c>
    </row>
    <row r="24" spans="3:3" ht="40.5" customHeight="1">
      <c r="C24" s="117" t="s">
        <v>1621</v>
      </c>
    </row>
    <row r="25" spans="3:3" ht="40.5" customHeight="1">
      <c r="C25" s="117" t="s">
        <v>1620</v>
      </c>
    </row>
    <row r="26" spans="3:3" ht="40.5" customHeight="1">
      <c r="C26" s="117" t="s">
        <v>1619</v>
      </c>
    </row>
    <row r="27" spans="3:3" ht="40.5" customHeight="1">
      <c r="C27" s="117" t="s">
        <v>1622</v>
      </c>
    </row>
  </sheetData>
  <sortState xmlns:xlrd2="http://schemas.microsoft.com/office/spreadsheetml/2017/richdata2" ref="A3:AA6">
    <sortCondition ref="A3:A6"/>
  </sortState>
  <mergeCells count="1">
    <mergeCell ref="AC1:AJ1"/>
  </mergeCells>
  <phoneticPr fontId="54" type="noConversion"/>
  <conditionalFormatting sqref="J3:AA12">
    <cfRule type="cellIs" dxfId="121" priority="6" operator="equal">
      <formula>"s"</formula>
    </cfRule>
    <cfRule type="cellIs" dxfId="120" priority="7" operator="equal">
      <formula>"a"</formula>
    </cfRule>
  </conditionalFormatting>
  <conditionalFormatting sqref="AC3:AE10 AG3:AI10">
    <cfRule type="cellIs" dxfId="119" priority="2" operator="equal">
      <formula>"x"</formula>
    </cfRule>
  </conditionalFormatting>
  <conditionalFormatting sqref="AF3:AF10">
    <cfRule type="cellIs" dxfId="118" priority="1" operator="equal">
      <formula>"x"</formula>
    </cfRule>
  </conditionalFormatting>
  <pageMargins left="0.7" right="0.7" top="0.75" bottom="0.75" header="0.3" footer="0.3"/>
  <pageSetup paperSize="9" scale="60" fitToHeight="0" orientation="landscape" r:id="rId1"/>
  <legacy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2047CF-C703-490B-968A-C666E0557B73}">
  <sheetPr codeName="Sheet141">
    <tabColor theme="5" tint="0.79998168889431442"/>
    <pageSetUpPr fitToPage="1"/>
  </sheetPr>
  <dimension ref="A1:Z30"/>
  <sheetViews>
    <sheetView zoomScale="70" zoomScaleNormal="70" workbookViewId="0">
      <selection activeCell="L11" sqref="L11"/>
    </sheetView>
  </sheetViews>
  <sheetFormatPr defaultColWidth="10.81640625" defaultRowHeight="15.5"/>
  <cols>
    <col min="1" max="1" width="11.453125" style="62" customWidth="1"/>
    <col min="2" max="2" width="22.08984375" style="62" customWidth="1"/>
    <col min="3" max="3" width="36.6328125" style="62" bestFit="1" customWidth="1"/>
    <col min="4" max="4" width="26.453125" style="62" bestFit="1" customWidth="1"/>
    <col min="5" max="5" width="42.1796875" style="62" customWidth="1"/>
    <col min="6" max="25" width="7.90625" style="63" customWidth="1"/>
    <col min="26" max="16384" width="10.81640625" style="62"/>
  </cols>
  <sheetData>
    <row r="1" spans="1:26" s="60" customFormat="1" ht="18.5">
      <c r="A1" s="302" t="s">
        <v>1019</v>
      </c>
      <c r="B1" s="303"/>
      <c r="C1" s="304"/>
      <c r="D1" s="305"/>
      <c r="E1" s="313"/>
      <c r="F1" s="260">
        <f t="shared" ref="F1:Y1" si="0">COUNTIF(F3:F1048576,"=x")</f>
        <v>5</v>
      </c>
      <c r="G1" s="260">
        <f t="shared" si="0"/>
        <v>1</v>
      </c>
      <c r="H1" s="260">
        <f t="shared" si="0"/>
        <v>6</v>
      </c>
      <c r="I1" s="260">
        <f t="shared" si="0"/>
        <v>4</v>
      </c>
      <c r="J1" s="260">
        <f t="shared" si="0"/>
        <v>0</v>
      </c>
      <c r="K1" s="260">
        <f t="shared" si="0"/>
        <v>0</v>
      </c>
      <c r="L1" s="260">
        <f t="shared" si="0"/>
        <v>1</v>
      </c>
      <c r="M1" s="260">
        <f t="shared" si="0"/>
        <v>4</v>
      </c>
      <c r="N1" s="260">
        <f t="shared" si="0"/>
        <v>1</v>
      </c>
      <c r="O1" s="260">
        <f t="shared" si="0"/>
        <v>20</v>
      </c>
      <c r="P1" s="260">
        <f t="shared" si="0"/>
        <v>4</v>
      </c>
      <c r="Q1" s="260">
        <f t="shared" si="0"/>
        <v>1</v>
      </c>
      <c r="R1" s="260">
        <f t="shared" si="0"/>
        <v>1</v>
      </c>
      <c r="S1" s="260">
        <f t="shared" si="0"/>
        <v>1</v>
      </c>
      <c r="T1" s="260">
        <f t="shared" si="0"/>
        <v>4</v>
      </c>
      <c r="U1" s="260">
        <f t="shared" si="0"/>
        <v>4</v>
      </c>
      <c r="V1" s="260">
        <f t="shared" si="0"/>
        <v>4</v>
      </c>
      <c r="W1" s="260">
        <f t="shared" si="0"/>
        <v>8</v>
      </c>
      <c r="X1" s="260">
        <f t="shared" si="0"/>
        <v>8</v>
      </c>
      <c r="Y1" s="260">
        <f t="shared" si="0"/>
        <v>0</v>
      </c>
    </row>
    <row r="2" spans="1:26" s="60" customFormat="1">
      <c r="A2" s="290" t="s">
        <v>881</v>
      </c>
      <c r="B2" s="290" t="s">
        <v>907</v>
      </c>
      <c r="C2" s="290" t="s">
        <v>13</v>
      </c>
      <c r="D2" s="290" t="s">
        <v>908</v>
      </c>
      <c r="E2" s="290" t="s">
        <v>909</v>
      </c>
      <c r="F2" s="291" t="s">
        <v>895</v>
      </c>
      <c r="G2" s="291" t="s">
        <v>751</v>
      </c>
      <c r="H2" s="291" t="s">
        <v>896</v>
      </c>
      <c r="I2" s="291" t="s">
        <v>892</v>
      </c>
      <c r="J2" s="291" t="s">
        <v>910</v>
      </c>
      <c r="K2" s="291" t="s">
        <v>911</v>
      </c>
      <c r="L2" s="291" t="s">
        <v>888</v>
      </c>
      <c r="M2" s="291" t="s">
        <v>893</v>
      </c>
      <c r="N2" s="291" t="s">
        <v>753</v>
      </c>
      <c r="O2" s="291" t="s">
        <v>885</v>
      </c>
      <c r="P2" s="291" t="s">
        <v>894</v>
      </c>
      <c r="Q2" s="291" t="s">
        <v>889</v>
      </c>
      <c r="R2" s="291" t="s">
        <v>890</v>
      </c>
      <c r="S2" s="291" t="s">
        <v>836</v>
      </c>
      <c r="T2" s="291" t="s">
        <v>883</v>
      </c>
      <c r="U2" s="291" t="s">
        <v>886</v>
      </c>
      <c r="V2" s="291" t="s">
        <v>891</v>
      </c>
      <c r="W2" s="291" t="s">
        <v>884</v>
      </c>
      <c r="X2" s="291" t="s">
        <v>887</v>
      </c>
      <c r="Y2" s="291" t="s">
        <v>897</v>
      </c>
    </row>
    <row r="3" spans="1:26" s="310" customFormat="1">
      <c r="A3" s="322" t="s">
        <v>898</v>
      </c>
      <c r="B3" s="413" t="str">
        <f t="shared" ref="B3:B27" si="1">VLOOKUP(A3,tbl_projectNames,2,FALSE)</f>
        <v>P1-Falcon9</v>
      </c>
      <c r="C3" s="322" t="s">
        <v>1555</v>
      </c>
      <c r="D3" s="321" t="s">
        <v>912</v>
      </c>
      <c r="E3" s="329" t="str">
        <f t="shared" ref="E3:E27" si="2">_xlfn.CONCAT(D3," function in OU")</f>
        <v>Analyst function in OU</v>
      </c>
      <c r="F3" s="292"/>
      <c r="G3" s="292"/>
      <c r="H3" s="292"/>
      <c r="I3" s="292"/>
      <c r="J3" s="292"/>
      <c r="K3" s="292"/>
      <c r="L3" s="292"/>
      <c r="M3" s="292"/>
      <c r="N3" s="292"/>
      <c r="O3" s="292" t="s">
        <v>411</v>
      </c>
      <c r="P3" s="292"/>
      <c r="Q3" s="292"/>
      <c r="R3" s="292"/>
      <c r="S3" s="292"/>
      <c r="T3" s="292"/>
      <c r="U3" s="292" t="s">
        <v>411</v>
      </c>
      <c r="V3" s="292"/>
      <c r="W3" s="292"/>
      <c r="X3" s="292"/>
      <c r="Y3" s="292"/>
      <c r="Z3" s="63"/>
    </row>
    <row r="4" spans="1:26" s="310" customFormat="1">
      <c r="A4" s="322" t="s">
        <v>898</v>
      </c>
      <c r="B4" s="413" t="str">
        <f t="shared" si="1"/>
        <v>P1-Falcon9</v>
      </c>
      <c r="C4" s="322" t="s">
        <v>1556</v>
      </c>
      <c r="D4" s="321" t="s">
        <v>913</v>
      </c>
      <c r="E4" s="329" t="str">
        <f t="shared" si="2"/>
        <v>Designer function in OU</v>
      </c>
      <c r="F4" s="292"/>
      <c r="G4" s="292"/>
      <c r="H4" s="292"/>
      <c r="I4" s="292"/>
      <c r="J4" s="292"/>
      <c r="K4" s="292"/>
      <c r="L4" s="292"/>
      <c r="M4" s="292"/>
      <c r="N4" s="292"/>
      <c r="O4" s="292" t="s">
        <v>411</v>
      </c>
      <c r="P4" s="292"/>
      <c r="Q4" s="292"/>
      <c r="R4" s="292"/>
      <c r="S4" s="292"/>
      <c r="T4" s="292"/>
      <c r="U4" s="292"/>
      <c r="V4" s="292"/>
      <c r="W4" s="292" t="s">
        <v>411</v>
      </c>
      <c r="X4" s="292"/>
      <c r="Y4" s="292"/>
      <c r="Z4" s="63"/>
    </row>
    <row r="5" spans="1:26" s="310" customFormat="1">
      <c r="A5" s="322" t="s">
        <v>898</v>
      </c>
      <c r="B5" s="413" t="str">
        <f t="shared" si="1"/>
        <v>P1-Falcon9</v>
      </c>
      <c r="C5" s="322" t="s">
        <v>1557</v>
      </c>
      <c r="D5" s="321" t="s">
        <v>1155</v>
      </c>
      <c r="E5" s="329" t="str">
        <f t="shared" si="2"/>
        <v>Developer function in OU</v>
      </c>
      <c r="F5" s="292"/>
      <c r="G5" s="292"/>
      <c r="H5" s="292"/>
      <c r="I5" s="292"/>
      <c r="J5" s="292"/>
      <c r="K5" s="292"/>
      <c r="L5" s="292"/>
      <c r="M5" s="292"/>
      <c r="N5" s="292"/>
      <c r="O5" s="292" t="s">
        <v>411</v>
      </c>
      <c r="P5" s="292"/>
      <c r="Q5" s="292"/>
      <c r="R5" s="292"/>
      <c r="S5" s="292"/>
      <c r="T5" s="292" t="s">
        <v>411</v>
      </c>
      <c r="U5" s="292"/>
      <c r="V5" s="292"/>
      <c r="W5" s="292" t="s">
        <v>411</v>
      </c>
      <c r="X5" s="292" t="s">
        <v>411</v>
      </c>
      <c r="Y5" s="292"/>
      <c r="Z5" s="63"/>
    </row>
    <row r="6" spans="1:26" s="310" customFormat="1">
      <c r="A6" s="322" t="s">
        <v>898</v>
      </c>
      <c r="B6" s="413" t="str">
        <f t="shared" si="1"/>
        <v>P1-Falcon9</v>
      </c>
      <c r="C6" s="322" t="s">
        <v>1558</v>
      </c>
      <c r="D6" s="321" t="s">
        <v>1300</v>
      </c>
      <c r="E6" s="329" t="str">
        <f t="shared" si="2"/>
        <v>Tester function in OU</v>
      </c>
      <c r="F6" s="292"/>
      <c r="G6" s="292"/>
      <c r="H6" s="292"/>
      <c r="I6" s="292"/>
      <c r="J6" s="292"/>
      <c r="K6" s="292"/>
      <c r="L6" s="292"/>
      <c r="M6" s="292"/>
      <c r="N6" s="292"/>
      <c r="O6" s="292" t="s">
        <v>411</v>
      </c>
      <c r="P6" s="292"/>
      <c r="Q6" s="292"/>
      <c r="R6" s="292"/>
      <c r="S6" s="292"/>
      <c r="T6" s="292"/>
      <c r="U6" s="292"/>
      <c r="V6" s="292"/>
      <c r="W6" s="292"/>
      <c r="X6" s="292" t="s">
        <v>411</v>
      </c>
      <c r="Y6" s="292"/>
      <c r="Z6" s="63"/>
    </row>
    <row r="7" spans="1:26" s="310" customFormat="1">
      <c r="A7" s="322" t="s">
        <v>898</v>
      </c>
      <c r="B7" s="413" t="str">
        <f t="shared" si="1"/>
        <v>P1-Falcon9</v>
      </c>
      <c r="C7" s="322" t="s">
        <v>1559</v>
      </c>
      <c r="D7" s="322" t="s">
        <v>1369</v>
      </c>
      <c r="E7" s="329" t="str">
        <f t="shared" si="2"/>
        <v>Project Manager function in OU</v>
      </c>
      <c r="F7" s="292" t="s">
        <v>411</v>
      </c>
      <c r="G7" s="292"/>
      <c r="H7" s="292" t="s">
        <v>411</v>
      </c>
      <c r="I7" s="292" t="s">
        <v>411</v>
      </c>
      <c r="J7" s="292"/>
      <c r="K7" s="292"/>
      <c r="L7" s="292"/>
      <c r="M7" s="292" t="s">
        <v>411</v>
      </c>
      <c r="N7" s="292"/>
      <c r="O7" s="292" t="s">
        <v>411</v>
      </c>
      <c r="P7" s="292" t="s">
        <v>411</v>
      </c>
      <c r="Q7" s="292"/>
      <c r="R7" s="292"/>
      <c r="S7" s="292"/>
      <c r="T7" s="292"/>
      <c r="U7" s="292"/>
      <c r="V7" s="292" t="s">
        <v>411</v>
      </c>
      <c r="W7" s="292"/>
      <c r="X7" s="292"/>
      <c r="Y7" s="292"/>
      <c r="Z7" s="63"/>
    </row>
    <row r="8" spans="1:26" s="310" customFormat="1">
      <c r="A8" s="322" t="s">
        <v>899</v>
      </c>
      <c r="B8" s="413" t="str">
        <f t="shared" si="1"/>
        <v>P2-Raptor</v>
      </c>
      <c r="C8" s="322" t="s">
        <v>1560</v>
      </c>
      <c r="D8" s="322" t="s">
        <v>912</v>
      </c>
      <c r="E8" s="329" t="str">
        <f t="shared" si="2"/>
        <v>Analyst function in OU</v>
      </c>
      <c r="F8" s="292"/>
      <c r="G8" s="292"/>
      <c r="H8" s="292"/>
      <c r="I8" s="292"/>
      <c r="J8" s="292"/>
      <c r="K8" s="292"/>
      <c r="L8" s="292"/>
      <c r="M8" s="292"/>
      <c r="N8" s="292"/>
      <c r="O8" s="292" t="s">
        <v>411</v>
      </c>
      <c r="P8" s="292"/>
      <c r="Q8" s="292"/>
      <c r="R8" s="292"/>
      <c r="S8" s="292"/>
      <c r="T8" s="292"/>
      <c r="U8" s="292" t="s">
        <v>411</v>
      </c>
      <c r="V8" s="292"/>
      <c r="W8" s="292"/>
      <c r="X8" s="292"/>
      <c r="Y8" s="292"/>
      <c r="Z8" s="63"/>
    </row>
    <row r="9" spans="1:26" s="310" customFormat="1">
      <c r="A9" s="322" t="s">
        <v>899</v>
      </c>
      <c r="B9" s="413" t="str">
        <f t="shared" si="1"/>
        <v>P2-Raptor</v>
      </c>
      <c r="C9" s="322" t="s">
        <v>1561</v>
      </c>
      <c r="D9" s="322" t="s">
        <v>913</v>
      </c>
      <c r="E9" s="329" t="str">
        <f t="shared" si="2"/>
        <v>Designer function in OU</v>
      </c>
      <c r="F9" s="292"/>
      <c r="G9" s="292"/>
      <c r="H9" s="292"/>
      <c r="I9" s="292"/>
      <c r="J9" s="292"/>
      <c r="K9" s="292"/>
      <c r="L9" s="292"/>
      <c r="M9" s="292"/>
      <c r="N9" s="292"/>
      <c r="O9" s="292" t="s">
        <v>411</v>
      </c>
      <c r="P9" s="292"/>
      <c r="Q9" s="292"/>
      <c r="R9" s="292"/>
      <c r="S9" s="292"/>
      <c r="T9" s="292"/>
      <c r="U9" s="292"/>
      <c r="V9" s="292"/>
      <c r="W9" s="292" t="s">
        <v>411</v>
      </c>
      <c r="X9" s="292"/>
      <c r="Y9" s="292"/>
      <c r="Z9" s="63"/>
    </row>
    <row r="10" spans="1:26" s="310" customFormat="1">
      <c r="A10" s="320" t="s">
        <v>899</v>
      </c>
      <c r="B10" s="413" t="str">
        <f t="shared" si="1"/>
        <v>P2-Raptor</v>
      </c>
      <c r="C10" s="322" t="s">
        <v>1562</v>
      </c>
      <c r="D10" s="320" t="s">
        <v>1155</v>
      </c>
      <c r="E10" s="329" t="str">
        <f t="shared" si="2"/>
        <v>Developer function in OU</v>
      </c>
      <c r="F10" s="292"/>
      <c r="G10" s="292"/>
      <c r="H10" s="292"/>
      <c r="I10" s="292"/>
      <c r="J10" s="292"/>
      <c r="K10" s="292"/>
      <c r="L10" s="292"/>
      <c r="M10" s="292"/>
      <c r="N10" s="292"/>
      <c r="O10" s="292" t="s">
        <v>411</v>
      </c>
      <c r="P10" s="292"/>
      <c r="Q10" s="292"/>
      <c r="R10" s="292"/>
      <c r="S10" s="292"/>
      <c r="T10" s="292" t="s">
        <v>411</v>
      </c>
      <c r="U10" s="292"/>
      <c r="V10" s="292"/>
      <c r="W10" s="292" t="s">
        <v>411</v>
      </c>
      <c r="X10" s="292" t="s">
        <v>411</v>
      </c>
      <c r="Y10" s="292"/>
      <c r="Z10" s="63"/>
    </row>
    <row r="11" spans="1:26" s="310" customFormat="1">
      <c r="A11" s="322" t="s">
        <v>899</v>
      </c>
      <c r="B11" s="413" t="str">
        <f t="shared" si="1"/>
        <v>P2-Raptor</v>
      </c>
      <c r="C11" s="322" t="s">
        <v>1563</v>
      </c>
      <c r="D11" s="322" t="s">
        <v>1300</v>
      </c>
      <c r="E11" s="329" t="str">
        <f t="shared" si="2"/>
        <v>Tester function in OU</v>
      </c>
      <c r="F11" s="292"/>
      <c r="G11" s="292"/>
      <c r="H11" s="292"/>
      <c r="I11" s="292"/>
      <c r="J11" s="292"/>
      <c r="K11" s="292"/>
      <c r="L11" s="292"/>
      <c r="M11" s="292"/>
      <c r="N11" s="292"/>
      <c r="O11" s="292" t="s">
        <v>411</v>
      </c>
      <c r="P11" s="292"/>
      <c r="Q11" s="292"/>
      <c r="R11" s="292"/>
      <c r="S11" s="292"/>
      <c r="T11" s="292"/>
      <c r="U11" s="292"/>
      <c r="V11" s="292"/>
      <c r="W11" s="292"/>
      <c r="X11" s="292" t="s">
        <v>411</v>
      </c>
      <c r="Y11" s="292"/>
      <c r="Z11" s="63"/>
    </row>
    <row r="12" spans="1:26" s="310" customFormat="1">
      <c r="A12" s="322" t="s">
        <v>899</v>
      </c>
      <c r="B12" s="413" t="str">
        <f t="shared" si="1"/>
        <v>P2-Raptor</v>
      </c>
      <c r="C12" s="322" t="s">
        <v>1564</v>
      </c>
      <c r="D12" s="322" t="s">
        <v>1369</v>
      </c>
      <c r="E12" s="329" t="str">
        <f t="shared" si="2"/>
        <v>Project Manager function in OU</v>
      </c>
      <c r="F12" s="292" t="s">
        <v>411</v>
      </c>
      <c r="G12" s="292"/>
      <c r="H12" s="292" t="s">
        <v>411</v>
      </c>
      <c r="I12" s="292" t="s">
        <v>411</v>
      </c>
      <c r="J12" s="292"/>
      <c r="K12" s="292"/>
      <c r="L12" s="292"/>
      <c r="M12" s="292" t="s">
        <v>411</v>
      </c>
      <c r="N12" s="292"/>
      <c r="O12" s="292" t="s">
        <v>411</v>
      </c>
      <c r="P12" s="292" t="s">
        <v>411</v>
      </c>
      <c r="Q12" s="292"/>
      <c r="R12" s="292"/>
      <c r="S12" s="292"/>
      <c r="T12" s="292"/>
      <c r="U12" s="292"/>
      <c r="V12" s="292" t="s">
        <v>411</v>
      </c>
      <c r="W12" s="292"/>
      <c r="X12" s="292"/>
      <c r="Y12" s="292"/>
      <c r="Z12" s="63"/>
    </row>
    <row r="13" spans="1:26" s="310" customFormat="1">
      <c r="A13" s="322" t="s">
        <v>900</v>
      </c>
      <c r="B13" s="413" t="str">
        <f t="shared" si="1"/>
        <v>P3-Starship</v>
      </c>
      <c r="C13" s="322" t="s">
        <v>1565</v>
      </c>
      <c r="D13" s="322" t="s">
        <v>912</v>
      </c>
      <c r="E13" s="329" t="str">
        <f t="shared" si="2"/>
        <v>Analyst function in OU</v>
      </c>
      <c r="F13" s="292"/>
      <c r="G13" s="292"/>
      <c r="H13" s="292"/>
      <c r="I13" s="292"/>
      <c r="J13" s="292"/>
      <c r="K13" s="292"/>
      <c r="L13" s="292"/>
      <c r="M13" s="292"/>
      <c r="N13" s="292"/>
      <c r="O13" s="292" t="s">
        <v>411</v>
      </c>
      <c r="P13" s="292"/>
      <c r="Q13" s="292"/>
      <c r="R13" s="292"/>
      <c r="S13" s="292"/>
      <c r="T13" s="292"/>
      <c r="U13" s="292" t="s">
        <v>411</v>
      </c>
      <c r="V13" s="292"/>
      <c r="W13" s="292"/>
      <c r="X13" s="292"/>
      <c r="Y13" s="292"/>
      <c r="Z13" s="63"/>
    </row>
    <row r="14" spans="1:26" s="310" customFormat="1">
      <c r="A14" s="322" t="s">
        <v>900</v>
      </c>
      <c r="B14" s="413" t="str">
        <f t="shared" si="1"/>
        <v>P3-Starship</v>
      </c>
      <c r="C14" s="322" t="s">
        <v>1566</v>
      </c>
      <c r="D14" s="322" t="s">
        <v>913</v>
      </c>
      <c r="E14" s="329" t="str">
        <f t="shared" si="2"/>
        <v>Designer function in OU</v>
      </c>
      <c r="F14" s="292"/>
      <c r="G14" s="292"/>
      <c r="H14" s="292"/>
      <c r="I14" s="292"/>
      <c r="J14" s="292"/>
      <c r="K14" s="292"/>
      <c r="L14" s="292"/>
      <c r="M14" s="292"/>
      <c r="N14" s="292"/>
      <c r="O14" s="292" t="s">
        <v>411</v>
      </c>
      <c r="P14" s="292"/>
      <c r="Q14" s="292"/>
      <c r="R14" s="292"/>
      <c r="S14" s="292"/>
      <c r="T14" s="292"/>
      <c r="U14" s="292"/>
      <c r="V14" s="292"/>
      <c r="W14" s="292" t="s">
        <v>411</v>
      </c>
      <c r="X14" s="292"/>
      <c r="Y14" s="292"/>
      <c r="Z14" s="63"/>
    </row>
    <row r="15" spans="1:26" s="310" customFormat="1">
      <c r="A15" s="322" t="s">
        <v>900</v>
      </c>
      <c r="B15" s="413" t="str">
        <f t="shared" si="1"/>
        <v>P3-Starship</v>
      </c>
      <c r="C15" s="322" t="s">
        <v>1567</v>
      </c>
      <c r="D15" s="322" t="s">
        <v>1155</v>
      </c>
      <c r="E15" s="329" t="str">
        <f t="shared" si="2"/>
        <v>Developer function in OU</v>
      </c>
      <c r="F15" s="292"/>
      <c r="G15" s="292"/>
      <c r="H15" s="292"/>
      <c r="I15" s="292"/>
      <c r="J15" s="292"/>
      <c r="K15" s="292"/>
      <c r="L15" s="292"/>
      <c r="M15" s="292"/>
      <c r="N15" s="292"/>
      <c r="O15" s="292" t="s">
        <v>411</v>
      </c>
      <c r="P15" s="292"/>
      <c r="Q15" s="292"/>
      <c r="R15" s="292"/>
      <c r="S15" s="292"/>
      <c r="T15" s="292" t="s">
        <v>411</v>
      </c>
      <c r="U15" s="292"/>
      <c r="V15" s="292"/>
      <c r="W15" s="292" t="s">
        <v>411</v>
      </c>
      <c r="X15" s="292" t="s">
        <v>411</v>
      </c>
      <c r="Y15" s="292"/>
      <c r="Z15" s="63"/>
    </row>
    <row r="16" spans="1:26" s="310" customFormat="1">
      <c r="A16" s="322" t="s">
        <v>900</v>
      </c>
      <c r="B16" s="413" t="str">
        <f t="shared" si="1"/>
        <v>P3-Starship</v>
      </c>
      <c r="C16" s="322" t="s">
        <v>1568</v>
      </c>
      <c r="D16" s="322" t="s">
        <v>1300</v>
      </c>
      <c r="E16" s="329" t="str">
        <f t="shared" si="2"/>
        <v>Tester function in OU</v>
      </c>
      <c r="F16" s="292"/>
      <c r="G16" s="292"/>
      <c r="H16" s="292"/>
      <c r="I16" s="292"/>
      <c r="J16" s="292"/>
      <c r="K16" s="292"/>
      <c r="L16" s="292"/>
      <c r="M16" s="292"/>
      <c r="N16" s="292"/>
      <c r="O16" s="292" t="s">
        <v>411</v>
      </c>
      <c r="P16" s="292"/>
      <c r="Q16" s="292"/>
      <c r="R16" s="292"/>
      <c r="S16" s="292"/>
      <c r="T16" s="292"/>
      <c r="U16" s="292"/>
      <c r="V16" s="292"/>
      <c r="W16" s="292"/>
      <c r="X16" s="292" t="s">
        <v>411</v>
      </c>
      <c r="Y16" s="292"/>
      <c r="Z16" s="63"/>
    </row>
    <row r="17" spans="1:26" s="310" customFormat="1">
      <c r="A17" s="322" t="s">
        <v>900</v>
      </c>
      <c r="B17" s="413" t="str">
        <f t="shared" si="1"/>
        <v>P3-Starship</v>
      </c>
      <c r="C17" s="322" t="s">
        <v>1569</v>
      </c>
      <c r="D17" s="322" t="s">
        <v>1369</v>
      </c>
      <c r="E17" s="329" t="str">
        <f t="shared" si="2"/>
        <v>Project Manager function in OU</v>
      </c>
      <c r="F17" s="292" t="s">
        <v>411</v>
      </c>
      <c r="G17" s="292"/>
      <c r="H17" s="292" t="s">
        <v>411</v>
      </c>
      <c r="I17" s="292" t="s">
        <v>411</v>
      </c>
      <c r="J17" s="292"/>
      <c r="K17" s="292"/>
      <c r="L17" s="292"/>
      <c r="M17" s="292" t="s">
        <v>411</v>
      </c>
      <c r="N17" s="292"/>
      <c r="O17" s="292" t="s">
        <v>411</v>
      </c>
      <c r="P17" s="292" t="s">
        <v>411</v>
      </c>
      <c r="Q17" s="292"/>
      <c r="R17" s="292"/>
      <c r="S17" s="292"/>
      <c r="T17" s="292"/>
      <c r="U17" s="292"/>
      <c r="V17" s="292" t="s">
        <v>411</v>
      </c>
      <c r="W17" s="292"/>
      <c r="X17" s="292"/>
      <c r="Y17" s="292"/>
      <c r="Z17" s="63"/>
    </row>
    <row r="18" spans="1:26" s="310" customFormat="1">
      <c r="A18" s="320" t="s">
        <v>1359</v>
      </c>
      <c r="B18" s="413" t="str">
        <f t="shared" si="1"/>
        <v>P4-SupperHeavy</v>
      </c>
      <c r="C18" s="322" t="s">
        <v>1570</v>
      </c>
      <c r="D18" s="320" t="s">
        <v>912</v>
      </c>
      <c r="E18" s="329" t="str">
        <f t="shared" si="2"/>
        <v>Analyst function in OU</v>
      </c>
      <c r="F18" s="292"/>
      <c r="G18" s="292"/>
      <c r="H18" s="292"/>
      <c r="I18" s="292"/>
      <c r="J18" s="292"/>
      <c r="K18" s="292"/>
      <c r="L18" s="292"/>
      <c r="M18" s="292"/>
      <c r="N18" s="292"/>
      <c r="O18" s="292" t="s">
        <v>411</v>
      </c>
      <c r="P18" s="292"/>
      <c r="Q18" s="292"/>
      <c r="R18" s="292"/>
      <c r="S18" s="292"/>
      <c r="T18" s="292"/>
      <c r="U18" s="292" t="s">
        <v>411</v>
      </c>
      <c r="V18" s="292"/>
      <c r="W18" s="292"/>
      <c r="X18" s="292"/>
      <c r="Y18" s="292"/>
      <c r="Z18" s="63"/>
    </row>
    <row r="19" spans="1:26" s="310" customFormat="1">
      <c r="A19" s="320" t="s">
        <v>1359</v>
      </c>
      <c r="B19" s="413" t="str">
        <f t="shared" si="1"/>
        <v>P4-SupperHeavy</v>
      </c>
      <c r="C19" s="322" t="s">
        <v>1571</v>
      </c>
      <c r="D19" s="320" t="s">
        <v>913</v>
      </c>
      <c r="E19" s="329" t="str">
        <f t="shared" si="2"/>
        <v>Designer function in OU</v>
      </c>
      <c r="F19" s="292"/>
      <c r="G19" s="292"/>
      <c r="H19" s="292"/>
      <c r="I19" s="292"/>
      <c r="J19" s="292"/>
      <c r="K19" s="292"/>
      <c r="L19" s="292"/>
      <c r="M19" s="292"/>
      <c r="N19" s="292"/>
      <c r="O19" s="292" t="s">
        <v>411</v>
      </c>
      <c r="P19" s="292"/>
      <c r="Q19" s="292"/>
      <c r="R19" s="292"/>
      <c r="S19" s="292"/>
      <c r="T19" s="292"/>
      <c r="U19" s="292"/>
      <c r="V19" s="292"/>
      <c r="W19" s="292" t="s">
        <v>411</v>
      </c>
      <c r="X19" s="292"/>
      <c r="Y19" s="292"/>
      <c r="Z19" s="63"/>
    </row>
    <row r="20" spans="1:26" s="310" customFormat="1">
      <c r="A20" s="320" t="s">
        <v>1359</v>
      </c>
      <c r="B20" s="413" t="str">
        <f t="shared" si="1"/>
        <v>P4-SupperHeavy</v>
      </c>
      <c r="C20" s="322" t="s">
        <v>1572</v>
      </c>
      <c r="D20" s="320" t="s">
        <v>1155</v>
      </c>
      <c r="E20" s="329" t="str">
        <f t="shared" si="2"/>
        <v>Developer function in OU</v>
      </c>
      <c r="F20" s="292"/>
      <c r="G20" s="292"/>
      <c r="H20" s="292"/>
      <c r="I20" s="292"/>
      <c r="J20" s="292"/>
      <c r="K20" s="292"/>
      <c r="L20" s="292"/>
      <c r="M20" s="292"/>
      <c r="N20" s="292"/>
      <c r="O20" s="292" t="s">
        <v>411</v>
      </c>
      <c r="P20" s="292"/>
      <c r="Q20" s="292"/>
      <c r="R20" s="292"/>
      <c r="S20" s="292"/>
      <c r="T20" s="292" t="s">
        <v>411</v>
      </c>
      <c r="U20" s="292"/>
      <c r="V20" s="292"/>
      <c r="W20" s="292" t="s">
        <v>411</v>
      </c>
      <c r="X20" s="292" t="s">
        <v>411</v>
      </c>
      <c r="Y20" s="292"/>
      <c r="Z20" s="63"/>
    </row>
    <row r="21" spans="1:26" s="310" customFormat="1">
      <c r="A21" s="320" t="s">
        <v>1359</v>
      </c>
      <c r="B21" s="413" t="str">
        <f t="shared" si="1"/>
        <v>P4-SupperHeavy</v>
      </c>
      <c r="C21" s="322" t="s">
        <v>1573</v>
      </c>
      <c r="D21" s="320" t="s">
        <v>1300</v>
      </c>
      <c r="E21" s="329" t="str">
        <f t="shared" si="2"/>
        <v>Tester function in OU</v>
      </c>
      <c r="F21" s="292"/>
      <c r="G21" s="292"/>
      <c r="H21" s="292"/>
      <c r="I21" s="292"/>
      <c r="J21" s="292"/>
      <c r="K21" s="292"/>
      <c r="L21" s="292"/>
      <c r="M21" s="292"/>
      <c r="N21" s="292"/>
      <c r="O21" s="292" t="s">
        <v>411</v>
      </c>
      <c r="P21" s="292"/>
      <c r="Q21" s="292"/>
      <c r="R21" s="292"/>
      <c r="S21" s="292"/>
      <c r="T21" s="292"/>
      <c r="U21" s="292"/>
      <c r="V21" s="292"/>
      <c r="W21" s="292"/>
      <c r="X21" s="292" t="s">
        <v>411</v>
      </c>
      <c r="Y21" s="292"/>
      <c r="Z21" s="63"/>
    </row>
    <row r="22" spans="1:26" s="310" customFormat="1">
      <c r="A22" s="322" t="s">
        <v>1359</v>
      </c>
      <c r="B22" s="413" t="str">
        <f t="shared" si="1"/>
        <v>P4-SupperHeavy</v>
      </c>
      <c r="C22" s="322" t="s">
        <v>1574</v>
      </c>
      <c r="D22" s="322" t="s">
        <v>1369</v>
      </c>
      <c r="E22" s="329" t="str">
        <f t="shared" si="2"/>
        <v>Project Manager function in OU</v>
      </c>
      <c r="F22" s="292" t="s">
        <v>411</v>
      </c>
      <c r="G22" s="292"/>
      <c r="H22" s="292" t="s">
        <v>411</v>
      </c>
      <c r="I22" s="292" t="s">
        <v>411</v>
      </c>
      <c r="J22" s="292"/>
      <c r="K22" s="292"/>
      <c r="L22" s="292"/>
      <c r="M22" s="292" t="s">
        <v>411</v>
      </c>
      <c r="N22" s="292"/>
      <c r="O22" s="292" t="s">
        <v>411</v>
      </c>
      <c r="P22" s="292" t="s">
        <v>411</v>
      </c>
      <c r="Q22" s="292"/>
      <c r="R22" s="292"/>
      <c r="S22" s="292"/>
      <c r="T22" s="292"/>
      <c r="U22" s="292"/>
      <c r="V22" s="292" t="s">
        <v>411</v>
      </c>
      <c r="W22" s="292"/>
      <c r="X22" s="292"/>
      <c r="Y22" s="292"/>
      <c r="Z22" s="63"/>
    </row>
    <row r="23" spans="1:26" s="310" customFormat="1">
      <c r="A23" s="322" t="s">
        <v>903</v>
      </c>
      <c r="B23" s="413" t="str">
        <f t="shared" si="1"/>
        <v>S1-CM</v>
      </c>
      <c r="C23" s="322" t="s">
        <v>1575</v>
      </c>
      <c r="D23" s="322" t="s">
        <v>1368</v>
      </c>
      <c r="E23" s="329" t="str">
        <f t="shared" si="2"/>
        <v>Configuration Manager function in OU</v>
      </c>
      <c r="F23" s="292"/>
      <c r="G23" s="292" t="s">
        <v>411</v>
      </c>
      <c r="H23" s="292"/>
      <c r="I23" s="292"/>
      <c r="J23" s="292"/>
      <c r="K23" s="292"/>
      <c r="L23" s="292"/>
      <c r="M23" s="292"/>
      <c r="N23" s="292"/>
      <c r="O23" s="292"/>
      <c r="P23" s="292"/>
      <c r="Q23" s="292"/>
      <c r="R23" s="292"/>
      <c r="S23" s="292"/>
      <c r="T23" s="292"/>
      <c r="U23" s="292"/>
      <c r="V23" s="292"/>
      <c r="W23" s="292"/>
      <c r="X23" s="292"/>
      <c r="Y23" s="292"/>
      <c r="Z23" s="63"/>
    </row>
    <row r="24" spans="1:26" s="310" customFormat="1">
      <c r="A24" s="322" t="s">
        <v>904</v>
      </c>
      <c r="B24" s="413" t="str">
        <f t="shared" si="1"/>
        <v>S2-EPG-MA</v>
      </c>
      <c r="C24" s="322" t="s">
        <v>1576</v>
      </c>
      <c r="D24" s="320" t="s">
        <v>1370</v>
      </c>
      <c r="E24" s="329" t="str">
        <f t="shared" si="2"/>
        <v>Process manager function in OU</v>
      </c>
      <c r="F24" s="61"/>
      <c r="G24" s="61"/>
      <c r="H24" s="61" t="s">
        <v>411</v>
      </c>
      <c r="I24" s="61"/>
      <c r="J24" s="61"/>
      <c r="K24" s="61"/>
      <c r="L24" s="61"/>
      <c r="M24" s="61"/>
      <c r="N24" s="61"/>
      <c r="O24" s="61"/>
      <c r="P24" s="61"/>
      <c r="Q24" s="61" t="s">
        <v>411</v>
      </c>
      <c r="R24" s="61" t="s">
        <v>411</v>
      </c>
      <c r="S24" s="61"/>
      <c r="T24" s="61"/>
      <c r="U24" s="61"/>
      <c r="V24" s="61"/>
      <c r="W24" s="61"/>
      <c r="X24" s="61"/>
      <c r="Y24" s="61"/>
      <c r="Z24" s="63"/>
    </row>
    <row r="25" spans="1:26" s="320" customFormat="1">
      <c r="A25" s="322" t="s">
        <v>904</v>
      </c>
      <c r="B25" s="413" t="str">
        <f t="shared" ref="B25" si="3">VLOOKUP(A25,tbl_projectNames,2,FALSE)</f>
        <v>S2-EPG-MA</v>
      </c>
      <c r="C25" s="322" t="s">
        <v>1671</v>
      </c>
      <c r="D25" s="320" t="s">
        <v>1670</v>
      </c>
      <c r="E25" s="329" t="str">
        <f t="shared" ref="E25" si="4">_xlfn.CONCAT(D25," function in OU")</f>
        <v>Measurements manager function in OU</v>
      </c>
      <c r="F25" s="61" t="s">
        <v>411</v>
      </c>
      <c r="G25" s="61"/>
      <c r="H25" s="61" t="s">
        <v>411</v>
      </c>
      <c r="I25" s="61"/>
      <c r="J25" s="61"/>
      <c r="K25" s="61"/>
      <c r="L25" s="61" t="s">
        <v>411</v>
      </c>
      <c r="M25" s="61"/>
      <c r="N25" s="61"/>
      <c r="O25" s="61"/>
      <c r="P25" s="61"/>
      <c r="Q25" s="61"/>
      <c r="R25" s="61"/>
      <c r="S25" s="61"/>
      <c r="T25" s="61"/>
      <c r="U25" s="61"/>
      <c r="V25" s="61"/>
      <c r="W25" s="61"/>
      <c r="X25" s="61"/>
      <c r="Y25" s="61"/>
      <c r="Z25" s="63"/>
    </row>
    <row r="26" spans="1:26" s="310" customFormat="1">
      <c r="A26" s="322" t="s">
        <v>905</v>
      </c>
      <c r="B26" s="413" t="str">
        <f t="shared" si="1"/>
        <v>S3-HR</v>
      </c>
      <c r="C26" s="322" t="s">
        <v>1577</v>
      </c>
      <c r="D26" s="322" t="s">
        <v>1367</v>
      </c>
      <c r="E26" s="329" t="str">
        <f t="shared" si="2"/>
        <v>Training Manager function in OU</v>
      </c>
      <c r="F26" s="292"/>
      <c r="G26" s="292"/>
      <c r="H26" s="292"/>
      <c r="I26" s="292"/>
      <c r="J26" s="292"/>
      <c r="K26" s="292"/>
      <c r="L26" s="292"/>
      <c r="M26" s="292"/>
      <c r="N26" s="292" t="s">
        <v>411</v>
      </c>
      <c r="O26" s="292"/>
      <c r="P26" s="292"/>
      <c r="Q26" s="292"/>
      <c r="R26" s="292"/>
      <c r="S26" s="292"/>
      <c r="T26" s="292"/>
      <c r="U26" s="292"/>
      <c r="V26" s="292"/>
      <c r="W26" s="292"/>
      <c r="X26" s="292"/>
      <c r="Y26" s="292"/>
      <c r="Z26" s="63"/>
    </row>
    <row r="27" spans="1:26" s="310" customFormat="1">
      <c r="A27" s="322" t="s">
        <v>906</v>
      </c>
      <c r="B27" s="413" t="str">
        <f t="shared" si="1"/>
        <v>S4-PPQA</v>
      </c>
      <c r="C27" s="322" t="s">
        <v>1578</v>
      </c>
      <c r="D27" s="322" t="s">
        <v>1250</v>
      </c>
      <c r="E27" s="329" t="str">
        <f t="shared" si="2"/>
        <v>Process Assurance Manager function in OU</v>
      </c>
      <c r="F27" s="292"/>
      <c r="G27" s="292"/>
      <c r="H27" s="292"/>
      <c r="I27" s="292"/>
      <c r="J27" s="292"/>
      <c r="K27" s="292"/>
      <c r="L27" s="292"/>
      <c r="M27" s="292"/>
      <c r="N27" s="292"/>
      <c r="O27" s="292"/>
      <c r="P27" s="292"/>
      <c r="Q27" s="292"/>
      <c r="R27" s="292"/>
      <c r="S27" s="292" t="s">
        <v>411</v>
      </c>
      <c r="T27" s="292"/>
      <c r="U27" s="292"/>
      <c r="V27" s="292"/>
      <c r="W27" s="292"/>
      <c r="X27" s="292"/>
      <c r="Y27" s="292"/>
      <c r="Z27" s="63"/>
    </row>
    <row r="28" spans="1:26" s="310" customFormat="1">
      <c r="A28" s="322"/>
      <c r="B28" s="322"/>
      <c r="C28" s="322"/>
      <c r="D28" s="322"/>
      <c r="E28" s="321"/>
      <c r="F28" s="292"/>
      <c r="G28" s="292"/>
      <c r="H28" s="292"/>
      <c r="I28" s="292"/>
      <c r="J28" s="292"/>
      <c r="K28" s="292"/>
      <c r="L28" s="292"/>
      <c r="M28" s="292"/>
      <c r="N28" s="292"/>
      <c r="O28" s="292"/>
      <c r="P28" s="292"/>
      <c r="Q28" s="292"/>
      <c r="R28" s="292"/>
      <c r="S28" s="292"/>
      <c r="T28" s="292"/>
      <c r="U28" s="292"/>
      <c r="V28" s="292"/>
      <c r="W28" s="292"/>
      <c r="X28" s="292"/>
      <c r="Y28" s="292"/>
      <c r="Z28" s="63"/>
    </row>
    <row r="29" spans="1:26">
      <c r="E29" s="307"/>
      <c r="Z29" s="310"/>
    </row>
    <row r="30" spans="1:26">
      <c r="A30" s="310"/>
      <c r="B30" s="310"/>
      <c r="C30" s="310"/>
      <c r="D30" s="310"/>
      <c r="E30" s="307"/>
      <c r="Z30" s="310"/>
    </row>
  </sheetData>
  <phoneticPr fontId="49" type="noConversion"/>
  <conditionalFormatting sqref="F3:Y23 F26:Y28">
    <cfRule type="cellIs" dxfId="117" priority="4" operator="equal">
      <formula>"x"</formula>
    </cfRule>
  </conditionalFormatting>
  <conditionalFormatting sqref="F24:Y24">
    <cfRule type="cellIs" dxfId="116" priority="1" operator="equal">
      <formula>"x"</formula>
    </cfRule>
  </conditionalFormatting>
  <conditionalFormatting sqref="F25:Y25">
    <cfRule type="cellIs" dxfId="115" priority="2" operator="equal">
      <formula>"x"</formula>
    </cfRule>
  </conditionalFormatting>
  <pageMargins left="0.70866141732283472" right="0.70866141732283472" top="0.74803149606299213" bottom="0.74803149606299213" header="0.31496062992125984" footer="0.31496062992125984"/>
  <pageSetup paperSize="9" scale="47" fitToHeight="0" orientation="landscape"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B1BA98-90F9-40E2-B130-13C86CBD863E}">
  <sheetPr codeName="Sheet142">
    <pageSetUpPr fitToPage="1"/>
  </sheetPr>
  <dimension ref="A1:V15"/>
  <sheetViews>
    <sheetView workbookViewId="0">
      <selection activeCell="C10" sqref="C10:V10"/>
    </sheetView>
  </sheetViews>
  <sheetFormatPr defaultColWidth="10.81640625" defaultRowHeight="15.5"/>
  <cols>
    <col min="1" max="1" width="32.453125" style="62" customWidth="1"/>
    <col min="2" max="2" width="29.7265625" style="62" customWidth="1"/>
    <col min="3" max="22" width="6.453125" style="63" customWidth="1"/>
    <col min="23" max="16384" width="10.81640625" style="62"/>
  </cols>
  <sheetData>
    <row r="1" spans="1:22" s="50" customFormat="1" ht="18.5">
      <c r="A1" s="113" t="s">
        <v>1193</v>
      </c>
      <c r="B1" s="115"/>
      <c r="C1" s="115"/>
      <c r="D1" s="115"/>
      <c r="E1" s="115"/>
      <c r="F1" s="115"/>
      <c r="G1" s="115"/>
      <c r="H1" s="115"/>
      <c r="I1" s="115"/>
      <c r="J1" s="115"/>
      <c r="K1" s="115"/>
      <c r="L1" s="115"/>
      <c r="M1" s="115"/>
      <c r="N1" s="115"/>
      <c r="O1" s="115"/>
      <c r="P1" s="115"/>
      <c r="Q1" s="115"/>
      <c r="R1" s="115"/>
      <c r="S1" s="115"/>
      <c r="T1" s="115"/>
      <c r="U1" s="115"/>
      <c r="V1" s="115"/>
    </row>
    <row r="2" spans="1:22" s="60" customFormat="1">
      <c r="A2" s="58" t="s">
        <v>908</v>
      </c>
      <c r="B2" s="58" t="s">
        <v>1313</v>
      </c>
      <c r="C2" s="59" t="s">
        <v>895</v>
      </c>
      <c r="D2" s="59" t="s">
        <v>751</v>
      </c>
      <c r="E2" s="59" t="s">
        <v>896</v>
      </c>
      <c r="F2" s="59" t="s">
        <v>892</v>
      </c>
      <c r="G2" s="59" t="s">
        <v>910</v>
      </c>
      <c r="H2" s="59" t="s">
        <v>911</v>
      </c>
      <c r="I2" s="59" t="s">
        <v>888</v>
      </c>
      <c r="J2" s="59" t="s">
        <v>893</v>
      </c>
      <c r="K2" s="59" t="s">
        <v>753</v>
      </c>
      <c r="L2" s="59" t="s">
        <v>885</v>
      </c>
      <c r="M2" s="59" t="s">
        <v>894</v>
      </c>
      <c r="N2" s="59" t="s">
        <v>889</v>
      </c>
      <c r="O2" s="59" t="s">
        <v>890</v>
      </c>
      <c r="P2" s="59" t="s">
        <v>836</v>
      </c>
      <c r="Q2" s="59" t="s">
        <v>883</v>
      </c>
      <c r="R2" s="59" t="s">
        <v>886</v>
      </c>
      <c r="S2" s="59" t="s">
        <v>891</v>
      </c>
      <c r="T2" s="59" t="s">
        <v>884</v>
      </c>
      <c r="U2" s="59" t="s">
        <v>887</v>
      </c>
      <c r="V2" s="59" t="s">
        <v>897</v>
      </c>
    </row>
    <row r="3" spans="1:22">
      <c r="A3" s="62" t="s">
        <v>912</v>
      </c>
      <c r="B3" s="112" t="s">
        <v>990</v>
      </c>
      <c r="C3" s="61"/>
      <c r="D3" s="61"/>
      <c r="E3" s="61"/>
      <c r="F3" s="61"/>
      <c r="G3" s="61"/>
      <c r="H3" s="61"/>
      <c r="I3" s="61"/>
      <c r="J3" s="61"/>
      <c r="K3" s="61"/>
      <c r="L3" s="61" t="s">
        <v>411</v>
      </c>
      <c r="M3" s="61"/>
      <c r="N3" s="61"/>
      <c r="O3" s="61"/>
      <c r="P3" s="61"/>
      <c r="Q3" s="61"/>
      <c r="R3" s="61" t="s">
        <v>411</v>
      </c>
      <c r="S3" s="61"/>
      <c r="T3" s="61"/>
      <c r="U3" s="61"/>
      <c r="V3" s="61"/>
    </row>
    <row r="4" spans="1:22">
      <c r="A4" s="62" t="s">
        <v>1153</v>
      </c>
      <c r="B4" s="112" t="s">
        <v>991</v>
      </c>
      <c r="C4" s="61"/>
      <c r="D4" s="61" t="s">
        <v>411</v>
      </c>
      <c r="E4" s="61"/>
      <c r="F4" s="61"/>
      <c r="G4" s="61"/>
      <c r="H4" s="61"/>
      <c r="I4" s="61"/>
      <c r="J4" s="61"/>
      <c r="K4" s="61"/>
      <c r="L4" s="61"/>
      <c r="M4" s="61"/>
      <c r="N4" s="61"/>
      <c r="O4" s="61"/>
      <c r="P4" s="61"/>
      <c r="Q4" s="61"/>
      <c r="R4" s="61"/>
      <c r="S4" s="61"/>
      <c r="T4" s="61"/>
      <c r="U4" s="61"/>
      <c r="V4" s="61"/>
    </row>
    <row r="5" spans="1:22">
      <c r="A5" s="62" t="s">
        <v>913</v>
      </c>
      <c r="B5" s="112" t="s">
        <v>990</v>
      </c>
      <c r="C5" s="61"/>
      <c r="D5" s="61"/>
      <c r="E5" s="61"/>
      <c r="F5" s="61"/>
      <c r="G5" s="61"/>
      <c r="H5" s="61"/>
      <c r="I5" s="61"/>
      <c r="J5" s="61"/>
      <c r="K5" s="61"/>
      <c r="L5" s="61" t="s">
        <v>411</v>
      </c>
      <c r="M5" s="61"/>
      <c r="N5" s="61"/>
      <c r="O5" s="61"/>
      <c r="P5" s="61"/>
      <c r="Q5" s="61"/>
      <c r="R5" s="61"/>
      <c r="S5" s="61"/>
      <c r="T5" s="61" t="s">
        <v>411</v>
      </c>
      <c r="U5" s="61"/>
      <c r="V5" s="61"/>
    </row>
    <row r="6" spans="1:22">
      <c r="A6" s="62" t="s">
        <v>1155</v>
      </c>
      <c r="B6" s="112" t="s">
        <v>990</v>
      </c>
      <c r="C6" s="61"/>
      <c r="D6" s="61"/>
      <c r="E6" s="61"/>
      <c r="F6" s="61"/>
      <c r="G6" s="61"/>
      <c r="H6" s="61"/>
      <c r="I6" s="61"/>
      <c r="J6" s="61"/>
      <c r="K6" s="61"/>
      <c r="L6" s="61" t="s">
        <v>411</v>
      </c>
      <c r="M6" s="61"/>
      <c r="N6" s="61"/>
      <c r="O6" s="61"/>
      <c r="P6" s="61"/>
      <c r="Q6" s="61" t="s">
        <v>411</v>
      </c>
      <c r="R6" s="61"/>
      <c r="S6" s="61"/>
      <c r="T6" s="61"/>
      <c r="U6" s="61"/>
      <c r="V6" s="61"/>
    </row>
    <row r="7" spans="1:22">
      <c r="A7" s="62" t="s">
        <v>1152</v>
      </c>
      <c r="B7" s="62" t="s">
        <v>995</v>
      </c>
      <c r="C7" s="61"/>
      <c r="D7" s="61"/>
      <c r="E7" s="61"/>
      <c r="F7" s="61"/>
      <c r="G7" s="61" t="s">
        <v>411</v>
      </c>
      <c r="H7" s="61" t="s">
        <v>411</v>
      </c>
      <c r="I7" s="61"/>
      <c r="J7" s="61"/>
      <c r="K7" s="61"/>
      <c r="L7" s="61"/>
      <c r="M7" s="61"/>
      <c r="N7" s="61"/>
      <c r="O7" s="61"/>
      <c r="P7" s="61"/>
      <c r="Q7" s="61"/>
      <c r="R7" s="61"/>
      <c r="S7" s="61"/>
      <c r="T7" s="61"/>
      <c r="U7" s="61"/>
      <c r="V7" s="61"/>
    </row>
    <row r="8" spans="1:22">
      <c r="A8" s="62" t="s">
        <v>1670</v>
      </c>
      <c r="B8" s="112" t="s">
        <v>992</v>
      </c>
      <c r="C8" s="61" t="s">
        <v>411</v>
      </c>
      <c r="D8" s="61"/>
      <c r="E8" s="61" t="s">
        <v>411</v>
      </c>
      <c r="F8" s="61"/>
      <c r="G8" s="61"/>
      <c r="H8" s="61"/>
      <c r="I8" s="61" t="s">
        <v>411</v>
      </c>
      <c r="J8" s="61"/>
      <c r="K8" s="61"/>
      <c r="L8" s="61"/>
      <c r="M8" s="61"/>
      <c r="N8" s="61"/>
      <c r="O8" s="61"/>
      <c r="P8" s="61"/>
      <c r="Q8" s="61"/>
      <c r="R8" s="61"/>
      <c r="S8" s="61"/>
      <c r="T8" s="61"/>
      <c r="U8" s="61"/>
      <c r="V8" s="61"/>
    </row>
    <row r="9" spans="1:22" s="320" customFormat="1">
      <c r="A9" s="320" t="s">
        <v>1250</v>
      </c>
      <c r="B9" s="112" t="s">
        <v>999</v>
      </c>
      <c r="C9" s="61"/>
      <c r="D9" s="61"/>
      <c r="E9" s="61"/>
      <c r="F9" s="61"/>
      <c r="G9" s="61"/>
      <c r="H9" s="61"/>
      <c r="I9" s="61"/>
      <c r="J9" s="61"/>
      <c r="K9" s="61"/>
      <c r="L9" s="61"/>
      <c r="M9" s="61"/>
      <c r="N9" s="61"/>
      <c r="O9" s="61"/>
      <c r="P9" s="61" t="s">
        <v>411</v>
      </c>
      <c r="Q9" s="61"/>
      <c r="R9" s="61"/>
      <c r="S9" s="61"/>
      <c r="T9" s="61"/>
      <c r="U9" s="61"/>
      <c r="V9" s="61"/>
    </row>
    <row r="10" spans="1:22">
      <c r="A10" s="62" t="s">
        <v>1370</v>
      </c>
      <c r="B10" s="112" t="s">
        <v>992</v>
      </c>
      <c r="C10" s="61"/>
      <c r="D10" s="61"/>
      <c r="E10" s="61" t="s">
        <v>411</v>
      </c>
      <c r="F10" s="61"/>
      <c r="G10" s="61"/>
      <c r="H10" s="61"/>
      <c r="I10" s="61"/>
      <c r="J10" s="61"/>
      <c r="K10" s="61"/>
      <c r="L10" s="61"/>
      <c r="M10" s="61"/>
      <c r="N10" s="61" t="s">
        <v>411</v>
      </c>
      <c r="O10" s="61" t="s">
        <v>411</v>
      </c>
      <c r="P10" s="61"/>
      <c r="Q10" s="61"/>
      <c r="R10" s="61"/>
      <c r="S10" s="61"/>
      <c r="T10" s="61"/>
      <c r="U10" s="61"/>
      <c r="V10" s="61"/>
    </row>
    <row r="11" spans="1:22">
      <c r="A11" s="62" t="s">
        <v>1154</v>
      </c>
      <c r="B11" s="112" t="s">
        <v>989</v>
      </c>
      <c r="C11" s="61" t="s">
        <v>411</v>
      </c>
      <c r="D11" s="61"/>
      <c r="E11" s="61" t="s">
        <v>411</v>
      </c>
      <c r="F11" s="61" t="s">
        <v>411</v>
      </c>
      <c r="G11" s="61"/>
      <c r="H11" s="61"/>
      <c r="I11" s="61"/>
      <c r="J11" s="61" t="s">
        <v>411</v>
      </c>
      <c r="K11" s="61"/>
      <c r="L11" s="61" t="s">
        <v>411</v>
      </c>
      <c r="M11" s="61" t="s">
        <v>411</v>
      </c>
      <c r="N11" s="61"/>
      <c r="O11" s="61"/>
      <c r="P11" s="61"/>
      <c r="Q11" s="61"/>
      <c r="R11" s="61"/>
      <c r="S11" s="61" t="s">
        <v>411</v>
      </c>
      <c r="T11" s="61"/>
      <c r="U11" s="61"/>
      <c r="V11" s="61"/>
    </row>
    <row r="12" spans="1:22">
      <c r="A12" s="62" t="s">
        <v>1300</v>
      </c>
      <c r="B12" s="112" t="s">
        <v>990</v>
      </c>
      <c r="C12" s="61"/>
      <c r="D12" s="61"/>
      <c r="E12" s="61"/>
      <c r="F12" s="61"/>
      <c r="G12" s="61"/>
      <c r="H12" s="61"/>
      <c r="I12" s="61"/>
      <c r="J12" s="61"/>
      <c r="K12" s="61"/>
      <c r="L12" s="61" t="s">
        <v>411</v>
      </c>
      <c r="M12" s="61"/>
      <c r="N12" s="61"/>
      <c r="O12" s="61"/>
      <c r="P12" s="61"/>
      <c r="Q12" s="61"/>
      <c r="R12" s="61"/>
      <c r="S12" s="61"/>
      <c r="T12" s="61"/>
      <c r="U12" s="61" t="s">
        <v>411</v>
      </c>
      <c r="V12" s="61"/>
    </row>
    <row r="13" spans="1:22">
      <c r="A13" s="62" t="s">
        <v>1299</v>
      </c>
      <c r="B13" s="112" t="s">
        <v>993</v>
      </c>
      <c r="C13" s="61"/>
      <c r="D13" s="61"/>
      <c r="E13" s="61"/>
      <c r="F13" s="61"/>
      <c r="G13" s="61"/>
      <c r="H13" s="61"/>
      <c r="I13" s="61"/>
      <c r="J13" s="61"/>
      <c r="K13" s="61" t="s">
        <v>411</v>
      </c>
      <c r="L13" s="61"/>
      <c r="M13" s="61"/>
      <c r="N13" s="61"/>
      <c r="O13" s="61"/>
      <c r="P13" s="61"/>
      <c r="Q13" s="61"/>
      <c r="R13" s="61"/>
      <c r="S13" s="61"/>
      <c r="T13" s="61"/>
      <c r="U13" s="61"/>
      <c r="V13" s="61"/>
    </row>
    <row r="15" spans="1:22">
      <c r="C15" s="63">
        <f>COUNTA(C3:C14)</f>
        <v>2</v>
      </c>
      <c r="D15" s="63">
        <f t="shared" ref="D15:V15" si="0">COUNTA(D3:D14)</f>
        <v>1</v>
      </c>
      <c r="E15" s="63">
        <f t="shared" si="0"/>
        <v>3</v>
      </c>
      <c r="F15" s="63">
        <f t="shared" si="0"/>
        <v>1</v>
      </c>
      <c r="G15" s="63">
        <f t="shared" si="0"/>
        <v>1</v>
      </c>
      <c r="H15" s="63">
        <f t="shared" si="0"/>
        <v>1</v>
      </c>
      <c r="I15" s="63">
        <f t="shared" si="0"/>
        <v>1</v>
      </c>
      <c r="J15" s="63">
        <f t="shared" si="0"/>
        <v>1</v>
      </c>
      <c r="K15" s="63">
        <f t="shared" si="0"/>
        <v>1</v>
      </c>
      <c r="L15" s="63">
        <f t="shared" si="0"/>
        <v>5</v>
      </c>
      <c r="M15" s="63">
        <f t="shared" si="0"/>
        <v>1</v>
      </c>
      <c r="N15" s="63">
        <f t="shared" si="0"/>
        <v>1</v>
      </c>
      <c r="O15" s="63">
        <f t="shared" si="0"/>
        <v>1</v>
      </c>
      <c r="P15" s="63">
        <f t="shared" si="0"/>
        <v>1</v>
      </c>
      <c r="Q15" s="63">
        <f t="shared" si="0"/>
        <v>1</v>
      </c>
      <c r="R15" s="63">
        <f t="shared" si="0"/>
        <v>1</v>
      </c>
      <c r="S15" s="63">
        <f t="shared" si="0"/>
        <v>1</v>
      </c>
      <c r="T15" s="63">
        <f t="shared" si="0"/>
        <v>1</v>
      </c>
      <c r="U15" s="63">
        <f t="shared" si="0"/>
        <v>1</v>
      </c>
      <c r="V15" s="63">
        <f t="shared" si="0"/>
        <v>0</v>
      </c>
    </row>
  </sheetData>
  <sortState xmlns:xlrd2="http://schemas.microsoft.com/office/spreadsheetml/2017/richdata2" ref="A3:V13">
    <sortCondition ref="A3:A13"/>
  </sortState>
  <phoneticPr fontId="54" type="noConversion"/>
  <conditionalFormatting sqref="C3:V3">
    <cfRule type="cellIs" dxfId="114" priority="13" operator="equal">
      <formula>"x"</formula>
    </cfRule>
  </conditionalFormatting>
  <conditionalFormatting sqref="E1">
    <cfRule type="cellIs" dxfId="113" priority="12" operator="equal">
      <formula>"x"</formula>
    </cfRule>
  </conditionalFormatting>
  <conditionalFormatting sqref="C4:V4">
    <cfRule type="cellIs" dxfId="112" priority="11" operator="equal">
      <formula>"x"</formula>
    </cfRule>
  </conditionalFormatting>
  <conditionalFormatting sqref="C5:V6">
    <cfRule type="cellIs" dxfId="111" priority="10" operator="equal">
      <formula>"x"</formula>
    </cfRule>
  </conditionalFormatting>
  <conditionalFormatting sqref="C7:V7">
    <cfRule type="cellIs" dxfId="110" priority="9" operator="equal">
      <formula>"x"</formula>
    </cfRule>
  </conditionalFormatting>
  <conditionalFormatting sqref="C8:V8">
    <cfRule type="cellIs" dxfId="109" priority="8" operator="equal">
      <formula>"x"</formula>
    </cfRule>
  </conditionalFormatting>
  <conditionalFormatting sqref="C10:V10">
    <cfRule type="cellIs" dxfId="108" priority="7" operator="equal">
      <formula>"x"</formula>
    </cfRule>
  </conditionalFormatting>
  <conditionalFormatting sqref="C11:V11">
    <cfRule type="cellIs" dxfId="107" priority="6" operator="equal">
      <formula>"x"</formula>
    </cfRule>
  </conditionalFormatting>
  <conditionalFormatting sqref="C12:V12">
    <cfRule type="cellIs" dxfId="106" priority="5" operator="equal">
      <formula>"x"</formula>
    </cfRule>
  </conditionalFormatting>
  <conditionalFormatting sqref="C13:V13">
    <cfRule type="cellIs" dxfId="105" priority="4" operator="equal">
      <formula>"x"</formula>
    </cfRule>
  </conditionalFormatting>
  <conditionalFormatting sqref="C9:V9">
    <cfRule type="cellIs" dxfId="104" priority="1" operator="equal">
      <formula>"x"</formula>
    </cfRule>
  </conditionalFormatting>
  <pageMargins left="0.70866141732283472" right="0.70866141732283472" top="0.74803149606299213" bottom="0.74803149606299213" header="0.31496062992125984" footer="0.31496062992125984"/>
  <pageSetup paperSize="9" scale="68" fitToHeight="0" orientation="landscape"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223C0F-4C38-4016-BC2C-B4292784E908}">
  <sheetPr codeName="Sheet23">
    <tabColor theme="9" tint="0.79998168889431442"/>
  </sheetPr>
  <dimension ref="A3:K14"/>
  <sheetViews>
    <sheetView workbookViewId="0">
      <selection activeCell="L32" sqref="L32"/>
    </sheetView>
  </sheetViews>
  <sheetFormatPr defaultRowHeight="14.5"/>
  <cols>
    <col min="1" max="1" width="18.6328125" bestFit="1" customWidth="1"/>
    <col min="2" max="2" width="15.6328125" bestFit="1" customWidth="1"/>
    <col min="3" max="5" width="3" bestFit="1" customWidth="1"/>
    <col min="6" max="9" width="2.7265625" bestFit="1" customWidth="1"/>
    <col min="10" max="10" width="6.90625" bestFit="1" customWidth="1"/>
    <col min="11" max="14" width="10.7265625" bestFit="1" customWidth="1"/>
  </cols>
  <sheetData>
    <row r="3" spans="1:11">
      <c r="A3" s="311" t="s">
        <v>946</v>
      </c>
      <c r="B3" s="311" t="s">
        <v>916</v>
      </c>
    </row>
    <row r="4" spans="1:11">
      <c r="A4" s="311" t="s">
        <v>917</v>
      </c>
      <c r="B4" s="319" t="s">
        <v>898</v>
      </c>
      <c r="C4" s="319" t="s">
        <v>899</v>
      </c>
      <c r="D4" s="319" t="s">
        <v>900</v>
      </c>
      <c r="E4" s="319" t="s">
        <v>1359</v>
      </c>
      <c r="F4" s="319" t="s">
        <v>903</v>
      </c>
      <c r="G4" s="319" t="s">
        <v>904</v>
      </c>
      <c r="H4" s="319" t="s">
        <v>905</v>
      </c>
      <c r="I4" s="319" t="s">
        <v>906</v>
      </c>
      <c r="J4" s="319" t="s">
        <v>918</v>
      </c>
      <c r="K4" s="319" t="s">
        <v>919</v>
      </c>
    </row>
    <row r="5" spans="1:11">
      <c r="A5" s="309" t="s">
        <v>918</v>
      </c>
      <c r="B5" s="312"/>
      <c r="C5" s="312"/>
      <c r="D5" s="312"/>
      <c r="E5" s="312"/>
      <c r="F5" s="312"/>
      <c r="G5" s="312"/>
      <c r="H5" s="312"/>
      <c r="I5" s="312"/>
      <c r="J5" s="312"/>
      <c r="K5" s="312"/>
    </row>
    <row r="6" spans="1:11">
      <c r="A6" s="309" t="s">
        <v>1360</v>
      </c>
      <c r="B6" s="312"/>
      <c r="C6" s="312"/>
      <c r="D6" s="312"/>
      <c r="E6" s="312"/>
      <c r="F6" s="312">
        <v>1</v>
      </c>
      <c r="G6" s="312"/>
      <c r="H6" s="312"/>
      <c r="I6" s="312"/>
      <c r="J6" s="312"/>
      <c r="K6" s="312">
        <v>1</v>
      </c>
    </row>
    <row r="7" spans="1:11">
      <c r="A7" s="309" t="s">
        <v>1361</v>
      </c>
      <c r="B7" s="312"/>
      <c r="C7" s="312"/>
      <c r="D7" s="312"/>
      <c r="E7" s="312"/>
      <c r="F7" s="312"/>
      <c r="G7" s="312">
        <v>2</v>
      </c>
      <c r="H7" s="312"/>
      <c r="I7" s="312"/>
      <c r="J7" s="312"/>
      <c r="K7" s="312">
        <v>2</v>
      </c>
    </row>
    <row r="8" spans="1:11">
      <c r="A8" s="309" t="s">
        <v>1362</v>
      </c>
      <c r="B8" s="312"/>
      <c r="C8" s="312"/>
      <c r="D8" s="312"/>
      <c r="E8" s="312"/>
      <c r="F8" s="312"/>
      <c r="G8" s="312"/>
      <c r="H8" s="312">
        <v>1</v>
      </c>
      <c r="I8" s="312"/>
      <c r="J8" s="312"/>
      <c r="K8" s="312">
        <v>1</v>
      </c>
    </row>
    <row r="9" spans="1:11">
      <c r="A9" s="309" t="s">
        <v>1363</v>
      </c>
      <c r="B9" s="312"/>
      <c r="C9" s="312"/>
      <c r="D9" s="312"/>
      <c r="E9" s="312"/>
      <c r="F9" s="312"/>
      <c r="G9" s="312"/>
      <c r="H9" s="312"/>
      <c r="I9" s="312">
        <v>1</v>
      </c>
      <c r="J9" s="312"/>
      <c r="K9" s="312">
        <v>1</v>
      </c>
    </row>
    <row r="10" spans="1:11">
      <c r="A10" s="309" t="s">
        <v>1544</v>
      </c>
      <c r="B10" s="312">
        <v>5</v>
      </c>
      <c r="C10" s="312"/>
      <c r="D10" s="312"/>
      <c r="E10" s="312"/>
      <c r="F10" s="312"/>
      <c r="G10" s="312"/>
      <c r="H10" s="312"/>
      <c r="I10" s="312"/>
      <c r="J10" s="312"/>
      <c r="K10" s="312">
        <v>5</v>
      </c>
    </row>
    <row r="11" spans="1:11">
      <c r="A11" s="309" t="s">
        <v>1545</v>
      </c>
      <c r="B11" s="312"/>
      <c r="C11" s="312">
        <v>5</v>
      </c>
      <c r="D11" s="312"/>
      <c r="E11" s="312"/>
      <c r="F11" s="312"/>
      <c r="G11" s="312"/>
      <c r="H11" s="312"/>
      <c r="I11" s="312"/>
      <c r="J11" s="312"/>
      <c r="K11" s="312">
        <v>5</v>
      </c>
    </row>
    <row r="12" spans="1:11">
      <c r="A12" s="309" t="s">
        <v>1547</v>
      </c>
      <c r="B12" s="312"/>
      <c r="C12" s="312"/>
      <c r="D12" s="312">
        <v>5</v>
      </c>
      <c r="E12" s="312"/>
      <c r="F12" s="312"/>
      <c r="G12" s="312"/>
      <c r="H12" s="312"/>
      <c r="I12" s="312"/>
      <c r="J12" s="312"/>
      <c r="K12" s="312">
        <v>5</v>
      </c>
    </row>
    <row r="13" spans="1:11">
      <c r="A13" s="309" t="s">
        <v>1549</v>
      </c>
      <c r="B13" s="312"/>
      <c r="C13" s="312"/>
      <c r="D13" s="312"/>
      <c r="E13" s="312">
        <v>5</v>
      </c>
      <c r="F13" s="312"/>
      <c r="G13" s="312"/>
      <c r="H13" s="312"/>
      <c r="I13" s="312"/>
      <c r="J13" s="312"/>
      <c r="K13" s="312">
        <v>5</v>
      </c>
    </row>
    <row r="14" spans="1:11">
      <c r="A14" s="309" t="s">
        <v>919</v>
      </c>
      <c r="B14" s="312">
        <v>5</v>
      </c>
      <c r="C14" s="312">
        <v>5</v>
      </c>
      <c r="D14" s="312">
        <v>5</v>
      </c>
      <c r="E14" s="312">
        <v>5</v>
      </c>
      <c r="F14" s="312">
        <v>1</v>
      </c>
      <c r="G14" s="312">
        <v>2</v>
      </c>
      <c r="H14" s="312">
        <v>1</v>
      </c>
      <c r="I14" s="312">
        <v>1</v>
      </c>
      <c r="J14" s="312"/>
      <c r="K14" s="312">
        <v>25</v>
      </c>
    </row>
  </sheetData>
  <phoneticPr fontId="54"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5072B-3948-451A-853D-B9B658CCD0BB}">
  <sheetPr codeName="Sheet15">
    <tabColor theme="9" tint="0.79998168889431442"/>
  </sheetPr>
  <dimension ref="A1:N30"/>
  <sheetViews>
    <sheetView workbookViewId="0">
      <selection activeCell="L32" sqref="L32"/>
    </sheetView>
  </sheetViews>
  <sheetFormatPr defaultRowHeight="14.5"/>
  <cols>
    <col min="1" max="1" width="34.36328125" bestFit="1" customWidth="1"/>
    <col min="2" max="2" width="15.08984375" bestFit="1" customWidth="1"/>
    <col min="3" max="7" width="3" bestFit="1" customWidth="1"/>
    <col min="8" max="11" width="2.7265625" bestFit="1" customWidth="1"/>
    <col min="12" max="12" width="6.90625" bestFit="1" customWidth="1"/>
    <col min="13" max="14" width="10.7265625" bestFit="1" customWidth="1"/>
  </cols>
  <sheetData>
    <row r="1" spans="1:14">
      <c r="A1" s="46" t="s">
        <v>948</v>
      </c>
    </row>
    <row r="2" spans="1:14">
      <c r="A2" s="106" t="s">
        <v>968</v>
      </c>
      <c r="B2" s="106"/>
      <c r="C2" s="106"/>
      <c r="D2" s="106"/>
      <c r="E2" s="106"/>
      <c r="F2" s="106"/>
      <c r="G2" s="106"/>
      <c r="H2" s="106"/>
      <c r="I2" s="106"/>
      <c r="J2" s="106"/>
      <c r="K2" s="106"/>
      <c r="L2" s="106"/>
      <c r="M2" s="106"/>
      <c r="N2" s="106"/>
    </row>
    <row r="3" spans="1:14" hidden="1">
      <c r="A3" s="311" t="s">
        <v>917</v>
      </c>
      <c r="B3" t="s">
        <v>915</v>
      </c>
    </row>
    <row r="4" spans="1:14" hidden="1">
      <c r="A4" s="309" t="s">
        <v>918</v>
      </c>
      <c r="B4" s="312"/>
    </row>
    <row r="5" spans="1:14">
      <c r="A5" s="309" t="s">
        <v>1555</v>
      </c>
      <c r="B5" s="312">
        <v>1</v>
      </c>
    </row>
    <row r="6" spans="1:14">
      <c r="A6" s="309" t="s">
        <v>1556</v>
      </c>
      <c r="B6" s="312">
        <v>1</v>
      </c>
    </row>
    <row r="7" spans="1:14">
      <c r="A7" s="309" t="s">
        <v>1557</v>
      </c>
      <c r="B7" s="312">
        <v>1</v>
      </c>
    </row>
    <row r="8" spans="1:14">
      <c r="A8" s="309" t="s">
        <v>1558</v>
      </c>
      <c r="B8" s="312">
        <v>1</v>
      </c>
    </row>
    <row r="9" spans="1:14">
      <c r="A9" s="309" t="s">
        <v>1559</v>
      </c>
      <c r="B9" s="312">
        <v>1</v>
      </c>
    </row>
    <row r="10" spans="1:14">
      <c r="A10" s="309" t="s">
        <v>1560</v>
      </c>
      <c r="B10" s="312">
        <v>1</v>
      </c>
    </row>
    <row r="11" spans="1:14">
      <c r="A11" s="309" t="s">
        <v>1561</v>
      </c>
      <c r="B11" s="312">
        <v>1</v>
      </c>
    </row>
    <row r="12" spans="1:14">
      <c r="A12" s="309" t="s">
        <v>1562</v>
      </c>
      <c r="B12" s="312">
        <v>1</v>
      </c>
    </row>
    <row r="13" spans="1:14">
      <c r="A13" s="309" t="s">
        <v>1563</v>
      </c>
      <c r="B13" s="312">
        <v>1</v>
      </c>
    </row>
    <row r="14" spans="1:14">
      <c r="A14" s="309" t="s">
        <v>1564</v>
      </c>
      <c r="B14" s="312">
        <v>1</v>
      </c>
    </row>
    <row r="15" spans="1:14">
      <c r="A15" s="309" t="s">
        <v>1565</v>
      </c>
      <c r="B15" s="312">
        <v>1</v>
      </c>
    </row>
    <row r="16" spans="1:14">
      <c r="A16" s="309" t="s">
        <v>1566</v>
      </c>
      <c r="B16" s="312">
        <v>1</v>
      </c>
    </row>
    <row r="17" spans="1:2">
      <c r="A17" s="309" t="s">
        <v>1567</v>
      </c>
      <c r="B17" s="312">
        <v>1</v>
      </c>
    </row>
    <row r="18" spans="1:2">
      <c r="A18" s="309" t="s">
        <v>1568</v>
      </c>
      <c r="B18" s="312">
        <v>1</v>
      </c>
    </row>
    <row r="19" spans="1:2">
      <c r="A19" s="309" t="s">
        <v>1569</v>
      </c>
      <c r="B19" s="312">
        <v>1</v>
      </c>
    </row>
    <row r="20" spans="1:2">
      <c r="A20" s="309" t="s">
        <v>1570</v>
      </c>
      <c r="B20" s="312">
        <v>1</v>
      </c>
    </row>
    <row r="21" spans="1:2">
      <c r="A21" s="309" t="s">
        <v>1571</v>
      </c>
      <c r="B21" s="312">
        <v>1</v>
      </c>
    </row>
    <row r="22" spans="1:2">
      <c r="A22" s="309" t="s">
        <v>1572</v>
      </c>
      <c r="B22" s="312">
        <v>1</v>
      </c>
    </row>
    <row r="23" spans="1:2">
      <c r="A23" s="309" t="s">
        <v>1573</v>
      </c>
      <c r="B23" s="312">
        <v>1</v>
      </c>
    </row>
    <row r="24" spans="1:2">
      <c r="A24" s="309" t="s">
        <v>1574</v>
      </c>
      <c r="B24" s="312">
        <v>1</v>
      </c>
    </row>
    <row r="25" spans="1:2">
      <c r="A25" s="309" t="s">
        <v>1575</v>
      </c>
      <c r="B25" s="312">
        <v>1</v>
      </c>
    </row>
    <row r="26" spans="1:2">
      <c r="A26" s="309" t="s">
        <v>1576</v>
      </c>
      <c r="B26" s="312">
        <v>1</v>
      </c>
    </row>
    <row r="27" spans="1:2">
      <c r="A27" s="309" t="s">
        <v>1671</v>
      </c>
      <c r="B27" s="312">
        <v>1</v>
      </c>
    </row>
    <row r="28" spans="1:2">
      <c r="A28" s="309" t="s">
        <v>1577</v>
      </c>
      <c r="B28" s="312">
        <v>1</v>
      </c>
    </row>
    <row r="29" spans="1:2">
      <c r="A29" s="309" t="s">
        <v>1578</v>
      </c>
      <c r="B29" s="312">
        <v>1</v>
      </c>
    </row>
    <row r="30" spans="1:2">
      <c r="A30" s="309" t="s">
        <v>919</v>
      </c>
      <c r="B30" s="312">
        <v>25</v>
      </c>
    </row>
  </sheetData>
  <phoneticPr fontId="54" type="noConversion"/>
  <pageMargins left="0.7" right="0.7" top="0.75" bottom="0.75" header="0.3" footer="0.3"/>
  <pageSetup paperSize="9" orientation="portrait"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D4421E-A76F-462C-A0CB-6DEF30742EDE}">
  <sheetPr codeName="Sheet20">
    <tabColor theme="9" tint="0.79998168889431442"/>
  </sheetPr>
  <dimension ref="A3:B29"/>
  <sheetViews>
    <sheetView workbookViewId="0">
      <selection activeCell="A10" sqref="A10"/>
    </sheetView>
  </sheetViews>
  <sheetFormatPr defaultRowHeight="14.5"/>
  <cols>
    <col min="1" max="1" width="12.6328125" bestFit="1" customWidth="1"/>
    <col min="2" max="2" width="10.90625" bestFit="1" customWidth="1"/>
  </cols>
  <sheetData>
    <row r="3" spans="1:2">
      <c r="A3" s="311" t="s">
        <v>917</v>
      </c>
      <c r="B3" t="s">
        <v>925</v>
      </c>
    </row>
    <row r="4" spans="1:2">
      <c r="A4" s="309" t="s">
        <v>895</v>
      </c>
      <c r="B4" s="312">
        <v>1</v>
      </c>
    </row>
    <row r="5" spans="1:2">
      <c r="A5" s="309" t="s">
        <v>751</v>
      </c>
      <c r="B5" s="312">
        <v>1</v>
      </c>
    </row>
    <row r="6" spans="1:2">
      <c r="A6" s="309" t="s">
        <v>896</v>
      </c>
      <c r="B6" s="312">
        <v>1</v>
      </c>
    </row>
    <row r="7" spans="1:2">
      <c r="A7" s="309" t="s">
        <v>892</v>
      </c>
      <c r="B7" s="312">
        <v>1</v>
      </c>
    </row>
    <row r="8" spans="1:2">
      <c r="A8" s="309" t="s">
        <v>893</v>
      </c>
      <c r="B8" s="312">
        <v>1</v>
      </c>
    </row>
    <row r="9" spans="1:2">
      <c r="A9" s="309" t="s">
        <v>888</v>
      </c>
      <c r="B9" s="312">
        <v>1</v>
      </c>
    </row>
    <row r="10" spans="1:2">
      <c r="A10" s="309" t="s">
        <v>753</v>
      </c>
      <c r="B10" s="312">
        <v>1</v>
      </c>
    </row>
    <row r="11" spans="1:2">
      <c r="A11" s="309" t="s">
        <v>889</v>
      </c>
      <c r="B11" s="312">
        <v>1</v>
      </c>
    </row>
    <row r="12" spans="1:2">
      <c r="A12" s="309" t="s">
        <v>890</v>
      </c>
      <c r="B12" s="312">
        <v>1</v>
      </c>
    </row>
    <row r="13" spans="1:2">
      <c r="A13" s="309" t="s">
        <v>883</v>
      </c>
      <c r="B13" s="312">
        <v>1</v>
      </c>
    </row>
    <row r="14" spans="1:2">
      <c r="A14" s="309" t="s">
        <v>894</v>
      </c>
      <c r="B14" s="312">
        <v>1</v>
      </c>
    </row>
    <row r="15" spans="1:2">
      <c r="A15" s="309" t="s">
        <v>836</v>
      </c>
      <c r="B15" s="312">
        <v>1</v>
      </c>
    </row>
    <row r="16" spans="1:2">
      <c r="A16" s="309" t="s">
        <v>885</v>
      </c>
      <c r="B16" s="312">
        <v>1</v>
      </c>
    </row>
    <row r="17" spans="1:2">
      <c r="A17" s="309" t="s">
        <v>886</v>
      </c>
      <c r="B17" s="312">
        <v>1</v>
      </c>
    </row>
    <row r="18" spans="1:2">
      <c r="A18" s="309" t="s">
        <v>891</v>
      </c>
      <c r="B18" s="312">
        <v>1</v>
      </c>
    </row>
    <row r="19" spans="1:2">
      <c r="A19" s="309" t="s">
        <v>884</v>
      </c>
      <c r="B19" s="312">
        <v>1</v>
      </c>
    </row>
    <row r="20" spans="1:2">
      <c r="A20" s="309" t="s">
        <v>887</v>
      </c>
      <c r="B20" s="312">
        <v>1</v>
      </c>
    </row>
    <row r="21" spans="1:2">
      <c r="A21" s="309" t="s">
        <v>918</v>
      </c>
      <c r="B21" s="312"/>
    </row>
    <row r="22" spans="1:2">
      <c r="A22" s="309" t="s">
        <v>919</v>
      </c>
      <c r="B22" s="312">
        <v>17</v>
      </c>
    </row>
    <row r="26" spans="1:2">
      <c r="A26" t="s">
        <v>1055</v>
      </c>
    </row>
    <row r="27" spans="1:2">
      <c r="A27" t="s">
        <v>911</v>
      </c>
    </row>
    <row r="28" spans="1:2">
      <c r="A28" t="s">
        <v>910</v>
      </c>
    </row>
    <row r="29" spans="1:2">
      <c r="A29" t="s">
        <v>1054</v>
      </c>
    </row>
  </sheetData>
  <phoneticPr fontId="54"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F04962-12E8-4C9D-A32F-975215E052FB}">
  <sheetPr codeName="Sheet6">
    <tabColor theme="8" tint="0.79998168889431442"/>
  </sheetPr>
  <dimension ref="A1:AJ161"/>
  <sheetViews>
    <sheetView topLeftCell="A78" workbookViewId="0">
      <selection activeCell="C90" sqref="C90"/>
    </sheetView>
  </sheetViews>
  <sheetFormatPr defaultColWidth="8.7265625" defaultRowHeight="14.5"/>
  <cols>
    <col min="1" max="1" width="40.453125" style="11" customWidth="1"/>
    <col min="2" max="2" width="64.453125" style="11" customWidth="1"/>
    <col min="3" max="7" width="25.81640625" style="125" customWidth="1"/>
    <col min="8" max="8" width="12.81640625" style="125" customWidth="1"/>
    <col min="9" max="9" width="36" style="125" customWidth="1"/>
    <col min="10" max="10" width="13.453125" style="125" customWidth="1"/>
    <col min="11" max="12" width="8.7265625" style="125"/>
    <col min="13" max="13" width="14.81640625" style="125" customWidth="1"/>
    <col min="14" max="21" width="8.7265625" style="125"/>
    <col min="22" max="23" width="12.1796875" style="125" customWidth="1"/>
    <col min="24" max="24" width="20" style="11" customWidth="1"/>
    <col min="25" max="16384" width="8.7265625" style="11"/>
  </cols>
  <sheetData>
    <row r="1" spans="1:3">
      <c r="A1" s="15" t="s">
        <v>763</v>
      </c>
      <c r="B1" s="17"/>
    </row>
    <row r="2" spans="1:3">
      <c r="A2" s="28" t="s">
        <v>764</v>
      </c>
      <c r="B2" s="29"/>
      <c r="C2" s="30" t="str">
        <f>HYPERLINK(_xlfn.CONCAT("https://cmmiinstitute.com/appraisals-sys/appraisals/",Planning!$B$16,"/name-and-type"))</f>
        <v>https://cmmiinstitute.com/appraisals-sys/appraisals/53517/name-and-type</v>
      </c>
    </row>
    <row r="3" spans="1:3">
      <c r="A3" s="11" t="s">
        <v>718</v>
      </c>
      <c r="B3" s="102" t="str">
        <f>Planning!B15</f>
        <v>D124 (A5) SoftMARS - Base Alpha City (Q2) 2021</v>
      </c>
      <c r="C3" s="125" t="s">
        <v>962</v>
      </c>
    </row>
    <row r="4" spans="1:3">
      <c r="A4" s="11" t="s">
        <v>438</v>
      </c>
      <c r="B4" s="102" t="str">
        <f>Planning!B9</f>
        <v>(UTC+08:00) Beijing, Chongqing, Hong Kong, Urumqi</v>
      </c>
      <c r="C4" s="125" t="s">
        <v>962</v>
      </c>
    </row>
    <row r="5" spans="1:3">
      <c r="A5" s="11" t="s">
        <v>439</v>
      </c>
      <c r="B5" s="20" t="str">
        <f>'Agreement 3'!B45</f>
        <v>Demix (Pty) Ltd</v>
      </c>
      <c r="C5" s="125" t="s">
        <v>1002</v>
      </c>
    </row>
    <row r="6" spans="1:3" ht="90.65" customHeight="1">
      <c r="A6" s="11" t="s">
        <v>440</v>
      </c>
      <c r="B6" s="101" t="str">
        <f>_xlfn.CONCAT(Planning!B42,CHAR(13),CHAR(10),Planning!B54)</f>
        <v>[BO-1] Improve production efficiency to improve productivity 
[BO-2] Improve delivery capacity
[BO-3] Reduce Code Acceptance Defects_x000D_
[A1]: In support of the business objectives, understand the current strength and weaknesses of the CMMI maturity level 3 practices within the organisation [BO-1, BO-2 &amp; BO-3].</v>
      </c>
      <c r="C6" s="125" t="s">
        <v>962</v>
      </c>
    </row>
    <row r="7" spans="1:3">
      <c r="A7" s="11" t="s">
        <v>441</v>
      </c>
      <c r="B7" s="11" t="s">
        <v>388</v>
      </c>
    </row>
    <row r="8" spans="1:3">
      <c r="A8" s="11" t="s">
        <v>442</v>
      </c>
      <c r="B8" s="11" t="s">
        <v>621</v>
      </c>
    </row>
    <row r="9" spans="1:3" ht="29">
      <c r="A9" s="11" t="s">
        <v>734</v>
      </c>
      <c r="B9" s="11" t="s">
        <v>621</v>
      </c>
    </row>
    <row r="10" spans="1:3" ht="29">
      <c r="A10" s="11" t="s">
        <v>822</v>
      </c>
      <c r="B10" s="11" t="s">
        <v>388</v>
      </c>
      <c r="C10" s="250" t="s">
        <v>1618</v>
      </c>
    </row>
    <row r="11" spans="1:3">
      <c r="A11" s="11" t="s">
        <v>823</v>
      </c>
    </row>
    <row r="12" spans="1:3" ht="43.5">
      <c r="A12" s="11" t="s">
        <v>821</v>
      </c>
      <c r="B12" s="11" t="s">
        <v>1192</v>
      </c>
      <c r="C12" s="250" t="s">
        <v>1661</v>
      </c>
    </row>
    <row r="14" spans="1:3">
      <c r="A14" s="15" t="s">
        <v>389</v>
      </c>
      <c r="B14" s="17"/>
    </row>
    <row r="15" spans="1:3">
      <c r="A15" s="28" t="s">
        <v>766</v>
      </c>
      <c r="B15" s="29"/>
      <c r="C15" s="30" t="str">
        <f>HYPERLINK(_xlfn.CONCAT("https://cmmiinstitute.com/appraisals-sys/appraisals/",Planning!$B$16,"/organizations"))</f>
        <v>https://cmmiinstitute.com/appraisals-sys/appraisals/53517/organizations</v>
      </c>
    </row>
    <row r="16" spans="1:3">
      <c r="A16" s="11" t="s">
        <v>13</v>
      </c>
      <c r="B16" s="81" t="str">
        <f>'Agreement 3'!B16</f>
        <v>Software for Mars (Pty) Ltd</v>
      </c>
      <c r="C16" s="125" t="s">
        <v>1002</v>
      </c>
    </row>
    <row r="17" spans="1:23">
      <c r="A17" s="11" t="s">
        <v>30</v>
      </c>
      <c r="B17" s="81" t="str">
        <f>StartupInfo!B4</f>
        <v>Mars</v>
      </c>
      <c r="C17" s="125" t="s">
        <v>951</v>
      </c>
    </row>
    <row r="18" spans="1:23">
      <c r="A18" s="11" t="s">
        <v>31</v>
      </c>
      <c r="B18" s="80" t="str">
        <f>StartupInfo!B5</f>
        <v>Room 1, Dome 1</v>
      </c>
      <c r="C18" s="125" t="s">
        <v>951</v>
      </c>
      <c r="D18" s="125" t="s">
        <v>960</v>
      </c>
    </row>
    <row r="19" spans="1:23">
      <c r="A19" s="11" t="s">
        <v>32</v>
      </c>
      <c r="B19" s="80" t="str">
        <f>StartupInfo!B6</f>
        <v>No. 1 First Street</v>
      </c>
      <c r="C19" s="125" t="s">
        <v>951</v>
      </c>
    </row>
    <row r="20" spans="1:23">
      <c r="A20" s="11" t="s">
        <v>33</v>
      </c>
      <c r="B20" s="80" t="str">
        <f>StartupInfo!B7</f>
        <v>Base Alpha City</v>
      </c>
      <c r="C20" s="125" t="s">
        <v>951</v>
      </c>
    </row>
    <row r="21" spans="1:23">
      <c r="A21" s="11" t="s">
        <v>34</v>
      </c>
      <c r="B21" s="81" t="str">
        <f>StartupInfo!B8</f>
        <v>Tharsis</v>
      </c>
      <c r="C21" s="125" t="s">
        <v>951</v>
      </c>
    </row>
    <row r="22" spans="1:23">
      <c r="A22" s="11" t="s">
        <v>35</v>
      </c>
      <c r="B22" s="80" t="str">
        <f>StartupInfo!B9</f>
        <v>Planet04</v>
      </c>
      <c r="C22" s="125" t="s">
        <v>951</v>
      </c>
    </row>
    <row r="23" spans="1:23">
      <c r="A23" s="11" t="s">
        <v>17</v>
      </c>
      <c r="B23" s="80" t="str">
        <f>StartupInfo!B10</f>
        <v>China</v>
      </c>
      <c r="C23" s="125" t="s">
        <v>951</v>
      </c>
    </row>
    <row r="24" spans="1:23">
      <c r="A24" s="11" t="s">
        <v>290</v>
      </c>
      <c r="B24" s="82" t="str">
        <f>StartupInfo!B12</f>
        <v>http://eMars.com</v>
      </c>
      <c r="C24" s="125" t="s">
        <v>951</v>
      </c>
    </row>
    <row r="25" spans="1:23">
      <c r="A25" s="11" t="s">
        <v>291</v>
      </c>
      <c r="B25" s="11" t="s">
        <v>724</v>
      </c>
    </row>
    <row r="26" spans="1:23" ht="29">
      <c r="A26" s="11" t="s">
        <v>292</v>
      </c>
      <c r="B26" s="80" t="str">
        <f>StartupInfo!B24</f>
        <v>(J-62) Information and communication - Computer programming, consultancy and related activities</v>
      </c>
      <c r="C26" s="125" t="s">
        <v>951</v>
      </c>
    </row>
    <row r="28" spans="1:23" customFormat="1">
      <c r="A28" s="18" t="s">
        <v>603</v>
      </c>
      <c r="C28" s="125"/>
      <c r="D28" s="125"/>
      <c r="E28" s="125"/>
      <c r="F28" s="125"/>
      <c r="G28" s="125"/>
      <c r="H28" s="125"/>
      <c r="I28" s="125"/>
      <c r="J28" s="125"/>
      <c r="K28" s="125"/>
      <c r="L28" s="125"/>
      <c r="M28" s="125"/>
      <c r="N28" s="125"/>
      <c r="O28" s="125"/>
      <c r="P28" s="125"/>
      <c r="Q28" s="125"/>
      <c r="R28" s="125"/>
      <c r="S28" s="125"/>
      <c r="T28" s="125"/>
      <c r="U28" s="125"/>
      <c r="V28" s="125"/>
      <c r="W28" s="125"/>
    </row>
    <row r="29" spans="1:23" customFormat="1">
      <c r="C29" s="125"/>
      <c r="D29" s="125"/>
      <c r="E29" s="125"/>
      <c r="F29" s="125"/>
      <c r="G29" s="125"/>
      <c r="H29" s="125"/>
      <c r="I29" s="125"/>
      <c r="J29" s="125"/>
      <c r="K29" s="125"/>
      <c r="L29" s="125"/>
      <c r="M29" s="125"/>
      <c r="N29" s="125"/>
      <c r="O29" s="125"/>
      <c r="P29" s="125"/>
      <c r="Q29" s="125"/>
      <c r="R29" s="125"/>
      <c r="S29" s="125"/>
      <c r="T29" s="125"/>
      <c r="U29" s="125"/>
      <c r="V29" s="125"/>
      <c r="W29" s="125"/>
    </row>
    <row r="30" spans="1:23">
      <c r="A30" s="28" t="s">
        <v>767</v>
      </c>
      <c r="B30" s="29"/>
      <c r="C30" s="30" t="str">
        <f>HYPERLINK(_xlfn.CONCAT("https://cmmiinstitute.com/appraisals-sys/appraisals/",Planning!$B$16,"/org-units"))</f>
        <v>https://cmmiinstitute.com/appraisals-sys/appraisals/53517/org-units</v>
      </c>
    </row>
    <row r="31" spans="1:23">
      <c r="A31" s="11" t="s">
        <v>13</v>
      </c>
      <c r="B31" s="102" t="str">
        <f>IF(StartupInfo!B20="","",StartupInfo!B20)</f>
        <v>R&amp;D Department</v>
      </c>
      <c r="C31" s="125" t="s">
        <v>951</v>
      </c>
    </row>
    <row r="32" spans="1:23">
      <c r="A32" s="11" t="s">
        <v>30</v>
      </c>
      <c r="B32" s="102" t="str">
        <f>IF(StartupInfo!B21="","",StartupInfo!B21)</f>
        <v/>
      </c>
      <c r="C32" s="125" t="s">
        <v>951</v>
      </c>
    </row>
    <row r="33" spans="1:23">
      <c r="A33" s="11" t="s">
        <v>382</v>
      </c>
      <c r="B33" s="102" t="str">
        <f>IF(StartupInfo!B22="","",StartupInfo!B22)</f>
        <v>The company provides space exploration services…</v>
      </c>
      <c r="C33" s="125" t="s">
        <v>951</v>
      </c>
    </row>
    <row r="34" spans="1:23" ht="87">
      <c r="A34" s="11" t="s">
        <v>381</v>
      </c>
      <c r="B34" s="102" t="str">
        <f>IF(StartupInfo!B23="","",StartupInfo!B23)</f>
        <v xml:space="preserve">1 General Manager
2  Integrated Management
3  R&amp;D Department
4  Product Department
5  Business Department
</v>
      </c>
      <c r="C34" s="250" t="s">
        <v>951</v>
      </c>
    </row>
    <row r="35" spans="1:23">
      <c r="A35" s="11" t="s">
        <v>383</v>
      </c>
      <c r="B35" s="102" t="str">
        <f>IF(StartupInfo!B4="",StartupInfo!B3,_xlfn.CONCAT(StartupInfo!B3,"(",StartupInfo!B4,")"))</f>
        <v>Software for Mars (Pty) Ltd(Mars)</v>
      </c>
      <c r="C35" s="125" t="s">
        <v>951</v>
      </c>
    </row>
    <row r="36" spans="1:23">
      <c r="A36" s="11" t="s">
        <v>385</v>
      </c>
      <c r="B36" s="26">
        <v>1</v>
      </c>
    </row>
    <row r="37" spans="1:23">
      <c r="A37" s="11" t="s">
        <v>386</v>
      </c>
      <c r="B37" s="26">
        <v>1</v>
      </c>
    </row>
    <row r="38" spans="1:23" ht="29">
      <c r="A38" s="11" t="s">
        <v>387</v>
      </c>
      <c r="B38" s="102" t="str">
        <f>IF(StartupInfo!B25="","No","Yes")</f>
        <v>Yes</v>
      </c>
      <c r="C38" s="125" t="s">
        <v>951</v>
      </c>
    </row>
    <row r="39" spans="1:23">
      <c r="A39" s="11" t="s">
        <v>725</v>
      </c>
      <c r="B39" s="102">
        <f>StartupInfo!B25</f>
        <v>2481632</v>
      </c>
      <c r="C39" s="125" t="s">
        <v>951</v>
      </c>
    </row>
    <row r="41" spans="1:23" customFormat="1">
      <c r="A41" s="18" t="s">
        <v>603</v>
      </c>
      <c r="C41" s="125"/>
      <c r="D41" s="125"/>
      <c r="E41" s="125"/>
      <c r="F41" s="125"/>
      <c r="G41" s="125"/>
      <c r="H41" s="125"/>
      <c r="I41" s="125"/>
      <c r="J41" s="125"/>
      <c r="K41" s="125"/>
      <c r="L41" s="125"/>
      <c r="M41" s="125"/>
      <c r="N41" s="125"/>
      <c r="O41" s="125"/>
      <c r="P41" s="125"/>
      <c r="Q41" s="125"/>
      <c r="R41" s="125"/>
      <c r="S41" s="125"/>
      <c r="T41" s="125"/>
      <c r="U41" s="125"/>
      <c r="V41" s="125"/>
      <c r="W41" s="125"/>
    </row>
    <row r="42" spans="1:23" customFormat="1">
      <c r="C42" s="125"/>
      <c r="D42" s="125"/>
      <c r="E42" s="125"/>
      <c r="F42" s="125"/>
      <c r="G42" s="125"/>
      <c r="H42" s="125"/>
      <c r="I42" s="125"/>
      <c r="J42" s="125"/>
      <c r="K42" s="125"/>
      <c r="L42" s="125"/>
      <c r="M42" s="125"/>
      <c r="N42" s="125"/>
      <c r="O42" s="125"/>
      <c r="P42" s="125"/>
      <c r="Q42" s="125"/>
      <c r="R42" s="125"/>
      <c r="S42" s="125"/>
      <c r="T42" s="125"/>
      <c r="U42" s="125"/>
      <c r="V42" s="125"/>
      <c r="W42" s="125"/>
    </row>
    <row r="43" spans="1:23">
      <c r="A43" s="15" t="s">
        <v>768</v>
      </c>
      <c r="B43" s="17"/>
    </row>
    <row r="44" spans="1:23">
      <c r="A44" s="28" t="s">
        <v>769</v>
      </c>
      <c r="B44" s="29"/>
      <c r="C44" s="30" t="str">
        <f>HYPERLINK(_xlfn.CONCAT("https://cmmiinstitute.com/appraisals-sys/appraisals/",Planning!$B$16,"/timeline"))</f>
        <v>https://cmmiinstitute.com/appraisals-sys/appraisals/53517/timeline</v>
      </c>
    </row>
    <row r="46" spans="1:23">
      <c r="A46" s="14" t="s">
        <v>390</v>
      </c>
    </row>
    <row r="47" spans="1:23">
      <c r="A47" s="11" t="s">
        <v>391</v>
      </c>
      <c r="B47" s="38">
        <f>'Agreement 3'!B22</f>
        <v>44174</v>
      </c>
      <c r="C47" s="125" t="s">
        <v>1002</v>
      </c>
    </row>
    <row r="48" spans="1:23">
      <c r="A48" s="11" t="s">
        <v>392</v>
      </c>
      <c r="B48" s="38">
        <f>B63-1</f>
        <v>44295</v>
      </c>
      <c r="C48" s="125" t="s">
        <v>1003</v>
      </c>
    </row>
    <row r="50" spans="1:23">
      <c r="A50" s="32" t="s">
        <v>393</v>
      </c>
      <c r="B50" s="33"/>
      <c r="C50" s="187"/>
      <c r="D50" s="31" t="s">
        <v>824</v>
      </c>
    </row>
    <row r="51" spans="1:23">
      <c r="A51" s="33" t="s">
        <v>394</v>
      </c>
      <c r="B51" s="33" t="s">
        <v>722</v>
      </c>
      <c r="C51" s="187"/>
    </row>
    <row r="52" spans="1:23">
      <c r="A52" s="33" t="s">
        <v>395</v>
      </c>
      <c r="B52" s="34">
        <f>Planning!B21</f>
        <v>44268</v>
      </c>
      <c r="C52" s="187" t="s">
        <v>962</v>
      </c>
    </row>
    <row r="53" spans="1:23">
      <c r="A53" s="33" t="s">
        <v>396</v>
      </c>
      <c r="B53" s="34">
        <f>B52</f>
        <v>44268</v>
      </c>
      <c r="C53" s="187" t="s">
        <v>1003</v>
      </c>
    </row>
    <row r="54" spans="1:23">
      <c r="A54" s="33"/>
      <c r="B54" s="33"/>
      <c r="C54" s="187"/>
    </row>
    <row r="55" spans="1:23">
      <c r="A55" s="33" t="s">
        <v>394</v>
      </c>
      <c r="B55" s="33" t="s">
        <v>723</v>
      </c>
      <c r="C55" s="187"/>
    </row>
    <row r="56" spans="1:23">
      <c r="A56" s="33" t="s">
        <v>395</v>
      </c>
      <c r="B56" s="34">
        <f>Planning!B24</f>
        <v>44282</v>
      </c>
      <c r="C56" s="187" t="s">
        <v>962</v>
      </c>
    </row>
    <row r="57" spans="1:23">
      <c r="A57" s="33" t="s">
        <v>396</v>
      </c>
      <c r="B57" s="34">
        <f>B56</f>
        <v>44282</v>
      </c>
      <c r="C57" s="187" t="s">
        <v>1003</v>
      </c>
    </row>
    <row r="58" spans="1:23" customFormat="1">
      <c r="C58" s="125"/>
      <c r="D58" s="125"/>
      <c r="E58" s="125"/>
      <c r="F58" s="125"/>
      <c r="G58" s="125"/>
      <c r="H58" s="125"/>
      <c r="I58" s="125"/>
      <c r="J58" s="125"/>
      <c r="K58" s="125"/>
      <c r="L58" s="125"/>
      <c r="M58" s="125"/>
      <c r="N58" s="125"/>
      <c r="O58" s="125"/>
      <c r="P58" s="125"/>
      <c r="Q58" s="125"/>
      <c r="R58" s="125"/>
      <c r="S58" s="125"/>
      <c r="T58" s="125"/>
      <c r="U58" s="125"/>
      <c r="V58" s="125"/>
      <c r="W58" s="125"/>
    </row>
    <row r="59" spans="1:23" customFormat="1">
      <c r="A59" s="18" t="s">
        <v>603</v>
      </c>
      <c r="C59" s="125"/>
      <c r="D59" s="125"/>
      <c r="E59" s="125"/>
      <c r="F59" s="125"/>
      <c r="G59" s="125"/>
      <c r="H59" s="125"/>
      <c r="I59" s="125"/>
      <c r="J59" s="125"/>
      <c r="K59" s="125"/>
      <c r="L59" s="125"/>
      <c r="M59" s="125"/>
      <c r="N59" s="125"/>
      <c r="O59" s="125"/>
      <c r="P59" s="125"/>
      <c r="Q59" s="125"/>
      <c r="R59" s="125"/>
      <c r="S59" s="125"/>
      <c r="T59" s="125"/>
      <c r="U59" s="125"/>
      <c r="V59" s="125"/>
      <c r="W59" s="125"/>
    </row>
    <row r="60" spans="1:23" customFormat="1">
      <c r="C60" s="125"/>
      <c r="D60" s="125"/>
      <c r="E60" s="125"/>
      <c r="F60" s="125"/>
      <c r="G60" s="125"/>
      <c r="H60" s="125"/>
      <c r="I60" s="125"/>
      <c r="J60" s="125"/>
      <c r="K60" s="125"/>
      <c r="L60" s="125"/>
      <c r="M60" s="125"/>
      <c r="N60" s="125"/>
      <c r="O60" s="125"/>
      <c r="P60" s="125"/>
      <c r="Q60" s="125"/>
      <c r="R60" s="125"/>
      <c r="S60" s="125"/>
      <c r="T60" s="125"/>
      <c r="U60" s="125"/>
      <c r="V60" s="125"/>
      <c r="W60" s="125"/>
    </row>
    <row r="62" spans="1:23">
      <c r="A62" s="14" t="s">
        <v>397</v>
      </c>
    </row>
    <row r="63" spans="1:23">
      <c r="A63" s="11" t="s">
        <v>398</v>
      </c>
      <c r="B63" s="38">
        <f>Planning!B27</f>
        <v>44296</v>
      </c>
      <c r="C63" s="125" t="s">
        <v>962</v>
      </c>
    </row>
    <row r="64" spans="1:23">
      <c r="A64" s="21" t="s">
        <v>721</v>
      </c>
      <c r="B64" s="38">
        <f>'Agreement 3'!B25</f>
        <v>44298</v>
      </c>
      <c r="C64" s="125" t="s">
        <v>1002</v>
      </c>
    </row>
    <row r="65" spans="1:22">
      <c r="A65" s="11" t="s">
        <v>399</v>
      </c>
      <c r="B65" s="38">
        <f>Planning!B33</f>
        <v>44302</v>
      </c>
      <c r="C65" s="125" t="s">
        <v>962</v>
      </c>
    </row>
    <row r="66" spans="1:22">
      <c r="A66" s="11" t="s">
        <v>400</v>
      </c>
      <c r="B66" s="39">
        <f>Planning!B34</f>
        <v>7</v>
      </c>
      <c r="C66" s="125" t="s">
        <v>962</v>
      </c>
    </row>
    <row r="68" spans="1:22">
      <c r="A68" s="14" t="s">
        <v>401</v>
      </c>
    </row>
    <row r="69" spans="1:22">
      <c r="A69" s="11" t="s">
        <v>402</v>
      </c>
      <c r="B69" s="38">
        <f>Planning!B36</f>
        <v>44302</v>
      </c>
      <c r="C69" s="125" t="s">
        <v>962</v>
      </c>
    </row>
    <row r="70" spans="1:22">
      <c r="A70" s="11" t="s">
        <v>403</v>
      </c>
      <c r="B70" s="38">
        <f>Planning!B38</f>
        <v>44315</v>
      </c>
      <c r="C70" s="125" t="s">
        <v>962</v>
      </c>
    </row>
    <row r="72" spans="1:22">
      <c r="A72" s="15" t="s">
        <v>770</v>
      </c>
      <c r="B72" s="17"/>
    </row>
    <row r="73" spans="1:22">
      <c r="A73" s="28" t="s">
        <v>771</v>
      </c>
      <c r="B73" s="29"/>
      <c r="C73" s="30" t="str">
        <f>HYPERLINK(_xlfn.CONCAT("https://cmmiinstitute.com/appraisals-sys/appraisals/",Planning!$B$16,"/org-unit-targets"))</f>
        <v>https://cmmiinstitute.com/appraisals-sys/appraisals/53517/org-unit-targets</v>
      </c>
    </row>
    <row r="75" spans="1:22">
      <c r="A75" s="11" t="s">
        <v>412</v>
      </c>
      <c r="B75" s="102" t="str">
        <f>Planning!B10</f>
        <v>Maturity Level 5</v>
      </c>
      <c r="C75" s="125" t="s">
        <v>962</v>
      </c>
    </row>
    <row r="76" spans="1:22">
      <c r="A76" s="11" t="s">
        <v>413</v>
      </c>
      <c r="B76" s="102" t="str">
        <f>Planning!B11</f>
        <v>CMMI Development V2.0 (CMMI-DEV) without SAM</v>
      </c>
      <c r="C76" s="125" t="s">
        <v>962</v>
      </c>
    </row>
    <row r="77" spans="1:22" ht="43.5">
      <c r="A77" s="11" t="s">
        <v>419</v>
      </c>
      <c r="B77" s="102" t="str">
        <f>IF(Planning!B12="","",Planning!B12)</f>
        <v>SAM since all software is developed inhouse.</v>
      </c>
      <c r="C77" s="125" t="s">
        <v>962</v>
      </c>
    </row>
    <row r="78" spans="1:22">
      <c r="V78" s="30"/>
    </row>
    <row r="79" spans="1:22">
      <c r="A79" s="28" t="s">
        <v>772</v>
      </c>
      <c r="B79" s="29"/>
      <c r="C79" s="30"/>
    </row>
    <row r="80" spans="1:22">
      <c r="A80" s="36" t="s">
        <v>773</v>
      </c>
      <c r="B80" s="35"/>
    </row>
    <row r="82" spans="1:36">
      <c r="A82" s="15" t="s">
        <v>774</v>
      </c>
      <c r="B82" s="17"/>
    </row>
    <row r="83" spans="1:36">
      <c r="A83" s="28" t="s">
        <v>775</v>
      </c>
      <c r="B83" s="29"/>
      <c r="C83" s="30" t="str">
        <f>HYPERLINK(_xlfn.CONCAT("https://cmmiinstitute.com/appraisals-sys/appraisals/",Planning!$B$16,"/appraisal-sponsor"))</f>
        <v>https://cmmiinstitute.com/appraisals-sys/appraisals/53517/appraisal-sponsor</v>
      </c>
    </row>
    <row r="84" spans="1:36" s="125" customFormat="1">
      <c r="A84" s="192" t="s">
        <v>1060</v>
      </c>
      <c r="B84" s="192" t="s">
        <v>420</v>
      </c>
      <c r="C84" s="192" t="s">
        <v>1076</v>
      </c>
      <c r="D84" s="192" t="s">
        <v>1013</v>
      </c>
      <c r="E84" s="192" t="s">
        <v>1014</v>
      </c>
      <c r="F84" s="192" t="s">
        <v>1061</v>
      </c>
      <c r="G84" s="192" t="s">
        <v>1062</v>
      </c>
      <c r="H84" s="192" t="s">
        <v>1063</v>
      </c>
      <c r="I84" s="192" t="s">
        <v>1064</v>
      </c>
      <c r="J84" s="192" t="s">
        <v>1065</v>
      </c>
      <c r="K84" s="192" t="s">
        <v>1066</v>
      </c>
      <c r="L84" s="192" t="s">
        <v>1067</v>
      </c>
      <c r="M84" s="192" t="s">
        <v>1068</v>
      </c>
      <c r="N84" s="192"/>
      <c r="O84" s="192" t="s">
        <v>1069</v>
      </c>
      <c r="P84" s="192" t="s">
        <v>1070</v>
      </c>
      <c r="Q84" s="192" t="s">
        <v>1071</v>
      </c>
      <c r="R84" s="192" t="s">
        <v>1072</v>
      </c>
      <c r="S84" s="192" t="s">
        <v>1073</v>
      </c>
      <c r="T84" s="192" t="s">
        <v>1074</v>
      </c>
      <c r="U84" s="192" t="s">
        <v>1075</v>
      </c>
      <c r="V84" s="192" t="s">
        <v>10</v>
      </c>
      <c r="W84" s="191"/>
      <c r="X84" s="248" t="s">
        <v>1159</v>
      </c>
      <c r="Y84" s="133"/>
      <c r="Z84" s="133"/>
      <c r="AA84" s="188"/>
    </row>
    <row r="85" spans="1:36" s="16" customFormat="1">
      <c r="A85" s="16" t="s">
        <v>593</v>
      </c>
      <c r="B85" s="97" t="str">
        <f>IF('Agreement 3'!B28="","",'Agreement 3'!B28)</f>
        <v>Prof Kessler, Donald</v>
      </c>
      <c r="C85" s="125" t="s">
        <v>1005</v>
      </c>
      <c r="D85" s="87" t="str">
        <f>IF('Agreement 3'!B16="","",'Agreement 3'!B16)</f>
        <v>Software for Mars (Pty) Ltd</v>
      </c>
      <c r="E85" s="97" t="s">
        <v>735</v>
      </c>
      <c r="F85" s="125"/>
      <c r="G85" s="125" t="s">
        <v>730</v>
      </c>
      <c r="H85" s="125" t="s">
        <v>1158</v>
      </c>
      <c r="I85" s="193" t="str">
        <f>'Agreement 3'!B30</f>
        <v>+000 1111 2222</v>
      </c>
      <c r="J85" s="125"/>
      <c r="K85" s="125"/>
      <c r="L85" s="125"/>
      <c r="M85" s="125"/>
      <c r="N85" s="125"/>
      <c r="O85" s="125"/>
      <c r="P85" s="125"/>
      <c r="Q85" s="125"/>
      <c r="R85" s="125"/>
      <c r="S85" s="125"/>
      <c r="T85" s="125"/>
      <c r="U85" s="125"/>
      <c r="V85" s="96" t="str">
        <f>IF('Agreement 3'!B31="","",'Agreement 3'!B31)</f>
        <v>donald.kessler@email.com</v>
      </c>
      <c r="W85" s="125"/>
      <c r="X85" s="53" t="s">
        <v>1612</v>
      </c>
      <c r="Y85" s="249" t="str">
        <f>IF(TRIM(X85)&lt;&gt;TRIM(V85),"CAS email different","ok")</f>
        <v>CAS email different</v>
      </c>
      <c r="Z85" s="11"/>
      <c r="AA85" s="11"/>
      <c r="AB85" s="11"/>
      <c r="AC85" s="11"/>
      <c r="AD85" s="11"/>
      <c r="AE85" s="11"/>
      <c r="AF85" s="11"/>
      <c r="AG85" s="11"/>
      <c r="AH85" s="11"/>
      <c r="AI85" s="11"/>
      <c r="AJ85" s="11"/>
    </row>
    <row r="86" spans="1:36">
      <c r="A86" s="11" t="s">
        <v>425</v>
      </c>
      <c r="B86" s="101" t="str">
        <f>IF('Agreement 3'!B33="","",'Agreement 3'!B33)</f>
        <v>Miss Lake, Nathalie</v>
      </c>
      <c r="C86" s="97" t="s">
        <v>1005</v>
      </c>
      <c r="D86" s="87" t="str">
        <f>IF('Agreement 3'!B34="","",'Agreement 3'!B34)</f>
        <v>Software for Mars (Pty) Ltd</v>
      </c>
      <c r="E86" s="190" t="s">
        <v>735</v>
      </c>
      <c r="F86" s="87"/>
      <c r="G86" s="87" t="s">
        <v>730</v>
      </c>
      <c r="H86" s="87"/>
      <c r="I86" s="87"/>
      <c r="J86" s="87"/>
      <c r="K86" s="87"/>
      <c r="L86" s="87"/>
      <c r="M86" s="87"/>
      <c r="N86" s="87"/>
      <c r="O86" s="87"/>
      <c r="P86" s="87"/>
      <c r="Q86" s="87"/>
      <c r="R86" s="87"/>
      <c r="S86" s="87"/>
      <c r="T86" s="87"/>
      <c r="U86" s="87"/>
      <c r="V86" s="95" t="str">
        <f>IF('Agreement 3'!B36="","",'Agreement 3'!B36)</f>
        <v>nathalie.lake@email.com</v>
      </c>
      <c r="W86" s="87"/>
    </row>
    <row r="87" spans="1:36">
      <c r="A87" s="11" t="s">
        <v>424</v>
      </c>
      <c r="B87" s="101" t="str">
        <f>StartupInfo!B51</f>
        <v>Miss Land, Barbara</v>
      </c>
      <c r="C87" s="97" t="s">
        <v>1002</v>
      </c>
      <c r="D87" s="97" t="str">
        <f>StartupInfo!B52</f>
        <v>Freelance</v>
      </c>
      <c r="E87" s="97" t="str">
        <f>StartupInfo!B53</f>
        <v>External</v>
      </c>
      <c r="F87" s="87" t="str">
        <f>StartupInfo!B54</f>
        <v>Other</v>
      </c>
      <c r="G87" s="87" t="str">
        <f>StartupInfo!B55</f>
        <v>Reports directly to the ATL</v>
      </c>
      <c r="H87" s="125" t="s">
        <v>1205</v>
      </c>
      <c r="I87" s="97" t="str">
        <f>StartupInfo!B56</f>
        <v>+000 1111 44444</v>
      </c>
      <c r="J87" s="97"/>
      <c r="K87" s="97"/>
      <c r="L87" s="97"/>
      <c r="M87" s="97"/>
      <c r="N87" s="97"/>
      <c r="O87" s="97"/>
      <c r="P87" s="97"/>
      <c r="Q87" s="97"/>
      <c r="R87" s="97"/>
      <c r="S87" s="97"/>
      <c r="T87" s="97"/>
      <c r="U87" s="97"/>
      <c r="V87" s="96" t="str">
        <f>'Agreement 3'!B42</f>
        <v>barbara.land@email.com</v>
      </c>
      <c r="W87" s="11"/>
      <c r="X87" s="429"/>
      <c r="Y87" s="429"/>
      <c r="Z87" s="429"/>
      <c r="AA87" s="429"/>
    </row>
    <row r="88" spans="1:36">
      <c r="Y88" s="16"/>
    </row>
    <row r="89" spans="1:36">
      <c r="A89" s="28" t="s">
        <v>776</v>
      </c>
      <c r="B89" s="29"/>
      <c r="C89" s="30" t="str">
        <f>HYPERLINK(_xlfn.CONCAT("https://cmmiinstitute.com/appraisals-sys/appraisals/",Planning!$B$16,"/appraisal-sponsor"))</f>
        <v>https://cmmiinstitute.com/appraisals-sys/appraisals/53517/appraisal-sponsor</v>
      </c>
      <c r="Y89" s="16"/>
    </row>
    <row r="90" spans="1:36" s="125" customFormat="1">
      <c r="A90" s="192" t="s">
        <v>1060</v>
      </c>
      <c r="B90" s="192" t="s">
        <v>420</v>
      </c>
      <c r="C90" s="192" t="s">
        <v>1076</v>
      </c>
      <c r="D90" s="192" t="s">
        <v>1013</v>
      </c>
      <c r="E90" s="192" t="s">
        <v>1014</v>
      </c>
      <c r="F90" s="192" t="s">
        <v>1061</v>
      </c>
      <c r="G90" s="192" t="s">
        <v>1062</v>
      </c>
      <c r="H90" s="192" t="s">
        <v>1063</v>
      </c>
      <c r="I90" s="192" t="s">
        <v>1064</v>
      </c>
      <c r="J90" s="192" t="s">
        <v>1065</v>
      </c>
      <c r="K90" s="192" t="s">
        <v>1066</v>
      </c>
      <c r="L90" s="192" t="s">
        <v>1067</v>
      </c>
      <c r="M90" s="192" t="s">
        <v>1068</v>
      </c>
      <c r="N90" s="192"/>
      <c r="O90" s="192" t="s">
        <v>1069</v>
      </c>
      <c r="P90" s="192" t="s">
        <v>1070</v>
      </c>
      <c r="Q90" s="192" t="s">
        <v>1071</v>
      </c>
      <c r="R90" s="192" t="s">
        <v>1072</v>
      </c>
      <c r="S90" s="192" t="s">
        <v>1073</v>
      </c>
      <c r="T90" s="192" t="s">
        <v>1074</v>
      </c>
      <c r="U90" s="192" t="s">
        <v>1075</v>
      </c>
      <c r="V90" s="192" t="s">
        <v>10</v>
      </c>
      <c r="W90" s="191"/>
      <c r="X90" s="133"/>
      <c r="Y90" s="133"/>
      <c r="Z90" s="133"/>
      <c r="AA90" s="188"/>
    </row>
    <row r="91" spans="1:36" s="117" customFormat="1">
      <c r="A91" s="117" t="s">
        <v>1111</v>
      </c>
      <c r="B91" s="242" t="s">
        <v>1579</v>
      </c>
      <c r="C91" s="125" t="s">
        <v>1157</v>
      </c>
      <c r="D91" s="125" t="s">
        <v>6</v>
      </c>
      <c r="E91" s="125" t="s">
        <v>1012</v>
      </c>
      <c r="F91" s="125" t="s">
        <v>1143</v>
      </c>
      <c r="G91" s="125"/>
      <c r="H91" s="125" t="s">
        <v>971</v>
      </c>
      <c r="I91" s="125" t="s">
        <v>1583</v>
      </c>
      <c r="J91" s="125" t="s">
        <v>1077</v>
      </c>
      <c r="K91" s="125"/>
      <c r="L91" s="125">
        <v>8</v>
      </c>
      <c r="M91" s="193">
        <v>44186</v>
      </c>
      <c r="N91" s="125"/>
      <c r="O91" s="125">
        <v>7</v>
      </c>
      <c r="P91" s="125" t="s">
        <v>426</v>
      </c>
      <c r="Q91" s="125" t="s">
        <v>1057</v>
      </c>
      <c r="R91" s="125">
        <v>3</v>
      </c>
      <c r="S91" s="125">
        <v>0</v>
      </c>
      <c r="T91" s="125" t="s">
        <v>1058</v>
      </c>
      <c r="U91" s="125" t="s">
        <v>1375</v>
      </c>
      <c r="V91" s="30" t="s">
        <v>1587</v>
      </c>
      <c r="W91" s="125"/>
      <c r="AA91" s="293"/>
    </row>
    <row r="92" spans="1:36" s="117" customFormat="1">
      <c r="A92" s="117" t="s">
        <v>1111</v>
      </c>
      <c r="B92" s="242" t="s">
        <v>1580</v>
      </c>
      <c r="C92" s="125" t="s">
        <v>1157</v>
      </c>
      <c r="D92" s="125" t="s">
        <v>6</v>
      </c>
      <c r="E92" s="125" t="s">
        <v>1012</v>
      </c>
      <c r="F92" s="125" t="s">
        <v>1143</v>
      </c>
      <c r="G92" s="125"/>
      <c r="H92" s="125" t="s">
        <v>971</v>
      </c>
      <c r="I92" s="125" t="s">
        <v>1584</v>
      </c>
      <c r="J92" s="125" t="s">
        <v>1077</v>
      </c>
      <c r="K92" s="125"/>
      <c r="L92" s="125">
        <v>8</v>
      </c>
      <c r="M92" s="193">
        <v>44186</v>
      </c>
      <c r="N92" s="125"/>
      <c r="O92" s="125">
        <v>18</v>
      </c>
      <c r="P92" s="125" t="s">
        <v>426</v>
      </c>
      <c r="Q92" s="125" t="s">
        <v>1057</v>
      </c>
      <c r="R92" s="125">
        <v>14</v>
      </c>
      <c r="S92" s="125">
        <v>0</v>
      </c>
      <c r="T92" s="125" t="s">
        <v>1058</v>
      </c>
      <c r="U92" s="125" t="s">
        <v>1375</v>
      </c>
      <c r="V92" s="30" t="s">
        <v>1588</v>
      </c>
      <c r="W92" s="125"/>
      <c r="AA92" s="293"/>
    </row>
    <row r="93" spans="1:36" s="117" customFormat="1">
      <c r="A93" s="117" t="s">
        <v>1111</v>
      </c>
      <c r="B93" s="242" t="s">
        <v>1581</v>
      </c>
      <c r="C93" s="125" t="s">
        <v>1157</v>
      </c>
      <c r="D93" s="125" t="s">
        <v>6</v>
      </c>
      <c r="E93" s="125" t="s">
        <v>1012</v>
      </c>
      <c r="F93" s="125" t="s">
        <v>1143</v>
      </c>
      <c r="G93" s="125"/>
      <c r="H93" s="125" t="s">
        <v>971</v>
      </c>
      <c r="I93" s="125" t="s">
        <v>1585</v>
      </c>
      <c r="J93" s="125" t="s">
        <v>1056</v>
      </c>
      <c r="K93" s="125"/>
      <c r="L93" s="125">
        <v>8</v>
      </c>
      <c r="M93" s="193">
        <v>44186</v>
      </c>
      <c r="N93" s="125"/>
      <c r="O93" s="125">
        <v>20</v>
      </c>
      <c r="P93" s="125" t="s">
        <v>426</v>
      </c>
      <c r="Q93" s="125" t="s">
        <v>1057</v>
      </c>
      <c r="R93" s="125">
        <v>30</v>
      </c>
      <c r="S93" s="125">
        <v>5</v>
      </c>
      <c r="T93" s="125" t="s">
        <v>1058</v>
      </c>
      <c r="U93" s="125" t="s">
        <v>1376</v>
      </c>
      <c r="V93" s="30" t="s">
        <v>1589</v>
      </c>
      <c r="W93" s="125"/>
      <c r="AA93" s="293"/>
    </row>
    <row r="94" spans="1:36" s="117" customFormat="1">
      <c r="A94" s="117" t="s">
        <v>1111</v>
      </c>
      <c r="B94" s="242" t="s">
        <v>1582</v>
      </c>
      <c r="C94" s="125" t="s">
        <v>1157</v>
      </c>
      <c r="D94" s="125" t="s">
        <v>6</v>
      </c>
      <c r="E94" s="125" t="s">
        <v>1012</v>
      </c>
      <c r="F94" s="125" t="s">
        <v>1143</v>
      </c>
      <c r="G94" s="125"/>
      <c r="H94" s="125" t="s">
        <v>971</v>
      </c>
      <c r="I94" s="125" t="s">
        <v>1586</v>
      </c>
      <c r="J94" s="125" t="s">
        <v>1077</v>
      </c>
      <c r="K94" s="125"/>
      <c r="L94" s="125">
        <v>8</v>
      </c>
      <c r="M94" s="193">
        <v>44186</v>
      </c>
      <c r="N94" s="125"/>
      <c r="O94" s="125">
        <v>12</v>
      </c>
      <c r="P94" s="125" t="s">
        <v>426</v>
      </c>
      <c r="Q94" s="125" t="s">
        <v>1057</v>
      </c>
      <c r="R94" s="125">
        <v>10</v>
      </c>
      <c r="S94" s="125">
        <v>9</v>
      </c>
      <c r="T94" s="125" t="s">
        <v>1058</v>
      </c>
      <c r="U94" s="125" t="s">
        <v>1376</v>
      </c>
      <c r="V94" s="30" t="s">
        <v>1590</v>
      </c>
      <c r="W94" s="125"/>
      <c r="AA94" s="293"/>
    </row>
    <row r="95" spans="1:36" s="117" customFormat="1">
      <c r="A95" s="117" t="s">
        <v>1111</v>
      </c>
      <c r="B95" s="242" t="s">
        <v>1251</v>
      </c>
      <c r="C95" s="125" t="s">
        <v>1157</v>
      </c>
      <c r="D95" s="125" t="s">
        <v>6</v>
      </c>
      <c r="E95" s="125" t="s">
        <v>1012</v>
      </c>
      <c r="F95" s="125" t="s">
        <v>1143</v>
      </c>
      <c r="G95" s="125"/>
      <c r="H95" s="125" t="s">
        <v>971</v>
      </c>
      <c r="I95" s="125" t="s">
        <v>1252</v>
      </c>
      <c r="J95" s="125" t="s">
        <v>1077</v>
      </c>
      <c r="K95" s="125" t="s">
        <v>1078</v>
      </c>
      <c r="L95" s="125">
        <v>8</v>
      </c>
      <c r="M95" s="193">
        <v>44137</v>
      </c>
      <c r="N95" s="125"/>
      <c r="O95" s="125">
        <v>16</v>
      </c>
      <c r="P95" s="125" t="s">
        <v>426</v>
      </c>
      <c r="Q95" s="125" t="s">
        <v>1057</v>
      </c>
      <c r="R95" s="125">
        <v>17</v>
      </c>
      <c r="S95" s="125">
        <v>2</v>
      </c>
      <c r="T95" s="125" t="s">
        <v>1058</v>
      </c>
      <c r="U95" s="125" t="s">
        <v>1059</v>
      </c>
      <c r="V95" s="30" t="s">
        <v>1253</v>
      </c>
      <c r="W95" s="125"/>
      <c r="AA95" s="293"/>
    </row>
    <row r="96" spans="1:36" s="117" customFormat="1">
      <c r="A96" s="117" t="s">
        <v>1111</v>
      </c>
      <c r="B96" s="242" t="s">
        <v>1254</v>
      </c>
      <c r="C96" s="125" t="s">
        <v>1157</v>
      </c>
      <c r="D96" s="125" t="s">
        <v>6</v>
      </c>
      <c r="E96" s="125" t="s">
        <v>1012</v>
      </c>
      <c r="F96" s="125" t="s">
        <v>1143</v>
      </c>
      <c r="G96" s="125"/>
      <c r="H96" s="125" t="s">
        <v>971</v>
      </c>
      <c r="I96" s="125" t="s">
        <v>1255</v>
      </c>
      <c r="J96" s="125" t="s">
        <v>1077</v>
      </c>
      <c r="K96" s="125"/>
      <c r="L96" s="125">
        <v>8</v>
      </c>
      <c r="M96" s="193">
        <v>44202</v>
      </c>
      <c r="N96" s="125"/>
      <c r="O96" s="125">
        <v>18</v>
      </c>
      <c r="P96" s="125" t="s">
        <v>426</v>
      </c>
      <c r="Q96" s="125" t="s">
        <v>1057</v>
      </c>
      <c r="R96" s="125">
        <v>15</v>
      </c>
      <c r="S96" s="125">
        <v>1</v>
      </c>
      <c r="T96" s="125" t="s">
        <v>1058</v>
      </c>
      <c r="U96" s="125" t="s">
        <v>1059</v>
      </c>
      <c r="V96" s="30" t="s">
        <v>1256</v>
      </c>
      <c r="W96" s="125"/>
      <c r="AA96" s="293"/>
    </row>
    <row r="97" spans="1:27" s="117" customFormat="1">
      <c r="A97" s="117" t="s">
        <v>1111</v>
      </c>
      <c r="B97" s="242" t="s">
        <v>1257</v>
      </c>
      <c r="C97" s="125" t="s">
        <v>1157</v>
      </c>
      <c r="D97" s="125" t="s">
        <v>6</v>
      </c>
      <c r="E97" s="125" t="s">
        <v>735</v>
      </c>
      <c r="F97" s="125" t="s">
        <v>730</v>
      </c>
      <c r="G97" s="125"/>
      <c r="H97" s="125" t="s">
        <v>1248</v>
      </c>
      <c r="I97" s="125" t="s">
        <v>1258</v>
      </c>
      <c r="J97" s="125" t="s">
        <v>1056</v>
      </c>
      <c r="K97" s="125" t="s">
        <v>1078</v>
      </c>
      <c r="L97" s="125">
        <v>8</v>
      </c>
      <c r="M97" s="193">
        <v>44144</v>
      </c>
      <c r="N97" s="125"/>
      <c r="O97" s="125">
        <v>20</v>
      </c>
      <c r="P97" s="125" t="s">
        <v>426</v>
      </c>
      <c r="Q97" s="125" t="s">
        <v>1057</v>
      </c>
      <c r="R97" s="125">
        <v>14</v>
      </c>
      <c r="S97" s="125">
        <v>2</v>
      </c>
      <c r="T97" s="125" t="s">
        <v>1058</v>
      </c>
      <c r="U97" s="125" t="s">
        <v>1059</v>
      </c>
      <c r="V97" s="30" t="s">
        <v>1259</v>
      </c>
      <c r="W97" s="125"/>
      <c r="AA97" s="293"/>
    </row>
    <row r="98" spans="1:27" s="117" customFormat="1">
      <c r="A98" s="117" t="s">
        <v>1111</v>
      </c>
      <c r="B98" s="242" t="s">
        <v>1260</v>
      </c>
      <c r="C98" s="125" t="s">
        <v>1157</v>
      </c>
      <c r="D98" s="125" t="s">
        <v>6</v>
      </c>
      <c r="E98" s="125" t="s">
        <v>735</v>
      </c>
      <c r="F98" s="125" t="s">
        <v>730</v>
      </c>
      <c r="G98" s="125"/>
      <c r="H98" s="125" t="s">
        <v>1248</v>
      </c>
      <c r="I98" s="125" t="s">
        <v>1261</v>
      </c>
      <c r="J98" s="125" t="s">
        <v>1077</v>
      </c>
      <c r="K98" s="125" t="s">
        <v>1078</v>
      </c>
      <c r="L98" s="125">
        <v>8</v>
      </c>
      <c r="M98" s="193">
        <v>44144</v>
      </c>
      <c r="N98" s="125"/>
      <c r="O98" s="125">
        <v>5</v>
      </c>
      <c r="P98" s="125" t="s">
        <v>426</v>
      </c>
      <c r="Q98" s="125" t="s">
        <v>1057</v>
      </c>
      <c r="R98" s="125">
        <v>14</v>
      </c>
      <c r="S98" s="125">
        <v>3</v>
      </c>
      <c r="T98" s="125" t="s">
        <v>1058</v>
      </c>
      <c r="U98" s="125" t="s">
        <v>1059</v>
      </c>
      <c r="V98" s="30" t="s">
        <v>1262</v>
      </c>
      <c r="W98" s="125"/>
      <c r="AA98" s="293"/>
    </row>
    <row r="99" spans="1:27" s="117" customFormat="1">
      <c r="A99" s="117" t="s">
        <v>1111</v>
      </c>
      <c r="B99" s="242" t="s">
        <v>1263</v>
      </c>
      <c r="C99" s="125" t="s">
        <v>1157</v>
      </c>
      <c r="D99" s="125" t="s">
        <v>6</v>
      </c>
      <c r="E99" s="125" t="s">
        <v>1012</v>
      </c>
      <c r="F99" s="125" t="s">
        <v>1143</v>
      </c>
      <c r="G99" s="125"/>
      <c r="H99" s="125" t="s">
        <v>971</v>
      </c>
      <c r="I99" s="125" t="s">
        <v>1264</v>
      </c>
      <c r="J99" s="125" t="s">
        <v>1077</v>
      </c>
      <c r="K99" s="125" t="s">
        <v>1078</v>
      </c>
      <c r="L99" s="125">
        <v>8</v>
      </c>
      <c r="M99" s="193">
        <v>44202</v>
      </c>
      <c r="N99" s="125"/>
      <c r="O99" s="125">
        <v>17</v>
      </c>
      <c r="P99" s="125" t="s">
        <v>426</v>
      </c>
      <c r="Q99" s="125" t="s">
        <v>1057</v>
      </c>
      <c r="R99" s="125">
        <v>17</v>
      </c>
      <c r="S99" s="125">
        <v>1</v>
      </c>
      <c r="T99" s="125" t="s">
        <v>1058</v>
      </c>
      <c r="U99" s="125" t="s">
        <v>1059</v>
      </c>
      <c r="V99" s="30" t="s">
        <v>1265</v>
      </c>
      <c r="W99" s="125"/>
      <c r="AA99" s="293"/>
    </row>
    <row r="100" spans="1:27" s="117" customFormat="1">
      <c r="B100" s="242"/>
      <c r="C100" s="125"/>
      <c r="D100" s="125"/>
      <c r="E100" s="125"/>
      <c r="F100" s="125"/>
      <c r="G100" s="125"/>
      <c r="H100" s="125"/>
      <c r="I100" s="125"/>
      <c r="J100" s="125"/>
      <c r="K100" s="125"/>
      <c r="L100" s="125"/>
      <c r="M100" s="125"/>
      <c r="N100" s="125"/>
      <c r="O100" s="125"/>
      <c r="P100" s="125"/>
      <c r="Q100" s="125"/>
      <c r="R100" s="125"/>
      <c r="S100" s="125"/>
      <c r="T100" s="125"/>
      <c r="U100" s="125"/>
      <c r="V100" s="30"/>
      <c r="W100" s="125"/>
      <c r="AA100" s="293"/>
    </row>
    <row r="101" spans="1:27" s="117" customFormat="1">
      <c r="A101" s="242" t="s">
        <v>972</v>
      </c>
      <c r="B101" s="242" t="s">
        <v>1614</v>
      </c>
      <c r="C101" s="125" t="s">
        <v>1157</v>
      </c>
      <c r="D101" s="125"/>
      <c r="E101" s="125"/>
      <c r="F101" s="125"/>
      <c r="G101" s="125"/>
      <c r="H101" s="125"/>
      <c r="I101" s="125"/>
      <c r="J101" s="125"/>
      <c r="K101" s="125"/>
      <c r="L101" s="125"/>
      <c r="M101" s="125"/>
      <c r="N101" s="125"/>
      <c r="O101" s="125"/>
      <c r="P101" s="125"/>
      <c r="Q101" s="125"/>
      <c r="R101" s="125"/>
      <c r="S101" s="125"/>
      <c r="T101" s="125"/>
      <c r="U101" s="125"/>
      <c r="V101" s="30" t="s">
        <v>1613</v>
      </c>
      <c r="W101" s="125"/>
      <c r="AA101" s="293"/>
    </row>
    <row r="102" spans="1:27" s="117" customFormat="1">
      <c r="A102" s="117" t="s">
        <v>971</v>
      </c>
      <c r="B102" s="242"/>
      <c r="C102" s="125" t="s">
        <v>1157</v>
      </c>
      <c r="D102" s="125"/>
      <c r="E102" s="125"/>
      <c r="F102" s="125"/>
      <c r="G102" s="125"/>
      <c r="H102" s="125"/>
      <c r="I102" s="125"/>
      <c r="J102" s="125"/>
      <c r="K102" s="125"/>
      <c r="L102" s="125"/>
      <c r="M102" s="125"/>
      <c r="N102" s="125"/>
      <c r="O102" s="125"/>
      <c r="P102" s="125"/>
      <c r="Q102" s="125"/>
      <c r="R102" s="125"/>
      <c r="S102" s="125"/>
      <c r="T102" s="125"/>
      <c r="U102" s="125"/>
      <c r="V102" s="30"/>
      <c r="W102" s="125"/>
      <c r="AA102" s="293"/>
    </row>
    <row r="103" spans="1:27" s="117" customFormat="1">
      <c r="A103" s="117" t="s">
        <v>952</v>
      </c>
      <c r="B103" s="242" t="s">
        <v>1377</v>
      </c>
      <c r="C103" s="125"/>
      <c r="D103" s="125" t="s">
        <v>6</v>
      </c>
      <c r="E103" s="125" t="s">
        <v>1012</v>
      </c>
      <c r="F103" s="125" t="s">
        <v>1143</v>
      </c>
      <c r="G103" s="125"/>
      <c r="H103" s="125" t="s">
        <v>971</v>
      </c>
      <c r="I103" s="125" t="s">
        <v>1378</v>
      </c>
      <c r="J103" s="125" t="s">
        <v>1077</v>
      </c>
      <c r="K103" s="125" t="s">
        <v>1078</v>
      </c>
      <c r="L103" s="125">
        <v>8</v>
      </c>
      <c r="M103" s="125">
        <v>44186</v>
      </c>
      <c r="N103" s="125"/>
      <c r="O103" s="125">
        <v>12</v>
      </c>
      <c r="P103" s="125" t="s">
        <v>426</v>
      </c>
      <c r="Q103" s="125" t="s">
        <v>1057</v>
      </c>
      <c r="R103" s="125">
        <v>10</v>
      </c>
      <c r="S103" s="125">
        <v>9</v>
      </c>
      <c r="T103" s="125" t="s">
        <v>1058</v>
      </c>
      <c r="U103" s="125" t="s">
        <v>1059</v>
      </c>
      <c r="V103" s="30" t="s">
        <v>1379</v>
      </c>
      <c r="W103" s="125"/>
      <c r="AA103" s="293"/>
    </row>
    <row r="105" spans="1:27">
      <c r="A105" s="28" t="s">
        <v>777</v>
      </c>
      <c r="B105" s="29"/>
      <c r="C105" s="30" t="str">
        <f>HYPERLINK(_xlfn.CONCAT("https://cmmiinstitute.com/appraisals-sys/appraisals/",Planning!$B$16,"/training-schedule"))</f>
        <v>https://cmmiinstitute.com/appraisals-sys/appraisals/53517/training-schedule</v>
      </c>
    </row>
    <row r="106" spans="1:27">
      <c r="A106" s="40" t="s">
        <v>779</v>
      </c>
      <c r="B106" s="41"/>
    </row>
    <row r="108" spans="1:27">
      <c r="A108" s="28" t="s">
        <v>778</v>
      </c>
      <c r="B108" s="29"/>
      <c r="C108" s="30" t="str">
        <f>HYPERLINK(_xlfn.CONCAT("https://cmmiinstitute.com/appraisals-sys/appraisals/",Planning!$B$16,"/team-member-experience"))</f>
        <v>https://cmmiinstitute.com/appraisals-sys/appraisals/53517/team-member-experience</v>
      </c>
    </row>
    <row r="109" spans="1:27">
      <c r="A109" s="40" t="s">
        <v>779</v>
      </c>
      <c r="B109" s="41"/>
    </row>
    <row r="111" spans="1:27">
      <c r="A111" s="28" t="s">
        <v>780</v>
      </c>
      <c r="B111" s="29"/>
      <c r="C111" s="30" t="str">
        <f>HYPERLINK(_xlfn.CONCAT("https://cmmiinstitute.com/appraisals-sys/appraisals/",Planning!$B$16,"/roles-responsibilities"))</f>
        <v>https://cmmiinstitute.com/appraisals-sys/appraisals/53517/roles-responsibilities</v>
      </c>
    </row>
    <row r="112" spans="1:27" s="117" customFormat="1">
      <c r="A112" s="40" t="s">
        <v>1200</v>
      </c>
      <c r="B112" s="108"/>
      <c r="C112" s="125"/>
      <c r="D112" s="125"/>
      <c r="E112" s="125"/>
      <c r="F112" s="125"/>
      <c r="G112" s="125"/>
      <c r="H112" s="125"/>
      <c r="I112" s="125"/>
      <c r="J112" s="125"/>
      <c r="K112" s="125"/>
      <c r="L112" s="125"/>
      <c r="M112" s="125"/>
      <c r="N112" s="125"/>
      <c r="O112" s="125"/>
      <c r="P112" s="125"/>
      <c r="Q112" s="125"/>
      <c r="R112" s="125"/>
      <c r="S112" s="125"/>
      <c r="T112" s="125"/>
      <c r="U112" s="125"/>
      <c r="V112" s="125"/>
      <c r="W112" s="125"/>
    </row>
    <row r="114" spans="1:23">
      <c r="A114" s="28" t="s">
        <v>781</v>
      </c>
      <c r="B114" s="29"/>
      <c r="C114" s="30" t="str">
        <f>HYPERLINK(_xlfn.CONCAT("https://cmmiinstitute.com/appraisals-sys/appraisals/",Planning!$B$16,"/appraisal-participants"))</f>
        <v>https://cmmiinstitute.com/appraisals-sys/appraisals/53517/appraisal-participants</v>
      </c>
    </row>
    <row r="115" spans="1:23" s="122" customFormat="1">
      <c r="A115" s="123" t="s">
        <v>1371</v>
      </c>
      <c r="B115" s="116"/>
      <c r="C115" s="194" t="s">
        <v>1082</v>
      </c>
      <c r="D115" s="134"/>
      <c r="E115" s="134"/>
      <c r="F115" s="134"/>
      <c r="G115" s="125"/>
      <c r="H115" s="134"/>
      <c r="I115" s="134"/>
      <c r="J115" s="134"/>
      <c r="K115" s="134"/>
      <c r="L115" s="134"/>
      <c r="M115" s="134"/>
      <c r="N115" s="134"/>
      <c r="O115" s="134"/>
      <c r="P115" s="134"/>
      <c r="Q115" s="134"/>
      <c r="R115" s="134"/>
      <c r="S115" s="134"/>
      <c r="T115" s="134"/>
      <c r="U115" s="134"/>
      <c r="V115" s="134"/>
      <c r="W115" s="134"/>
    </row>
    <row r="117" spans="1:23">
      <c r="A117" s="28" t="s">
        <v>782</v>
      </c>
      <c r="B117" s="29"/>
      <c r="C117" s="30" t="str">
        <f>HYPERLINK(_xlfn.CONCAT("https://cmmiinstitute.com/appraisals-sys/appraisals/",Planning!$B$16,"/participants-responsibilities"))</f>
        <v>https://cmmiinstitute.com/appraisals-sys/appraisals/53517/participants-responsibilities</v>
      </c>
    </row>
    <row r="118" spans="1:23" s="122" customFormat="1">
      <c r="A118" s="123" t="s">
        <v>1372</v>
      </c>
      <c r="B118" s="116"/>
      <c r="C118" s="189"/>
      <c r="D118" s="134"/>
      <c r="E118" s="134"/>
      <c r="F118" s="134"/>
      <c r="G118" s="125"/>
      <c r="H118" s="134"/>
      <c r="I118" s="134"/>
      <c r="J118" s="134"/>
      <c r="K118" s="134"/>
      <c r="L118" s="134"/>
      <c r="M118" s="134"/>
      <c r="N118" s="134"/>
      <c r="O118" s="134"/>
      <c r="P118" s="134"/>
      <c r="Q118" s="134"/>
      <c r="R118" s="134"/>
      <c r="S118" s="134"/>
      <c r="T118" s="134"/>
      <c r="U118" s="134"/>
      <c r="V118" s="134"/>
      <c r="W118" s="134"/>
    </row>
    <row r="120" spans="1:23">
      <c r="A120" s="15" t="s">
        <v>783</v>
      </c>
      <c r="B120" s="17"/>
    </row>
    <row r="121" spans="1:23">
      <c r="A121" s="28" t="s">
        <v>427</v>
      </c>
      <c r="B121" s="29"/>
      <c r="C121" s="30"/>
    </row>
    <row r="122" spans="1:23" s="122" customFormat="1">
      <c r="A122" s="123" t="s">
        <v>1373</v>
      </c>
      <c r="B122" s="116"/>
      <c r="C122" s="194" t="s">
        <v>1081</v>
      </c>
      <c r="D122" s="134"/>
      <c r="E122" s="134"/>
      <c r="F122" s="134"/>
      <c r="G122" s="125"/>
      <c r="H122" s="134"/>
      <c r="I122" s="134"/>
      <c r="J122" s="134"/>
      <c r="K122" s="134"/>
      <c r="L122" s="134"/>
      <c r="M122" s="134"/>
      <c r="N122" s="134"/>
      <c r="O122" s="134"/>
      <c r="P122" s="134"/>
      <c r="Q122" s="134"/>
      <c r="R122" s="134"/>
      <c r="S122" s="134"/>
      <c r="T122" s="134"/>
      <c r="U122" s="134"/>
      <c r="V122" s="134"/>
      <c r="W122" s="134"/>
    </row>
    <row r="124" spans="1:23">
      <c r="A124" s="28" t="s">
        <v>784</v>
      </c>
      <c r="B124" s="29"/>
      <c r="C124" s="30"/>
    </row>
    <row r="125" spans="1:23">
      <c r="A125" s="430" t="s">
        <v>1374</v>
      </c>
      <c r="B125" s="430"/>
    </row>
    <row r="127" spans="1:23">
      <c r="A127" s="28" t="s">
        <v>785</v>
      </c>
      <c r="B127" s="29"/>
      <c r="C127" s="30"/>
    </row>
    <row r="128" spans="1:23">
      <c r="A128" s="11" t="s">
        <v>435</v>
      </c>
      <c r="B128" s="13" t="s">
        <v>433</v>
      </c>
      <c r="C128" s="125" t="s">
        <v>384</v>
      </c>
    </row>
    <row r="129" spans="1:3">
      <c r="A129" s="11" t="s">
        <v>436</v>
      </c>
    </row>
    <row r="130" spans="1:3">
      <c r="A130" s="11" t="s">
        <v>437</v>
      </c>
      <c r="B130" s="11" t="s">
        <v>825</v>
      </c>
    </row>
    <row r="132" spans="1:3">
      <c r="A132" s="28" t="s">
        <v>717</v>
      </c>
      <c r="B132" s="29"/>
      <c r="C132" s="30"/>
    </row>
    <row r="133" spans="1:3">
      <c r="A133" s="11" t="s">
        <v>428</v>
      </c>
      <c r="B133" s="12" t="str">
        <f>B128</f>
        <v>Type of Work</v>
      </c>
    </row>
    <row r="134" spans="1:3">
      <c r="A134" s="11" t="s">
        <v>826</v>
      </c>
      <c r="B134" s="11" t="s">
        <v>827</v>
      </c>
    </row>
    <row r="135" spans="1:3">
      <c r="A135" s="11" t="s">
        <v>382</v>
      </c>
      <c r="B135" s="11" t="s">
        <v>825</v>
      </c>
    </row>
    <row r="137" spans="1:3">
      <c r="A137" s="28" t="s">
        <v>786</v>
      </c>
      <c r="B137" s="29"/>
      <c r="C137" s="30"/>
    </row>
    <row r="138" spans="1:3">
      <c r="A138" s="11" t="s">
        <v>13</v>
      </c>
      <c r="B138" s="11" t="s">
        <v>827</v>
      </c>
    </row>
    <row r="139" spans="1:3">
      <c r="A139" s="11" t="s">
        <v>828</v>
      </c>
      <c r="B139" s="11" t="s">
        <v>829</v>
      </c>
    </row>
    <row r="140" spans="1:3">
      <c r="A140" s="11" t="s">
        <v>830</v>
      </c>
      <c r="B140" s="11" t="s">
        <v>831</v>
      </c>
    </row>
    <row r="142" spans="1:3">
      <c r="A142" s="28" t="s">
        <v>787</v>
      </c>
      <c r="B142" s="29"/>
      <c r="C142" s="30"/>
    </row>
    <row r="143" spans="1:3">
      <c r="A143" s="431" t="s">
        <v>832</v>
      </c>
      <c r="B143" s="431"/>
    </row>
    <row r="145" spans="1:3">
      <c r="A145" s="251" t="s">
        <v>788</v>
      </c>
      <c r="B145" s="252"/>
      <c r="C145" s="253"/>
    </row>
    <row r="146" spans="1:3">
      <c r="A146" s="432" t="s">
        <v>789</v>
      </c>
      <c r="B146" s="434"/>
      <c r="C146" s="254" t="s">
        <v>1162</v>
      </c>
    </row>
    <row r="147" spans="1:3" ht="15" thickBot="1">
      <c r="A147" s="433"/>
      <c r="B147" s="435"/>
      <c r="C147" s="254" t="s">
        <v>1165</v>
      </c>
    </row>
    <row r="148" spans="1:3">
      <c r="A148" s="255" t="s">
        <v>751</v>
      </c>
      <c r="B148" s="255" t="s">
        <v>1163</v>
      </c>
      <c r="C148" s="253"/>
    </row>
    <row r="149" spans="1:3" ht="15" thickBot="1">
      <c r="A149" s="256" t="s">
        <v>833</v>
      </c>
      <c r="B149" s="256" t="s">
        <v>834</v>
      </c>
      <c r="C149" s="253"/>
    </row>
    <row r="150" spans="1:3">
      <c r="A150" s="257" t="s">
        <v>750</v>
      </c>
      <c r="B150" s="257" t="s">
        <v>1166</v>
      </c>
      <c r="C150" s="253"/>
    </row>
    <row r="151" spans="1:3" ht="15" thickBot="1">
      <c r="A151" s="256" t="s">
        <v>833</v>
      </c>
      <c r="B151" s="256" t="s">
        <v>834</v>
      </c>
      <c r="C151" s="253"/>
    </row>
    <row r="152" spans="1:3">
      <c r="A152" s="257" t="s">
        <v>835</v>
      </c>
      <c r="B152" s="257" t="s">
        <v>1167</v>
      </c>
      <c r="C152" s="253"/>
    </row>
    <row r="153" spans="1:3" ht="15" thickBot="1">
      <c r="A153" s="256" t="s">
        <v>833</v>
      </c>
      <c r="B153" s="256" t="s">
        <v>834</v>
      </c>
      <c r="C153" s="253"/>
    </row>
    <row r="154" spans="1:3">
      <c r="A154" s="257" t="s">
        <v>752</v>
      </c>
      <c r="B154" s="257" t="s">
        <v>1164</v>
      </c>
      <c r="C154" s="258" t="s">
        <v>1381</v>
      </c>
    </row>
    <row r="156" spans="1:3">
      <c r="A156" s="28" t="s">
        <v>790</v>
      </c>
      <c r="B156" s="29"/>
      <c r="C156" s="30"/>
    </row>
    <row r="157" spans="1:3" ht="29">
      <c r="A157" s="11" t="s">
        <v>837</v>
      </c>
      <c r="B157" s="11" t="s">
        <v>1380</v>
      </c>
      <c r="C157" s="258" t="s">
        <v>1381</v>
      </c>
    </row>
    <row r="158" spans="1:3">
      <c r="A158" s="42" t="s">
        <v>833</v>
      </c>
      <c r="B158" s="42" t="s">
        <v>834</v>
      </c>
    </row>
    <row r="160" spans="1:3">
      <c r="A160" s="28" t="s">
        <v>791</v>
      </c>
      <c r="B160" s="29"/>
      <c r="C160" s="30"/>
    </row>
    <row r="161" spans="1:2">
      <c r="A161" s="11" t="s">
        <v>838</v>
      </c>
      <c r="B161" s="11" t="s">
        <v>1169</v>
      </c>
    </row>
  </sheetData>
  <mergeCells count="5">
    <mergeCell ref="X87:AA87"/>
    <mergeCell ref="A125:B125"/>
    <mergeCell ref="A143:B143"/>
    <mergeCell ref="A146:A147"/>
    <mergeCell ref="B146:B147"/>
  </mergeCells>
  <phoneticPr fontId="54" type="noConversion"/>
  <conditionalFormatting sqref="Y85">
    <cfRule type="cellIs" dxfId="103" priority="1" operator="equal">
      <formula>"ok"</formula>
    </cfRule>
  </conditionalFormatting>
  <dataValidations count="3">
    <dataValidation type="list" allowBlank="1" showInputMessage="1" showErrorMessage="1" sqref="B7:B11" xr:uid="{C4D67BC3-545E-459F-80AA-3F5ED7F59D71}">
      <formula1>"Yes, No"</formula1>
    </dataValidation>
    <dataValidation type="list" allowBlank="1" showInputMessage="1" showErrorMessage="1" sqref="G85:G87" xr:uid="{5D828B13-7FAE-4E87-B189-4F808E260BB8}">
      <formula1>tbl_reportingRelationship</formula1>
    </dataValidation>
    <dataValidation type="list" allowBlank="1" showInputMessage="1" showErrorMessage="1" sqref="B128" xr:uid="{46835D1E-9202-4C62-93C3-427361AD5E6C}">
      <formula1>tbl_sampling</formula1>
    </dataValidation>
  </dataValidations>
  <hyperlinks>
    <hyperlink ref="B24" r:id="rId1" display="www.c-goshine.com" xr:uid="{0B0204F4-945F-451D-BA5A-D34EA384011A}"/>
    <hyperlink ref="V85" r:id="rId2" display="xiongguohui@gktel.com.cn" xr:uid="{C4DF1AAC-84D2-410E-BD1B-29B33154E23A}"/>
    <hyperlink ref="V86" r:id="rId3" display="qianjiedi@gktel.com.cn" xr:uid="{3BF8EE80-0B0B-4914-B5FD-B0B52C060186}"/>
    <hyperlink ref="V87" r:id="rId4" display="fengxiaoling@aski.cc" xr:uid="{824680ED-E1E1-40B8-8063-0B19083CC111}"/>
    <hyperlink ref="X85" r:id="rId5" xr:uid="{AF44B2A9-3EBE-4C6F-9C3A-757B9F039DB7}"/>
    <hyperlink ref="V91:V94" r:id="rId6" display="atm1.email@gmail.com" xr:uid="{8E3489BF-6368-411A-A481-436C5A1A89CF}"/>
    <hyperlink ref="V91" r:id="rId7" xr:uid="{FBB06E73-1DE5-4B51-845E-51A57A7A051A}"/>
    <hyperlink ref="V92" r:id="rId8" xr:uid="{CC2CE451-ACCF-4989-9777-90D6582BE54E}"/>
    <hyperlink ref="V99" r:id="rId9" xr:uid="{93DAE6BB-3DE8-484F-B792-AD6FD6A551C7}"/>
    <hyperlink ref="V98" r:id="rId10" xr:uid="{42B238E5-62F6-4E94-BE79-FFF4CB433D8C}"/>
    <hyperlink ref="V97" r:id="rId11" xr:uid="{103DD34A-96EE-4B88-BDFC-F660045EC52E}"/>
    <hyperlink ref="V96" r:id="rId12" xr:uid="{792DF3B7-6B41-4202-9968-89C3DB64A1D6}"/>
    <hyperlink ref="V95" r:id="rId13" xr:uid="{35992308-DCA6-4B9C-994E-AC7EC9EEC67F}"/>
    <hyperlink ref="V92:V99" r:id="rId14" display="atm1.email@gmail.com" xr:uid="{365F5D48-5CFE-4164-8198-D65B94D1F627}"/>
    <hyperlink ref="V93" r:id="rId15" xr:uid="{63D4CD51-EBC7-44D2-8E95-AF46C1DBB077}"/>
    <hyperlink ref="V94" r:id="rId16" xr:uid="{124772E9-B9E0-45A0-908C-ECF941CBDCFD}"/>
    <hyperlink ref="V101" r:id="rId17" xr:uid="{A3938888-0262-44B9-96FD-00BD65598F9D}"/>
  </hyperlinks>
  <pageMargins left="0.7" right="0.7" top="0.75" bottom="0.75" header="0.3" footer="0.3"/>
  <pageSetup orientation="portrait" r:id="rId18"/>
  <legacyDrawing r:id="rId19"/>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685584-6401-4A9A-AB80-2D2D30B9D1C1}">
  <sheetPr codeName="Sheet7">
    <tabColor theme="8" tint="0.79998168889431442"/>
  </sheetPr>
  <dimension ref="A1:C19"/>
  <sheetViews>
    <sheetView workbookViewId="0">
      <selection activeCell="B14" sqref="B14"/>
    </sheetView>
  </sheetViews>
  <sheetFormatPr defaultRowHeight="14.5"/>
  <cols>
    <col min="1" max="1" width="34.54296875" style="125" customWidth="1"/>
    <col min="2" max="2" width="40.6328125" style="125" customWidth="1"/>
    <col min="3" max="16384" width="8.7265625" style="125"/>
  </cols>
  <sheetData>
    <row r="1" spans="1:3" s="117" customFormat="1">
      <c r="A1" s="118" t="s">
        <v>586</v>
      </c>
      <c r="B1" s="100"/>
    </row>
    <row r="2" spans="1:3" s="117" customFormat="1">
      <c r="A2" s="29" t="s">
        <v>839</v>
      </c>
      <c r="B2" s="29"/>
      <c r="C2" s="53"/>
    </row>
    <row r="3" spans="1:3" s="117" customFormat="1">
      <c r="A3" s="117" t="s">
        <v>1382</v>
      </c>
    </row>
    <row r="4" spans="1:3" s="117" customFormat="1"/>
    <row r="5" spans="1:3" s="117" customFormat="1">
      <c r="A5" s="29" t="s">
        <v>840</v>
      </c>
      <c r="B5" s="29"/>
      <c r="C5" s="53"/>
    </row>
    <row r="6" spans="1:3" s="117" customFormat="1">
      <c r="A6" s="117" t="s">
        <v>1382</v>
      </c>
    </row>
    <row r="7" spans="1:3" s="117" customFormat="1"/>
    <row r="8" spans="1:3" s="117" customFormat="1" ht="29">
      <c r="A8" s="29" t="s">
        <v>841</v>
      </c>
      <c r="B8" s="29"/>
      <c r="C8" s="53"/>
    </row>
    <row r="9" spans="1:3" s="117" customFormat="1">
      <c r="A9" s="117" t="s">
        <v>1382</v>
      </c>
      <c r="B9" s="117" t="s">
        <v>1384</v>
      </c>
    </row>
    <row r="10" spans="1:3" s="117" customFormat="1"/>
    <row r="11" spans="1:3" s="117" customFormat="1">
      <c r="A11" s="29" t="s">
        <v>842</v>
      </c>
      <c r="B11" s="29"/>
      <c r="C11" s="53"/>
    </row>
    <row r="12" spans="1:3" s="117" customFormat="1"/>
    <row r="13" spans="1:3" s="117" customFormat="1"/>
    <row r="14" spans="1:3" s="117" customFormat="1">
      <c r="A14" s="29" t="s">
        <v>843</v>
      </c>
      <c r="B14" s="29"/>
      <c r="C14" s="53"/>
    </row>
    <row r="15" spans="1:3" s="117" customFormat="1" ht="29">
      <c r="A15" s="117" t="s">
        <v>1382</v>
      </c>
      <c r="B15" s="117" t="s">
        <v>1383</v>
      </c>
    </row>
    <row r="16" spans="1:3" s="117" customFormat="1"/>
    <row r="17" spans="1:3" s="117" customFormat="1">
      <c r="A17" s="29" t="s">
        <v>844</v>
      </c>
      <c r="B17" s="29"/>
      <c r="C17" s="53"/>
    </row>
    <row r="18" spans="1:3" s="117" customFormat="1"/>
    <row r="19" spans="1:3" s="117" customFormat="1"/>
  </sheetData>
  <phoneticPr fontId="54" type="noConversion"/>
  <pageMargins left="0.7" right="0.7" top="0.75" bottom="0.75" header="0.3" footer="0.3"/>
  <legacyDrawing r:id="rId1"/>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CDDDA-FB67-46A2-A97A-86BD9DD32AC8}">
  <sheetPr codeName="Sheet8">
    <tabColor theme="8" tint="0.79998168889431442"/>
  </sheetPr>
  <dimension ref="A1:W269"/>
  <sheetViews>
    <sheetView topLeftCell="A73" workbookViewId="0">
      <selection activeCell="B164" sqref="B164"/>
    </sheetView>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792</v>
      </c>
      <c r="B1" s="100"/>
    </row>
    <row r="2" spans="1:3">
      <c r="A2" s="28" t="s">
        <v>793</v>
      </c>
      <c r="B2" s="29"/>
      <c r="C2" s="30"/>
    </row>
    <row r="3" spans="1:3" s="125" customFormat="1">
      <c r="A3" s="24" t="s">
        <v>795</v>
      </c>
      <c r="B3" s="117"/>
    </row>
    <row r="4" spans="1:3" s="125" customFormat="1" ht="43.5">
      <c r="A4" s="125" t="s">
        <v>588</v>
      </c>
      <c r="B4" s="117" t="s">
        <v>1385</v>
      </c>
    </row>
    <row r="5" spans="1:3" s="125" customFormat="1">
      <c r="A5" s="125" t="s">
        <v>589</v>
      </c>
      <c r="B5" s="117" t="s">
        <v>590</v>
      </c>
    </row>
    <row r="6" spans="1:3" s="125" customFormat="1">
      <c r="A6" s="125" t="s">
        <v>591</v>
      </c>
      <c r="B6" s="117" t="s">
        <v>590</v>
      </c>
    </row>
    <row r="7" spans="1:3" s="125" customFormat="1">
      <c r="B7" s="117"/>
    </row>
    <row r="8" spans="1:3" s="125" customFormat="1">
      <c r="A8" s="24" t="s">
        <v>796</v>
      </c>
      <c r="B8" s="117"/>
    </row>
    <row r="9" spans="1:3" s="125" customFormat="1" ht="29">
      <c r="A9" s="125" t="s">
        <v>588</v>
      </c>
      <c r="B9" s="117" t="s">
        <v>1386</v>
      </c>
    </row>
    <row r="10" spans="1:3" s="125" customFormat="1" ht="29">
      <c r="A10" s="125" t="s">
        <v>589</v>
      </c>
      <c r="B10" s="117" t="s">
        <v>736</v>
      </c>
    </row>
    <row r="11" spans="1:3" s="125" customFormat="1">
      <c r="A11" s="125" t="s">
        <v>591</v>
      </c>
      <c r="B11" s="117" t="s">
        <v>592</v>
      </c>
    </row>
    <row r="12" spans="1:3" s="125" customFormat="1">
      <c r="B12" s="117"/>
    </row>
    <row r="13" spans="1:3" s="125" customFormat="1">
      <c r="A13" s="24" t="s">
        <v>797</v>
      </c>
      <c r="B13" s="117"/>
    </row>
    <row r="14" spans="1:3" s="125" customFormat="1" ht="29">
      <c r="A14" s="125" t="s">
        <v>588</v>
      </c>
      <c r="B14" s="117" t="s">
        <v>1387</v>
      </c>
    </row>
    <row r="15" spans="1:3" s="125" customFormat="1">
      <c r="A15" s="125" t="s">
        <v>589</v>
      </c>
      <c r="B15" s="117" t="s">
        <v>737</v>
      </c>
    </row>
    <row r="16" spans="1:3" s="125" customFormat="1">
      <c r="A16" s="125" t="s">
        <v>591</v>
      </c>
      <c r="B16" s="117" t="s">
        <v>592</v>
      </c>
    </row>
    <row r="17" spans="1:3" s="125" customFormat="1">
      <c r="B17" s="117"/>
    </row>
    <row r="18" spans="1:3" s="125" customFormat="1">
      <c r="A18" s="24" t="s">
        <v>672</v>
      </c>
      <c r="B18" s="117"/>
    </row>
    <row r="19" spans="1:3" s="125" customFormat="1" ht="43.5">
      <c r="A19" s="125" t="s">
        <v>588</v>
      </c>
      <c r="B19" s="117" t="s">
        <v>1388</v>
      </c>
    </row>
    <row r="20" spans="1:3" s="125" customFormat="1">
      <c r="A20" s="125" t="s">
        <v>589</v>
      </c>
      <c r="B20" s="117" t="s">
        <v>593</v>
      </c>
    </row>
    <row r="21" spans="1:3" s="125" customFormat="1">
      <c r="A21" s="125" t="s">
        <v>591</v>
      </c>
      <c r="B21" s="117" t="s">
        <v>738</v>
      </c>
    </row>
    <row r="22" spans="1:3" s="125" customFormat="1">
      <c r="B22" s="117"/>
    </row>
    <row r="23" spans="1:3">
      <c r="A23" s="28" t="s">
        <v>794</v>
      </c>
      <c r="B23" s="29"/>
      <c r="C23" s="195"/>
    </row>
    <row r="24" spans="1:3" s="125" customFormat="1" ht="43.5">
      <c r="A24" s="125" t="s">
        <v>588</v>
      </c>
      <c r="B24" s="117" t="s">
        <v>1389</v>
      </c>
      <c r="C24" s="250"/>
    </row>
    <row r="25" spans="1:3" s="125" customFormat="1">
      <c r="B25" s="117"/>
      <c r="C25" s="250"/>
    </row>
    <row r="26" spans="1:3">
      <c r="A26" s="28" t="s">
        <v>800</v>
      </c>
      <c r="B26" s="29"/>
      <c r="C26" s="30"/>
    </row>
    <row r="27" spans="1:3" s="120" customFormat="1">
      <c r="A27" s="120" t="s">
        <v>604</v>
      </c>
      <c r="B27" s="121" t="s">
        <v>434</v>
      </c>
      <c r="C27" s="120" t="s">
        <v>384</v>
      </c>
    </row>
    <row r="28" spans="1:3" s="120" customFormat="1">
      <c r="A28" s="120" t="s">
        <v>605</v>
      </c>
      <c r="B28" s="117" t="s">
        <v>798</v>
      </c>
    </row>
    <row r="29" spans="1:3" s="120" customFormat="1">
      <c r="A29" s="120" t="s">
        <v>588</v>
      </c>
      <c r="B29" s="117" t="s">
        <v>799</v>
      </c>
    </row>
    <row r="30" spans="1:3" s="120" customFormat="1">
      <c r="A30" s="120" t="s">
        <v>589</v>
      </c>
      <c r="B30" s="117" t="s">
        <v>593</v>
      </c>
    </row>
    <row r="31" spans="1:3" s="120" customFormat="1">
      <c r="A31" s="120" t="s">
        <v>591</v>
      </c>
      <c r="B31" s="117" t="s">
        <v>592</v>
      </c>
    </row>
    <row r="32" spans="1:3" s="120" customFormat="1">
      <c r="B32" s="117"/>
    </row>
    <row r="33" spans="1:3" s="120" customFormat="1">
      <c r="B33" s="117"/>
    </row>
    <row r="34" spans="1:3" s="120" customFormat="1">
      <c r="A34" s="124" t="s">
        <v>603</v>
      </c>
      <c r="B34" s="117"/>
    </row>
    <row r="35" spans="1:3">
      <c r="A35" s="14"/>
    </row>
    <row r="36" spans="1:3">
      <c r="A36" s="118" t="s">
        <v>801</v>
      </c>
      <c r="B36" s="100"/>
    </row>
    <row r="37" spans="1:3">
      <c r="A37" s="28" t="s">
        <v>802</v>
      </c>
      <c r="B37" s="29"/>
      <c r="C37" s="30"/>
    </row>
    <row r="38" spans="1:3">
      <c r="A38" s="117" t="s">
        <v>606</v>
      </c>
      <c r="B38" s="121" t="s">
        <v>608</v>
      </c>
      <c r="C38" s="117" t="s">
        <v>384</v>
      </c>
    </row>
    <row r="39" spans="1:3" ht="43.5">
      <c r="A39" s="117" t="s">
        <v>382</v>
      </c>
      <c r="B39" s="117" t="s">
        <v>803</v>
      </c>
    </row>
    <row r="41" spans="1:3">
      <c r="A41" s="28" t="s">
        <v>804</v>
      </c>
      <c r="B41" s="29"/>
      <c r="C41" s="30"/>
    </row>
    <row r="42" spans="1:3">
      <c r="A42" s="117" t="s">
        <v>610</v>
      </c>
      <c r="B42" s="121" t="s">
        <v>613</v>
      </c>
      <c r="C42" s="117" t="s">
        <v>384</v>
      </c>
    </row>
    <row r="43" spans="1:3">
      <c r="A43" s="117" t="s">
        <v>611</v>
      </c>
    </row>
    <row r="44" spans="1:3">
      <c r="A44" s="117" t="s">
        <v>618</v>
      </c>
      <c r="B44" s="117" t="s">
        <v>619</v>
      </c>
    </row>
    <row r="45" spans="1:3" ht="43.5">
      <c r="A45" s="117" t="s">
        <v>382</v>
      </c>
      <c r="B45" s="117" t="s">
        <v>620</v>
      </c>
    </row>
    <row r="47" spans="1:3" s="120" customFormat="1">
      <c r="A47" s="124" t="s">
        <v>603</v>
      </c>
      <c r="B47" s="117"/>
    </row>
    <row r="49" spans="1:3">
      <c r="A49" s="28" t="s">
        <v>805</v>
      </c>
      <c r="B49" s="29"/>
      <c r="C49" s="30"/>
    </row>
    <row r="50" spans="1:3">
      <c r="A50" s="117" t="s">
        <v>622</v>
      </c>
      <c r="B50" s="121" t="s">
        <v>434</v>
      </c>
      <c r="C50" s="117" t="s">
        <v>384</v>
      </c>
    </row>
    <row r="51" spans="1:3">
      <c r="A51" s="117" t="s">
        <v>627</v>
      </c>
      <c r="B51" s="117" t="s">
        <v>628</v>
      </c>
    </row>
    <row r="52" spans="1:3">
      <c r="A52" s="117" t="s">
        <v>382</v>
      </c>
      <c r="B52" s="117" t="s">
        <v>739</v>
      </c>
    </row>
    <row r="54" spans="1:3">
      <c r="A54" s="28" t="s">
        <v>806</v>
      </c>
      <c r="B54" s="29"/>
    </row>
    <row r="55" spans="1:3">
      <c r="A55" s="117" t="s">
        <v>606</v>
      </c>
      <c r="B55" s="121" t="s">
        <v>625</v>
      </c>
      <c r="C55" s="117" t="s">
        <v>384</v>
      </c>
    </row>
    <row r="56" spans="1:3">
      <c r="A56" s="117" t="s">
        <v>629</v>
      </c>
      <c r="B56" s="117" t="s">
        <v>426</v>
      </c>
    </row>
    <row r="57" spans="1:3">
      <c r="A57" s="117" t="s">
        <v>382</v>
      </c>
      <c r="B57" s="117" t="s">
        <v>1201</v>
      </c>
    </row>
    <row r="59" spans="1:3">
      <c r="A59" s="28" t="s">
        <v>807</v>
      </c>
      <c r="B59" s="29"/>
      <c r="C59" s="30"/>
    </row>
    <row r="60" spans="1:3">
      <c r="A60" s="117" t="s">
        <v>630</v>
      </c>
      <c r="B60" s="117" t="s">
        <v>29</v>
      </c>
    </row>
    <row r="62" spans="1:3">
      <c r="A62" s="28" t="s">
        <v>808</v>
      </c>
      <c r="B62" s="29"/>
      <c r="C62" s="30"/>
    </row>
    <row r="63" spans="1:3">
      <c r="A63" s="117" t="s">
        <v>631</v>
      </c>
      <c r="B63" s="117" t="s">
        <v>740</v>
      </c>
    </row>
    <row r="64" spans="1:3">
      <c r="A64" s="117" t="s">
        <v>632</v>
      </c>
      <c r="B64" s="37">
        <f>Planning!B20</f>
        <v>44267</v>
      </c>
      <c r="C64" s="117" t="s">
        <v>962</v>
      </c>
    </row>
    <row r="65" spans="1:3">
      <c r="A65" s="117" t="s">
        <v>633</v>
      </c>
      <c r="B65" s="117" t="s">
        <v>741</v>
      </c>
    </row>
    <row r="67" spans="1:3">
      <c r="A67" s="117" t="s">
        <v>631</v>
      </c>
      <c r="B67" s="117" t="s">
        <v>742</v>
      </c>
    </row>
    <row r="68" spans="1:3">
      <c r="A68" s="117" t="s">
        <v>632</v>
      </c>
      <c r="B68" s="37">
        <f>Planning!B23</f>
        <v>44281</v>
      </c>
      <c r="C68" s="117" t="s">
        <v>962</v>
      </c>
    </row>
    <row r="69" spans="1:3" ht="29">
      <c r="A69" s="117" t="s">
        <v>633</v>
      </c>
      <c r="B69" s="117" t="s">
        <v>969</v>
      </c>
    </row>
    <row r="71" spans="1:3" s="120" customFormat="1">
      <c r="A71" s="124" t="s">
        <v>603</v>
      </c>
      <c r="B71" s="117"/>
    </row>
    <row r="73" spans="1:3">
      <c r="A73" s="28" t="s">
        <v>587</v>
      </c>
      <c r="B73" s="29"/>
      <c r="C73" s="30"/>
    </row>
    <row r="74" spans="1:3">
      <c r="A74" s="117" t="s">
        <v>587</v>
      </c>
      <c r="B74" s="117" t="s">
        <v>743</v>
      </c>
    </row>
    <row r="76" spans="1:3">
      <c r="A76" s="100" t="s">
        <v>809</v>
      </c>
      <c r="B76" s="100"/>
    </row>
    <row r="77" spans="1:3">
      <c r="A77" s="28" t="s">
        <v>809</v>
      </c>
      <c r="B77" s="29"/>
      <c r="C77" s="30"/>
    </row>
    <row r="78" spans="1:3">
      <c r="A78" s="117" t="s">
        <v>394</v>
      </c>
      <c r="B78" s="102" t="str">
        <f>_xlfn.CONCAT("Readiness review for ",B63)</f>
        <v>Readiness review for Version 1 of OE database</v>
      </c>
      <c r="C78" s="117" t="s">
        <v>1003</v>
      </c>
    </row>
    <row r="79" spans="1:3">
      <c r="A79" s="117" t="s">
        <v>395</v>
      </c>
      <c r="B79" s="37">
        <f>Planning!B21</f>
        <v>44268</v>
      </c>
      <c r="C79" s="117" t="s">
        <v>962</v>
      </c>
    </row>
    <row r="80" spans="1:3">
      <c r="A80" s="117" t="s">
        <v>396</v>
      </c>
      <c r="B80" s="37">
        <f>B79</f>
        <v>44268</v>
      </c>
      <c r="C80" s="117" t="s">
        <v>1003</v>
      </c>
    </row>
    <row r="81" spans="1:3" ht="43.5">
      <c r="A81" s="117" t="s">
        <v>744</v>
      </c>
      <c r="B81" s="117" t="s">
        <v>1390</v>
      </c>
    </row>
    <row r="82" spans="1:3" ht="43.5">
      <c r="A82" s="117" t="s">
        <v>745</v>
      </c>
      <c r="B82" s="117" t="s">
        <v>1391</v>
      </c>
    </row>
    <row r="83" spans="1:3">
      <c r="A83" s="117" t="s">
        <v>746</v>
      </c>
      <c r="B83" s="117" t="s">
        <v>1392</v>
      </c>
    </row>
    <row r="84" spans="1:3">
      <c r="A84" s="117" t="s">
        <v>747</v>
      </c>
      <c r="B84" s="117" t="s">
        <v>1393</v>
      </c>
    </row>
    <row r="85" spans="1:3">
      <c r="A85" s="117" t="s">
        <v>748</v>
      </c>
      <c r="B85" s="117" t="s">
        <v>743</v>
      </c>
    </row>
    <row r="86" spans="1:3">
      <c r="A86" s="117" t="s">
        <v>749</v>
      </c>
      <c r="B86" s="117" t="s">
        <v>388</v>
      </c>
    </row>
    <row r="88" spans="1:3">
      <c r="A88" s="117" t="s">
        <v>394</v>
      </c>
      <c r="B88" s="102" t="str">
        <f>_xlfn.CONCAT("Readiness review for ",B67)</f>
        <v>Readiness review for Version 2 of OE database</v>
      </c>
      <c r="C88" s="117" t="s">
        <v>1003</v>
      </c>
    </row>
    <row r="89" spans="1:3">
      <c r="A89" s="117" t="s">
        <v>395</v>
      </c>
      <c r="B89" s="37">
        <f>Planning!B24</f>
        <v>44282</v>
      </c>
      <c r="C89" s="117" t="s">
        <v>962</v>
      </c>
    </row>
    <row r="90" spans="1:3">
      <c r="A90" s="117" t="s">
        <v>396</v>
      </c>
      <c r="B90" s="37">
        <f>B89</f>
        <v>44282</v>
      </c>
      <c r="C90" s="117" t="s">
        <v>1003</v>
      </c>
    </row>
    <row r="91" spans="1:3" ht="43.5">
      <c r="A91" s="117" t="s">
        <v>744</v>
      </c>
      <c r="B91" s="117" t="s">
        <v>1390</v>
      </c>
    </row>
    <row r="92" spans="1:3" ht="58">
      <c r="A92" s="117" t="s">
        <v>745</v>
      </c>
      <c r="B92" s="119" t="s">
        <v>970</v>
      </c>
    </row>
    <row r="93" spans="1:3">
      <c r="A93" s="117" t="s">
        <v>746</v>
      </c>
      <c r="B93" s="117" t="s">
        <v>1392</v>
      </c>
    </row>
    <row r="94" spans="1:3" ht="87">
      <c r="A94" s="117" t="s">
        <v>747</v>
      </c>
      <c r="B94" s="117" t="s">
        <v>1144</v>
      </c>
    </row>
    <row r="95" spans="1:3">
      <c r="A95" s="117" t="s">
        <v>748</v>
      </c>
      <c r="B95" s="117" t="s">
        <v>743</v>
      </c>
    </row>
    <row r="96" spans="1:3">
      <c r="A96" s="117" t="s">
        <v>749</v>
      </c>
      <c r="B96" s="117" t="s">
        <v>388</v>
      </c>
    </row>
    <row r="98" spans="1:23" s="120" customFormat="1">
      <c r="A98" s="124" t="s">
        <v>603</v>
      </c>
      <c r="B98" s="117"/>
    </row>
    <row r="100" spans="1:23">
      <c r="A100" s="100" t="s">
        <v>810</v>
      </c>
      <c r="B100" s="100"/>
    </row>
    <row r="101" spans="1:23">
      <c r="A101" s="28" t="s">
        <v>811</v>
      </c>
      <c r="B101" s="29"/>
      <c r="C101" s="30"/>
    </row>
    <row r="102" spans="1:23" ht="36.5" customHeight="1">
      <c r="A102" s="430" t="s">
        <v>1437</v>
      </c>
      <c r="B102" s="430"/>
      <c r="C102" s="125"/>
      <c r="D102" s="125"/>
      <c r="E102" s="125"/>
      <c r="F102" s="125"/>
      <c r="G102" s="125"/>
      <c r="H102" s="125"/>
      <c r="I102" s="125"/>
      <c r="J102" s="125"/>
      <c r="K102" s="125"/>
      <c r="L102" s="125"/>
      <c r="M102" s="125"/>
      <c r="N102" s="125"/>
      <c r="O102" s="125"/>
      <c r="P102" s="125"/>
      <c r="Q102" s="125"/>
      <c r="R102" s="125"/>
      <c r="S102" s="125"/>
      <c r="T102" s="125"/>
      <c r="U102" s="125"/>
      <c r="V102" s="125"/>
      <c r="W102" s="125"/>
    </row>
    <row r="104" spans="1:23">
      <c r="A104" s="28" t="s">
        <v>812</v>
      </c>
      <c r="B104" s="29"/>
      <c r="C104" s="30"/>
    </row>
    <row r="105" spans="1:23" ht="29">
      <c r="A105" s="117" t="s">
        <v>635</v>
      </c>
      <c r="B105" s="121" t="s">
        <v>636</v>
      </c>
      <c r="C105" s="117" t="s">
        <v>384</v>
      </c>
    </row>
    <row r="106" spans="1:23" ht="29">
      <c r="A106" s="117" t="s">
        <v>640</v>
      </c>
      <c r="B106" s="121" t="s">
        <v>645</v>
      </c>
      <c r="C106" s="117" t="s">
        <v>384</v>
      </c>
    </row>
    <row r="107" spans="1:23">
      <c r="A107" s="117" t="s">
        <v>654</v>
      </c>
    </row>
    <row r="108" spans="1:23" ht="43.5">
      <c r="A108" s="117" t="s">
        <v>655</v>
      </c>
      <c r="B108" s="117" t="s">
        <v>757</v>
      </c>
    </row>
    <row r="109" spans="1:23">
      <c r="A109" s="117" t="s">
        <v>656</v>
      </c>
      <c r="B109" s="117" t="s">
        <v>758</v>
      </c>
    </row>
    <row r="111" spans="1:23">
      <c r="A111" s="117" t="s">
        <v>635</v>
      </c>
      <c r="B111" s="121" t="s">
        <v>637</v>
      </c>
      <c r="C111" s="117" t="s">
        <v>384</v>
      </c>
    </row>
    <row r="112" spans="1:23">
      <c r="A112" s="117" t="s">
        <v>640</v>
      </c>
      <c r="B112" s="121"/>
      <c r="C112" s="117" t="s">
        <v>384</v>
      </c>
    </row>
    <row r="113" spans="1:3">
      <c r="A113" s="117" t="s">
        <v>654</v>
      </c>
    </row>
    <row r="114" spans="1:3" ht="29">
      <c r="A114" s="117" t="s">
        <v>655</v>
      </c>
      <c r="B114" s="117" t="s">
        <v>657</v>
      </c>
    </row>
    <row r="115" spans="1:3">
      <c r="A115" s="117" t="s">
        <v>656</v>
      </c>
      <c r="B115" s="117" t="s">
        <v>758</v>
      </c>
    </row>
    <row r="117" spans="1:3">
      <c r="A117" s="117" t="s">
        <v>635</v>
      </c>
      <c r="B117" s="121" t="s">
        <v>638</v>
      </c>
      <c r="C117" s="117" t="s">
        <v>384</v>
      </c>
    </row>
    <row r="118" spans="1:3">
      <c r="A118" s="117" t="s">
        <v>640</v>
      </c>
      <c r="B118" s="121"/>
      <c r="C118" s="117" t="s">
        <v>384</v>
      </c>
    </row>
    <row r="119" spans="1:3">
      <c r="A119" s="117" t="s">
        <v>654</v>
      </c>
    </row>
    <row r="120" spans="1:3" ht="29">
      <c r="A120" s="117" t="s">
        <v>655</v>
      </c>
      <c r="B120" s="117" t="s">
        <v>658</v>
      </c>
    </row>
    <row r="121" spans="1:3">
      <c r="A121" s="117" t="s">
        <v>656</v>
      </c>
      <c r="B121" s="117" t="s">
        <v>758</v>
      </c>
    </row>
    <row r="123" spans="1:3">
      <c r="A123" s="117" t="s">
        <v>635</v>
      </c>
      <c r="B123" s="121" t="s">
        <v>639</v>
      </c>
      <c r="C123" s="117" t="s">
        <v>384</v>
      </c>
    </row>
    <row r="124" spans="1:3" ht="29">
      <c r="A124" s="117" t="s">
        <v>640</v>
      </c>
      <c r="B124" s="121" t="s">
        <v>642</v>
      </c>
      <c r="C124" s="117" t="s">
        <v>384</v>
      </c>
    </row>
    <row r="125" spans="1:3">
      <c r="A125" s="117" t="s">
        <v>654</v>
      </c>
    </row>
    <row r="126" spans="1:3">
      <c r="A126" s="117" t="s">
        <v>655</v>
      </c>
      <c r="B126" s="117" t="s">
        <v>759</v>
      </c>
    </row>
    <row r="127" spans="1:3">
      <c r="A127" s="117" t="s">
        <v>656</v>
      </c>
      <c r="B127" s="117" t="s">
        <v>760</v>
      </c>
    </row>
    <row r="129" spans="1:3">
      <c r="A129" s="117" t="s">
        <v>635</v>
      </c>
      <c r="B129" s="121" t="s">
        <v>434</v>
      </c>
      <c r="C129" s="117" t="s">
        <v>384</v>
      </c>
    </row>
    <row r="130" spans="1:3" ht="29">
      <c r="A130" s="117" t="s">
        <v>640</v>
      </c>
      <c r="B130" s="121" t="s">
        <v>646</v>
      </c>
      <c r="C130" s="117" t="s">
        <v>384</v>
      </c>
    </row>
    <row r="131" spans="1:3">
      <c r="A131" s="117" t="s">
        <v>654</v>
      </c>
      <c r="B131" s="117" t="s">
        <v>1438</v>
      </c>
    </row>
    <row r="132" spans="1:3" ht="101.5">
      <c r="A132" s="117" t="s">
        <v>655</v>
      </c>
      <c r="B132" s="117" t="s">
        <v>1439</v>
      </c>
    </row>
    <row r="133" spans="1:3">
      <c r="A133" s="117" t="s">
        <v>656</v>
      </c>
      <c r="B133" s="117" t="s">
        <v>1440</v>
      </c>
    </row>
    <row r="135" spans="1:3">
      <c r="A135" s="19" t="s">
        <v>603</v>
      </c>
    </row>
    <row r="137" spans="1:3">
      <c r="A137" s="28" t="s">
        <v>813</v>
      </c>
      <c r="B137" s="29"/>
      <c r="C137" s="30"/>
    </row>
    <row r="138" spans="1:3">
      <c r="A138" s="117" t="s">
        <v>659</v>
      </c>
      <c r="B138" s="121" t="s">
        <v>662</v>
      </c>
      <c r="C138" s="117" t="s">
        <v>384</v>
      </c>
    </row>
    <row r="139" spans="1:3">
      <c r="A139" s="117" t="s">
        <v>667</v>
      </c>
      <c r="B139" s="121"/>
      <c r="C139" s="117" t="s">
        <v>384</v>
      </c>
    </row>
    <row r="140" spans="1:3">
      <c r="A140" s="117" t="s">
        <v>668</v>
      </c>
      <c r="B140" s="117" t="s">
        <v>761</v>
      </c>
    </row>
    <row r="142" spans="1:3">
      <c r="A142" s="19" t="s">
        <v>603</v>
      </c>
    </row>
    <row r="144" spans="1:3">
      <c r="A144" s="28" t="s">
        <v>814</v>
      </c>
      <c r="B144" s="29"/>
      <c r="C144" s="30"/>
    </row>
    <row r="145" spans="1:3">
      <c r="A145" s="14" t="s">
        <v>1441</v>
      </c>
      <c r="B145" s="14" t="s">
        <v>1623</v>
      </c>
    </row>
    <row r="146" spans="1:3">
      <c r="A146" s="117" t="s">
        <v>669</v>
      </c>
      <c r="B146" s="121" t="s">
        <v>420</v>
      </c>
      <c r="C146" s="117" t="s">
        <v>384</v>
      </c>
    </row>
    <row r="147" spans="1:3">
      <c r="A147" s="117" t="s">
        <v>675</v>
      </c>
    </row>
    <row r="148" spans="1:3" ht="29">
      <c r="A148" s="117" t="s">
        <v>676</v>
      </c>
      <c r="B148" s="117" t="s">
        <v>680</v>
      </c>
    </row>
    <row r="149" spans="1:3">
      <c r="A149" s="117" t="s">
        <v>677</v>
      </c>
      <c r="B149" s="121" t="s">
        <v>681</v>
      </c>
      <c r="C149" s="117" t="s">
        <v>384</v>
      </c>
    </row>
    <row r="150" spans="1:3" ht="58">
      <c r="A150" s="117" t="s">
        <v>678</v>
      </c>
      <c r="B150" s="117" t="s">
        <v>682</v>
      </c>
    </row>
    <row r="151" spans="1:3">
      <c r="A151" s="117" t="s">
        <v>679</v>
      </c>
      <c r="B151" s="121" t="s">
        <v>683</v>
      </c>
      <c r="C151" s="117" t="s">
        <v>384</v>
      </c>
    </row>
    <row r="153" spans="1:3">
      <c r="A153" s="14" t="s">
        <v>1442</v>
      </c>
      <c r="B153" s="14" t="s">
        <v>1624</v>
      </c>
    </row>
    <row r="154" spans="1:3">
      <c r="A154" s="117" t="s">
        <v>669</v>
      </c>
      <c r="B154" s="121" t="s">
        <v>434</v>
      </c>
      <c r="C154" s="117" t="s">
        <v>384</v>
      </c>
    </row>
    <row r="155" spans="1:3">
      <c r="A155" s="117" t="s">
        <v>675</v>
      </c>
      <c r="B155" s="117" t="s">
        <v>1625</v>
      </c>
    </row>
    <row r="156" spans="1:3" ht="29">
      <c r="A156" s="117" t="s">
        <v>676</v>
      </c>
      <c r="B156" s="117" t="s">
        <v>1626</v>
      </c>
    </row>
    <row r="157" spans="1:3">
      <c r="A157" s="117" t="s">
        <v>677</v>
      </c>
      <c r="B157" s="121" t="s">
        <v>684</v>
      </c>
      <c r="C157" s="117" t="s">
        <v>384</v>
      </c>
    </row>
    <row r="158" spans="1:3" ht="101.5">
      <c r="A158" s="117" t="s">
        <v>678</v>
      </c>
      <c r="B158" s="117" t="s">
        <v>1627</v>
      </c>
    </row>
    <row r="159" spans="1:3">
      <c r="A159" s="117" t="s">
        <v>679</v>
      </c>
      <c r="B159" s="121" t="s">
        <v>683</v>
      </c>
      <c r="C159" s="117" t="s">
        <v>384</v>
      </c>
    </row>
    <row r="161" spans="1:3">
      <c r="A161" s="14" t="s">
        <v>1443</v>
      </c>
      <c r="B161" s="14" t="s">
        <v>1628</v>
      </c>
    </row>
    <row r="162" spans="1:3">
      <c r="A162" s="117" t="s">
        <v>669</v>
      </c>
      <c r="B162" s="121" t="s">
        <v>434</v>
      </c>
      <c r="C162" s="117" t="s">
        <v>384</v>
      </c>
    </row>
    <row r="163" spans="1:3">
      <c r="A163" s="117" t="s">
        <v>675</v>
      </c>
      <c r="B163" s="117" t="s">
        <v>1444</v>
      </c>
    </row>
    <row r="164" spans="1:3" ht="43.5">
      <c r="A164" s="117" t="s">
        <v>676</v>
      </c>
      <c r="B164" s="117" t="s">
        <v>1445</v>
      </c>
    </row>
    <row r="165" spans="1:3">
      <c r="A165" s="117" t="s">
        <v>677</v>
      </c>
      <c r="B165" s="121" t="s">
        <v>684</v>
      </c>
      <c r="C165" s="117" t="s">
        <v>384</v>
      </c>
    </row>
    <row r="166" spans="1:3" ht="116">
      <c r="A166" s="117" t="s">
        <v>678</v>
      </c>
      <c r="B166" s="117" t="s">
        <v>1662</v>
      </c>
    </row>
    <row r="167" spans="1:3">
      <c r="A167" s="117" t="s">
        <v>679</v>
      </c>
      <c r="B167" s="121" t="s">
        <v>1446</v>
      </c>
      <c r="C167" s="117" t="s">
        <v>384</v>
      </c>
    </row>
    <row r="169" spans="1:3">
      <c r="A169" s="14" t="s">
        <v>1447</v>
      </c>
      <c r="B169" s="14" t="s">
        <v>1629</v>
      </c>
    </row>
    <row r="170" spans="1:3">
      <c r="A170" s="117" t="s">
        <v>669</v>
      </c>
      <c r="B170" s="121" t="s">
        <v>434</v>
      </c>
      <c r="C170" s="117" t="s">
        <v>384</v>
      </c>
    </row>
    <row r="171" spans="1:3">
      <c r="A171" s="117" t="s">
        <v>675</v>
      </c>
      <c r="B171" s="117" t="s">
        <v>1444</v>
      </c>
    </row>
    <row r="172" spans="1:3" ht="29">
      <c r="A172" s="117" t="s">
        <v>676</v>
      </c>
      <c r="B172" s="117" t="s">
        <v>1448</v>
      </c>
    </row>
    <row r="173" spans="1:3">
      <c r="A173" s="117" t="s">
        <v>677</v>
      </c>
      <c r="B173" s="121" t="s">
        <v>1449</v>
      </c>
      <c r="C173" s="117" t="s">
        <v>384</v>
      </c>
    </row>
    <row r="174" spans="1:3" ht="135.65" customHeight="1">
      <c r="A174" s="117" t="s">
        <v>678</v>
      </c>
      <c r="B174" s="117" t="s">
        <v>1663</v>
      </c>
    </row>
    <row r="175" spans="1:3">
      <c r="A175" s="117" t="s">
        <v>679</v>
      </c>
      <c r="B175" s="121" t="s">
        <v>1446</v>
      </c>
      <c r="C175" s="117" t="s">
        <v>384</v>
      </c>
    </row>
    <row r="177" spans="1:3">
      <c r="A177" s="14" t="s">
        <v>1450</v>
      </c>
      <c r="B177" s="14" t="s">
        <v>1630</v>
      </c>
    </row>
    <row r="178" spans="1:3">
      <c r="A178" s="117" t="s">
        <v>669</v>
      </c>
      <c r="B178" s="121" t="s">
        <v>672</v>
      </c>
      <c r="C178" s="117" t="s">
        <v>384</v>
      </c>
    </row>
    <row r="179" spans="1:3">
      <c r="A179" s="117" t="s">
        <v>675</v>
      </c>
    </row>
    <row r="180" spans="1:3" ht="43.5">
      <c r="A180" s="117" t="s">
        <v>676</v>
      </c>
      <c r="B180" s="117" t="s">
        <v>1451</v>
      </c>
    </row>
    <row r="181" spans="1:3">
      <c r="A181" s="117" t="s">
        <v>677</v>
      </c>
      <c r="B181" s="121" t="s">
        <v>1449</v>
      </c>
      <c r="C181" s="117" t="s">
        <v>384</v>
      </c>
    </row>
    <row r="182" spans="1:3" ht="145">
      <c r="A182" s="117" t="s">
        <v>678</v>
      </c>
      <c r="B182" s="117" t="s">
        <v>1664</v>
      </c>
    </row>
    <row r="183" spans="1:3">
      <c r="A183" s="117" t="s">
        <v>679</v>
      </c>
      <c r="B183" s="121" t="s">
        <v>1446</v>
      </c>
      <c r="C183" s="117" t="s">
        <v>384</v>
      </c>
    </row>
    <row r="185" spans="1:3" ht="29">
      <c r="A185" s="14" t="s">
        <v>1631</v>
      </c>
      <c r="B185" s="14" t="s">
        <v>1632</v>
      </c>
    </row>
    <row r="186" spans="1:3">
      <c r="A186" s="117" t="s">
        <v>669</v>
      </c>
      <c r="B186" s="121" t="s">
        <v>434</v>
      </c>
      <c r="C186" s="117" t="s">
        <v>384</v>
      </c>
    </row>
    <row r="187" spans="1:3">
      <c r="A187" s="117" t="s">
        <v>675</v>
      </c>
      <c r="B187" s="117" t="s">
        <v>1625</v>
      </c>
    </row>
    <row r="188" spans="1:3" ht="43.5">
      <c r="A188" s="117" t="s">
        <v>676</v>
      </c>
      <c r="B188" s="117" t="s">
        <v>1633</v>
      </c>
    </row>
    <row r="189" spans="1:3">
      <c r="A189" s="117" t="s">
        <v>677</v>
      </c>
      <c r="B189" s="121" t="s">
        <v>684</v>
      </c>
      <c r="C189" s="117" t="s">
        <v>384</v>
      </c>
    </row>
    <row r="190" spans="1:3" ht="130.5">
      <c r="A190" s="117" t="s">
        <v>678</v>
      </c>
      <c r="B190" s="117" t="s">
        <v>1634</v>
      </c>
    </row>
    <row r="191" spans="1:3">
      <c r="A191" s="117" t="s">
        <v>679</v>
      </c>
      <c r="B191" s="121" t="s">
        <v>1446</v>
      </c>
      <c r="C191" s="117" t="s">
        <v>384</v>
      </c>
    </row>
    <row r="194" spans="1:3">
      <c r="A194" s="14" t="s">
        <v>1635</v>
      </c>
      <c r="B194" s="14" t="s">
        <v>1636</v>
      </c>
    </row>
    <row r="195" spans="1:3">
      <c r="A195" s="117" t="s">
        <v>669</v>
      </c>
      <c r="B195" s="121" t="s">
        <v>434</v>
      </c>
      <c r="C195" s="117" t="s">
        <v>384</v>
      </c>
    </row>
    <row r="196" spans="1:3">
      <c r="A196" s="117" t="s">
        <v>675</v>
      </c>
      <c r="B196" s="117" t="s">
        <v>1625</v>
      </c>
    </row>
    <row r="197" spans="1:3" ht="29">
      <c r="A197" s="117" t="s">
        <v>676</v>
      </c>
      <c r="B197" s="117" t="s">
        <v>1637</v>
      </c>
    </row>
    <row r="198" spans="1:3">
      <c r="A198" s="117" t="s">
        <v>677</v>
      </c>
      <c r="B198" s="121" t="s">
        <v>1449</v>
      </c>
      <c r="C198" s="117" t="s">
        <v>384</v>
      </c>
    </row>
    <row r="199" spans="1:3" ht="43.5">
      <c r="A199" s="117" t="s">
        <v>678</v>
      </c>
      <c r="B199" s="117" t="s">
        <v>1638</v>
      </c>
    </row>
    <row r="200" spans="1:3">
      <c r="A200" s="117" t="s">
        <v>679</v>
      </c>
      <c r="B200" s="121" t="s">
        <v>1446</v>
      </c>
      <c r="C200" s="117" t="s">
        <v>384</v>
      </c>
    </row>
    <row r="202" spans="1:3">
      <c r="A202" s="14" t="s">
        <v>1639</v>
      </c>
      <c r="B202" s="14" t="s">
        <v>1640</v>
      </c>
    </row>
    <row r="203" spans="1:3">
      <c r="A203" s="117" t="s">
        <v>669</v>
      </c>
      <c r="B203" s="121" t="s">
        <v>434</v>
      </c>
      <c r="C203" s="117" t="s">
        <v>384</v>
      </c>
    </row>
    <row r="204" spans="1:3">
      <c r="A204" s="117" t="s">
        <v>675</v>
      </c>
      <c r="B204" s="117" t="s">
        <v>1625</v>
      </c>
    </row>
    <row r="205" spans="1:3" ht="29">
      <c r="A205" s="117" t="s">
        <v>676</v>
      </c>
      <c r="B205" s="117" t="s">
        <v>1641</v>
      </c>
    </row>
    <row r="206" spans="1:3">
      <c r="A206" s="117" t="s">
        <v>677</v>
      </c>
      <c r="B206" s="121" t="s">
        <v>684</v>
      </c>
      <c r="C206" s="117" t="s">
        <v>384</v>
      </c>
    </row>
    <row r="207" spans="1:3" ht="58">
      <c r="A207" s="117" t="s">
        <v>678</v>
      </c>
      <c r="B207" s="117" t="s">
        <v>1642</v>
      </c>
    </row>
    <row r="208" spans="1:3">
      <c r="A208" s="117" t="s">
        <v>679</v>
      </c>
      <c r="B208" s="121" t="s">
        <v>1446</v>
      </c>
      <c r="C208" s="117" t="s">
        <v>384</v>
      </c>
    </row>
    <row r="210" spans="1:3">
      <c r="A210" s="14" t="s">
        <v>1643</v>
      </c>
      <c r="B210" s="14" t="s">
        <v>1644</v>
      </c>
    </row>
    <row r="211" spans="1:3">
      <c r="A211" s="117" t="s">
        <v>669</v>
      </c>
      <c r="B211" s="121" t="s">
        <v>434</v>
      </c>
      <c r="C211" s="117" t="s">
        <v>384</v>
      </c>
    </row>
    <row r="212" spans="1:3">
      <c r="A212" s="117" t="s">
        <v>675</v>
      </c>
      <c r="B212" s="117" t="s">
        <v>1625</v>
      </c>
    </row>
    <row r="213" spans="1:3" ht="29">
      <c r="A213" s="117" t="s">
        <v>676</v>
      </c>
      <c r="B213" s="117" t="s">
        <v>1626</v>
      </c>
    </row>
    <row r="214" spans="1:3">
      <c r="A214" s="117" t="s">
        <v>677</v>
      </c>
      <c r="B214" s="121" t="s">
        <v>684</v>
      </c>
      <c r="C214" s="117" t="s">
        <v>384</v>
      </c>
    </row>
    <row r="215" spans="1:3" ht="101.5">
      <c r="A215" s="117" t="s">
        <v>678</v>
      </c>
      <c r="B215" s="117" t="s">
        <v>1627</v>
      </c>
    </row>
    <row r="216" spans="1:3">
      <c r="A216" s="117" t="s">
        <v>679</v>
      </c>
      <c r="B216" s="121" t="s">
        <v>683</v>
      </c>
      <c r="C216" s="117" t="s">
        <v>384</v>
      </c>
    </row>
    <row r="218" spans="1:3">
      <c r="A218" s="14" t="s">
        <v>1645</v>
      </c>
      <c r="B218" s="14" t="s">
        <v>1646</v>
      </c>
    </row>
    <row r="219" spans="1:3">
      <c r="A219" s="117" t="s">
        <v>669</v>
      </c>
      <c r="B219" s="121" t="s">
        <v>434</v>
      </c>
      <c r="C219" s="117" t="s">
        <v>384</v>
      </c>
    </row>
    <row r="220" spans="1:3">
      <c r="A220" s="117" t="s">
        <v>675</v>
      </c>
      <c r="B220" s="117" t="s">
        <v>1625</v>
      </c>
    </row>
    <row r="221" spans="1:3" ht="29">
      <c r="A221" s="117" t="s">
        <v>676</v>
      </c>
      <c r="B221" s="117" t="s">
        <v>1647</v>
      </c>
    </row>
    <row r="222" spans="1:3">
      <c r="A222" s="117" t="s">
        <v>677</v>
      </c>
      <c r="B222" s="121" t="s">
        <v>684</v>
      </c>
      <c r="C222" s="117" t="s">
        <v>384</v>
      </c>
    </row>
    <row r="223" spans="1:3" ht="130.5">
      <c r="A223" s="117" t="s">
        <v>678</v>
      </c>
      <c r="B223" s="117" t="s">
        <v>1648</v>
      </c>
    </row>
    <row r="224" spans="1:3">
      <c r="A224" s="117" t="s">
        <v>679</v>
      </c>
      <c r="B224" s="121" t="s">
        <v>1446</v>
      </c>
      <c r="C224" s="117" t="s">
        <v>384</v>
      </c>
    </row>
    <row r="226" spans="1:3">
      <c r="A226" s="14" t="s">
        <v>1649</v>
      </c>
      <c r="B226" s="14" t="s">
        <v>1650</v>
      </c>
    </row>
    <row r="227" spans="1:3">
      <c r="A227" s="117" t="s">
        <v>669</v>
      </c>
      <c r="B227" s="121" t="s">
        <v>434</v>
      </c>
      <c r="C227" s="117" t="s">
        <v>384</v>
      </c>
    </row>
    <row r="228" spans="1:3">
      <c r="A228" s="117" t="s">
        <v>675</v>
      </c>
      <c r="B228" s="117" t="s">
        <v>1625</v>
      </c>
    </row>
    <row r="229" spans="1:3">
      <c r="A229" s="117" t="s">
        <v>676</v>
      </c>
      <c r="B229" s="117" t="s">
        <v>1651</v>
      </c>
    </row>
    <row r="230" spans="1:3">
      <c r="A230" s="117" t="s">
        <v>677</v>
      </c>
      <c r="B230" s="121" t="s">
        <v>684</v>
      </c>
      <c r="C230" s="117" t="s">
        <v>384</v>
      </c>
    </row>
    <row r="231" spans="1:3" ht="43.5">
      <c r="A231" s="117" t="s">
        <v>678</v>
      </c>
      <c r="B231" s="117" t="s">
        <v>1652</v>
      </c>
    </row>
    <row r="232" spans="1:3">
      <c r="A232" s="117" t="s">
        <v>679</v>
      </c>
      <c r="B232" s="121" t="s">
        <v>683</v>
      </c>
      <c r="C232" s="117" t="s">
        <v>384</v>
      </c>
    </row>
    <row r="234" spans="1:3">
      <c r="A234" s="14" t="s">
        <v>1653</v>
      </c>
      <c r="B234" s="14" t="s">
        <v>1654</v>
      </c>
    </row>
    <row r="235" spans="1:3">
      <c r="A235" s="117" t="s">
        <v>669</v>
      </c>
      <c r="B235" s="121" t="s">
        <v>434</v>
      </c>
      <c r="C235" s="117" t="s">
        <v>384</v>
      </c>
    </row>
    <row r="236" spans="1:3">
      <c r="A236" s="117" t="s">
        <v>675</v>
      </c>
      <c r="B236" s="117" t="s">
        <v>1625</v>
      </c>
    </row>
    <row r="237" spans="1:3">
      <c r="A237" s="117" t="s">
        <v>676</v>
      </c>
      <c r="B237" s="117" t="s">
        <v>1655</v>
      </c>
    </row>
    <row r="238" spans="1:3">
      <c r="A238" s="117" t="s">
        <v>677</v>
      </c>
      <c r="B238" s="121" t="s">
        <v>684</v>
      </c>
      <c r="C238" s="117" t="s">
        <v>384</v>
      </c>
    </row>
    <row r="239" spans="1:3" ht="101.5">
      <c r="A239" s="117" t="s">
        <v>678</v>
      </c>
      <c r="B239" s="117" t="s">
        <v>1656</v>
      </c>
    </row>
    <row r="240" spans="1:3">
      <c r="A240" s="117" t="s">
        <v>679</v>
      </c>
      <c r="B240" s="121" t="s">
        <v>1446</v>
      </c>
      <c r="C240" s="117" t="s">
        <v>384</v>
      </c>
    </row>
    <row r="241" spans="1:3">
      <c r="C241" s="89"/>
    </row>
    <row r="242" spans="1:3">
      <c r="A242" s="19" t="s">
        <v>603</v>
      </c>
      <c r="C242" s="89"/>
    </row>
    <row r="244" spans="1:3">
      <c r="A244" s="28" t="s">
        <v>815</v>
      </c>
      <c r="B244" s="29"/>
      <c r="C244" s="30"/>
    </row>
    <row r="245" spans="1:3">
      <c r="A245" s="117" t="s">
        <v>685</v>
      </c>
      <c r="B245" s="121" t="s">
        <v>434</v>
      </c>
      <c r="C245" s="117" t="s">
        <v>384</v>
      </c>
    </row>
    <row r="246" spans="1:3">
      <c r="A246" s="117" t="s">
        <v>701</v>
      </c>
      <c r="B246" s="117" t="s">
        <v>29</v>
      </c>
    </row>
    <row r="247" spans="1:3">
      <c r="A247" s="117" t="s">
        <v>382</v>
      </c>
      <c r="B247" s="117" t="s">
        <v>1145</v>
      </c>
    </row>
    <row r="248" spans="1:3">
      <c r="A248" s="117" t="s">
        <v>702</v>
      </c>
      <c r="B248" s="121" t="s">
        <v>681</v>
      </c>
      <c r="C248" s="117" t="s">
        <v>384</v>
      </c>
    </row>
    <row r="249" spans="1:3">
      <c r="A249" s="117" t="s">
        <v>703</v>
      </c>
      <c r="B249" s="117" t="s">
        <v>1146</v>
      </c>
    </row>
    <row r="250" spans="1:3">
      <c r="A250" s="117" t="s">
        <v>704</v>
      </c>
      <c r="B250" s="121" t="s">
        <v>683</v>
      </c>
      <c r="C250" s="117" t="s">
        <v>384</v>
      </c>
    </row>
    <row r="252" spans="1:3">
      <c r="A252" s="19" t="s">
        <v>603</v>
      </c>
    </row>
    <row r="254" spans="1:3">
      <c r="A254" s="28" t="s">
        <v>816</v>
      </c>
      <c r="B254" s="29"/>
      <c r="C254" s="30"/>
    </row>
    <row r="255" spans="1:3">
      <c r="A255" s="117" t="s">
        <v>705</v>
      </c>
      <c r="B255" s="121" t="s">
        <v>707</v>
      </c>
      <c r="C255" s="117" t="s">
        <v>384</v>
      </c>
    </row>
    <row r="256" spans="1:3">
      <c r="A256" s="117" t="s">
        <v>710</v>
      </c>
    </row>
    <row r="257" spans="1:3" ht="29">
      <c r="A257" s="117" t="s">
        <v>711</v>
      </c>
      <c r="B257" s="117" t="s">
        <v>712</v>
      </c>
    </row>
    <row r="259" spans="1:3">
      <c r="A259" s="19" t="s">
        <v>603</v>
      </c>
    </row>
    <row r="261" spans="1:3">
      <c r="A261" s="28" t="s">
        <v>817</v>
      </c>
      <c r="B261" s="29"/>
      <c r="C261" s="30"/>
    </row>
    <row r="262" spans="1:3" ht="58">
      <c r="A262" s="259" t="s">
        <v>1182</v>
      </c>
      <c r="B262" s="121" t="s">
        <v>1181</v>
      </c>
      <c r="C262" s="117" t="s">
        <v>384</v>
      </c>
    </row>
    <row r="264" spans="1:3">
      <c r="A264" s="100" t="s">
        <v>818</v>
      </c>
      <c r="B264" s="100"/>
    </row>
    <row r="265" spans="1:3">
      <c r="A265" s="28" t="s">
        <v>819</v>
      </c>
      <c r="B265" s="29"/>
      <c r="C265" s="30"/>
    </row>
    <row r="266" spans="1:3" ht="87">
      <c r="A266" s="259" t="s">
        <v>1202</v>
      </c>
      <c r="B266" s="121" t="s">
        <v>1181</v>
      </c>
      <c r="C266" s="117" t="s">
        <v>384</v>
      </c>
    </row>
    <row r="269" spans="1:3">
      <c r="A269" s="28" t="s">
        <v>820</v>
      </c>
      <c r="B269" s="29"/>
      <c r="C269" s="30"/>
    </row>
  </sheetData>
  <mergeCells count="1">
    <mergeCell ref="A102:B102"/>
  </mergeCells>
  <phoneticPr fontId="54" type="noConversion"/>
  <dataValidations count="16">
    <dataValidation type="list" allowBlank="1" showInputMessage="1" showErrorMessage="1" sqref="B38" xr:uid="{8F4DF3BB-641E-4E70-B66F-C60C9EAB2AE6}">
      <formula1>tbl_CollectionApproach</formula1>
    </dataValidation>
    <dataValidation type="list" allowBlank="1" showInputMessage="1" showErrorMessage="1" sqref="B42" xr:uid="{4D75AB7D-423B-4F48-B846-48D987347404}">
      <formula1>tbl_collectiontechnique</formula1>
    </dataValidation>
    <dataValidation type="list" allowBlank="1" showInputMessage="1" showErrorMessage="1" sqref="B44" xr:uid="{42177538-7006-449C-9983-980488381357}">
      <formula1>"Artifacts, Affirmations, Artifacts and Affirmations"</formula1>
    </dataValidation>
    <dataValidation type="list" allowBlank="1" showInputMessage="1" showErrorMessage="1" sqref="B86 B96" xr:uid="{DC72EBB2-EEC5-4A36-80BE-26E11C79FF3F}">
      <formula1>"Yes, No"</formula1>
    </dataValidation>
    <dataValidation type="list" allowBlank="1" showInputMessage="1" showErrorMessage="1" sqref="B50" xr:uid="{CB4F04EC-F631-4397-BAFE-86425843D951}">
      <formula1>tbl_responsibleEntity</formula1>
    </dataValidation>
    <dataValidation type="list" allowBlank="1" showInputMessage="1" showErrorMessage="1" sqref="B55" xr:uid="{DCC217E8-E215-4EF8-B89F-EA9E872D027C}">
      <formula1>"ATL, Mini-team (subset of the full appraisal team), Appraisal Full Team, Other"</formula1>
    </dataValidation>
    <dataValidation type="list" allowBlank="1" showInputMessage="1" showErrorMessage="1" sqref="B262 B266" xr:uid="{01543A58-5416-4DA9-8AB1-690AC5AAC1DF}">
      <formula1>"Still to be done, Done"</formula1>
    </dataValidation>
    <dataValidation type="list" allowBlank="1" showInputMessage="1" showErrorMessage="1" sqref="B255" xr:uid="{82B66DE8-C2C5-4EB2-AD42-91D298998B44}">
      <formula1>tbl_followon</formula1>
    </dataValidation>
    <dataValidation type="list" allowBlank="1" showInputMessage="1" showErrorMessage="1" sqref="B245" xr:uid="{F11E45C5-A359-4B11-8B6A-D0E40F0569DB}">
      <formula1>tbl_COI</formula1>
    </dataValidation>
    <dataValidation type="list" allowBlank="1" showInputMessage="1" showErrorMessage="1" sqref="B250 B151 B167 B175 B183 B191 B200 B208 B216 B224 B232 B240 B159" xr:uid="{A91F2646-F018-4EB7-BB35-CC10D063D8BF}">
      <formula1>"Open, Closed, Realized"</formula1>
    </dataValidation>
    <dataValidation type="list" allowBlank="1" showInputMessage="1" showErrorMessage="1" sqref="B248 B149 B165 B173 B181 B189 B198 B206 B214 B222 B230 B238 B157" xr:uid="{5C52DC68-1A9F-4AAD-9BBF-EB70CC81E0AF}">
      <formula1>"High, Medium, Low"</formula1>
    </dataValidation>
    <dataValidation type="list" allowBlank="1" showInputMessage="1" showErrorMessage="1" sqref="B146 B162 B170 B178 B186 B195 B203 B211 B219 B227 B235 B154" xr:uid="{F288294E-140B-46D0-A558-3D396D336EFA}">
      <formula1>tbl_riskCategory</formula1>
    </dataValidation>
    <dataValidation type="list" allowBlank="1" showInputMessage="1" showErrorMessage="1" sqref="B138" xr:uid="{65084202-031C-408D-B429-25EE287BD1C9}">
      <formula1>tbl_constraints</formula1>
    </dataValidation>
    <dataValidation type="list" allowBlank="1" showInputMessage="1" showErrorMessage="1" sqref="B106 B112 B118 B124 B139 B130" xr:uid="{DF080203-A213-4B40-8A56-B8BBF19EA82D}">
      <formula1>tbl_equipment</formula1>
    </dataValidation>
    <dataValidation type="list" allowBlank="1" showInputMessage="1" showErrorMessage="1" sqref="B105 B111 B117 B123 B129" xr:uid="{0298398E-43DE-4F0E-ABCC-0DE503D606C5}">
      <formula1>tbl_logisticalRequirement</formula1>
    </dataValidation>
    <dataValidation type="list" allowBlank="1" showInputMessage="1" showErrorMessage="1" sqref="B27" xr:uid="{8E8F9AFF-F8BA-421D-8389-A09FAA4EB489}">
      <formula1>"Executive summary, Other"</formula1>
    </dataValidation>
  </dataValidations>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2C28C-5020-4E1F-8D04-598926704C7C}">
  <sheetPr codeName="Sheet18">
    <tabColor theme="8" tint="0.79998168889431442"/>
  </sheetPr>
  <dimension ref="A1:C7"/>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1232</v>
      </c>
      <c r="B1" s="100"/>
    </row>
    <row r="2" spans="1:3">
      <c r="A2" s="28" t="s">
        <v>1233</v>
      </c>
      <c r="B2" s="29"/>
      <c r="C2" s="30"/>
    </row>
    <row r="3" spans="1:3" s="125" customFormat="1">
      <c r="A3" s="124" t="s">
        <v>1235</v>
      </c>
      <c r="B3" s="117"/>
    </row>
    <row r="4" spans="1:3" s="125" customFormat="1">
      <c r="B4" s="117"/>
    </row>
    <row r="5" spans="1:3">
      <c r="A5" s="28" t="s">
        <v>1234</v>
      </c>
      <c r="B5" s="29"/>
      <c r="C5" s="30"/>
    </row>
    <row r="6" spans="1:3" s="125" customFormat="1">
      <c r="A6" s="124" t="s">
        <v>1236</v>
      </c>
      <c r="B6" s="117"/>
    </row>
    <row r="7" spans="1:3" s="125" customFormat="1">
      <c r="B7" s="117"/>
    </row>
  </sheetData>
  <phoneticPr fontId="54" type="noConversion"/>
  <dataValidations count="1">
    <dataValidation type="list" allowBlank="1" showInputMessage="1" showErrorMessage="1" sqref="B6" xr:uid="{E657DA52-95F8-42D0-94D1-5B5D7B7E4A0A}">
      <formula1>tbl_AppraisalArtifacts</formula1>
    </dataValidation>
  </dataValidations>
  <pageMargins left="0.7" right="0.7" top="0.75" bottom="0.75" header="0.3" footer="0.3"/>
  <pageSetup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7ACBA1-F409-48CC-A94E-FCF5FF6C267A}">
  <sheetPr codeName="Sheet10">
    <tabColor theme="8" tint="0.79998168889431442"/>
  </sheetPr>
  <dimension ref="A1:C12"/>
  <sheetViews>
    <sheetView workbookViewId="0"/>
  </sheetViews>
  <sheetFormatPr defaultColWidth="8.7265625" defaultRowHeight="14.5"/>
  <cols>
    <col min="1" max="1" width="50.1796875" style="117" customWidth="1"/>
    <col min="2" max="2" width="59.453125" style="117" customWidth="1"/>
    <col min="3" max="3" width="17.1796875" style="117" customWidth="1"/>
    <col min="4" max="4" width="4.81640625" style="117" customWidth="1"/>
    <col min="5" max="5" width="34.81640625" style="117" customWidth="1"/>
    <col min="6" max="29" width="4.81640625" style="117" customWidth="1"/>
    <col min="30" max="16384" width="8.7265625" style="117"/>
  </cols>
  <sheetData>
    <row r="1" spans="1:3">
      <c r="A1" s="118" t="s">
        <v>1173</v>
      </c>
      <c r="B1" s="100"/>
    </row>
    <row r="2" spans="1:3">
      <c r="A2" s="28" t="s">
        <v>1174</v>
      </c>
      <c r="B2" s="29"/>
      <c r="C2" s="30"/>
    </row>
    <row r="3" spans="1:3" s="125" customFormat="1">
      <c r="A3" s="124" t="s">
        <v>1175</v>
      </c>
      <c r="B3" s="117"/>
    </row>
    <row r="4" spans="1:3" s="125" customFormat="1">
      <c r="B4" s="117"/>
    </row>
    <row r="5" spans="1:3">
      <c r="A5" s="28" t="s">
        <v>1171</v>
      </c>
      <c r="B5" s="29"/>
      <c r="C5" s="30"/>
    </row>
    <row r="6" spans="1:3" s="125" customFormat="1">
      <c r="A6" s="124" t="s">
        <v>1176</v>
      </c>
      <c r="B6" s="121" t="s">
        <v>795</v>
      </c>
    </row>
    <row r="7" spans="1:3" s="125" customFormat="1">
      <c r="A7" s="124" t="s">
        <v>1177</v>
      </c>
      <c r="B7" s="121" t="s">
        <v>796</v>
      </c>
    </row>
    <row r="8" spans="1:3" s="125" customFormat="1">
      <c r="A8" s="124" t="s">
        <v>1178</v>
      </c>
      <c r="B8" s="121" t="s">
        <v>797</v>
      </c>
    </row>
    <row r="9" spans="1:3" s="125" customFormat="1">
      <c r="A9" s="124" t="s">
        <v>1179</v>
      </c>
      <c r="B9" s="121" t="s">
        <v>672</v>
      </c>
    </row>
    <row r="10" spans="1:3" s="125" customFormat="1">
      <c r="A10" s="124" t="s">
        <v>1237</v>
      </c>
      <c r="B10" s="121" t="s">
        <v>434</v>
      </c>
    </row>
    <row r="11" spans="1:3" s="125" customFormat="1">
      <c r="A11" s="124" t="s">
        <v>1180</v>
      </c>
      <c r="B11" s="121" t="s">
        <v>1172</v>
      </c>
    </row>
    <row r="12" spans="1:3" s="125" customFormat="1">
      <c r="B12" s="117"/>
    </row>
  </sheetData>
  <phoneticPr fontId="54" type="noConversion"/>
  <dataValidations count="1">
    <dataValidation type="list" allowBlank="1" showInputMessage="1" showErrorMessage="1" sqref="B6:B11" xr:uid="{69CC458F-60EF-478F-AB7C-879A5AE3EA30}">
      <formula1>tbl_AppraisalArtifacts</formula1>
    </dataValidation>
  </dataValidations>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5ED06-6A20-463F-81D8-65A6E46819FC}">
  <sheetPr codeName="Sheet17"/>
  <dimension ref="A1:G25"/>
  <sheetViews>
    <sheetView workbookViewId="0">
      <selection activeCell="A2" sqref="A2:G18"/>
    </sheetView>
  </sheetViews>
  <sheetFormatPr defaultRowHeight="14.5"/>
  <cols>
    <col min="1" max="1" width="7.1796875" customWidth="1"/>
    <col min="2" max="2" width="23" customWidth="1"/>
    <col min="3" max="3" width="7.453125" customWidth="1"/>
    <col min="4" max="4" width="23.26953125" customWidth="1"/>
    <col min="5" max="5" width="19.1796875" customWidth="1"/>
    <col min="6" max="6" width="8.453125" bestFit="1" customWidth="1"/>
    <col min="7" max="7" width="8" bestFit="1" customWidth="1"/>
  </cols>
  <sheetData>
    <row r="1" spans="1:7">
      <c r="A1" t="s">
        <v>881</v>
      </c>
      <c r="B1" t="s">
        <v>907</v>
      </c>
      <c r="C1" t="s">
        <v>921</v>
      </c>
      <c r="D1" t="s">
        <v>922</v>
      </c>
      <c r="E1" t="s">
        <v>908</v>
      </c>
      <c r="F1" t="s">
        <v>923</v>
      </c>
      <c r="G1" t="s">
        <v>924</v>
      </c>
    </row>
    <row r="2" spans="1:7">
      <c r="A2" t="s">
        <v>898</v>
      </c>
      <c r="B2" t="s">
        <v>1544</v>
      </c>
      <c r="C2" t="s">
        <v>883</v>
      </c>
      <c r="D2" t="s">
        <v>1557</v>
      </c>
      <c r="E2" t="s">
        <v>1155</v>
      </c>
      <c r="F2" t="s">
        <v>898</v>
      </c>
      <c r="G2" t="s">
        <v>411</v>
      </c>
    </row>
    <row r="3" spans="1:7">
      <c r="A3" t="s">
        <v>898</v>
      </c>
      <c r="B3" t="s">
        <v>1544</v>
      </c>
      <c r="C3" t="s">
        <v>884</v>
      </c>
      <c r="D3" t="s">
        <v>1556</v>
      </c>
      <c r="E3" t="s">
        <v>913</v>
      </c>
      <c r="F3" t="s">
        <v>898</v>
      </c>
      <c r="G3" t="s">
        <v>411</v>
      </c>
    </row>
    <row r="4" spans="1:7">
      <c r="A4" t="s">
        <v>899</v>
      </c>
      <c r="B4" t="s">
        <v>1545</v>
      </c>
      <c r="C4" t="s">
        <v>885</v>
      </c>
      <c r="D4" t="s">
        <v>1560</v>
      </c>
      <c r="E4" t="s">
        <v>912</v>
      </c>
      <c r="F4" t="s">
        <v>899</v>
      </c>
      <c r="G4" t="s">
        <v>411</v>
      </c>
    </row>
    <row r="5" spans="1:7">
      <c r="A5" t="s">
        <v>899</v>
      </c>
      <c r="B5" t="s">
        <v>1545</v>
      </c>
      <c r="C5" t="s">
        <v>886</v>
      </c>
      <c r="D5" t="s">
        <v>1560</v>
      </c>
      <c r="E5" t="s">
        <v>912</v>
      </c>
      <c r="F5" t="s">
        <v>899</v>
      </c>
      <c r="G5" t="s">
        <v>411</v>
      </c>
    </row>
    <row r="6" spans="1:7">
      <c r="A6" t="s">
        <v>899</v>
      </c>
      <c r="B6" t="s">
        <v>1545</v>
      </c>
      <c r="C6" t="s">
        <v>887</v>
      </c>
      <c r="D6" t="s">
        <v>1562</v>
      </c>
      <c r="E6" t="s">
        <v>1155</v>
      </c>
      <c r="F6" t="s">
        <v>899</v>
      </c>
      <c r="G6" t="s">
        <v>411</v>
      </c>
    </row>
    <row r="7" spans="1:7">
      <c r="A7" t="s">
        <v>900</v>
      </c>
      <c r="B7" t="s">
        <v>1547</v>
      </c>
      <c r="C7" t="s">
        <v>892</v>
      </c>
      <c r="D7" t="s">
        <v>1569</v>
      </c>
      <c r="E7" t="s">
        <v>1369</v>
      </c>
      <c r="F7" t="s">
        <v>900</v>
      </c>
      <c r="G7" t="s">
        <v>411</v>
      </c>
    </row>
    <row r="8" spans="1:7">
      <c r="A8" t="s">
        <v>900</v>
      </c>
      <c r="B8" t="s">
        <v>1547</v>
      </c>
      <c r="C8" t="s">
        <v>893</v>
      </c>
      <c r="D8" t="s">
        <v>1569</v>
      </c>
      <c r="E8" t="s">
        <v>1369</v>
      </c>
      <c r="F8" t="s">
        <v>900</v>
      </c>
      <c r="G8" t="s">
        <v>411</v>
      </c>
    </row>
    <row r="9" spans="1:7">
      <c r="A9" t="s">
        <v>900</v>
      </c>
      <c r="B9" t="s">
        <v>1547</v>
      </c>
      <c r="C9" t="s">
        <v>894</v>
      </c>
      <c r="D9" t="s">
        <v>1569</v>
      </c>
      <c r="E9" t="s">
        <v>1369</v>
      </c>
      <c r="F9" t="s">
        <v>900</v>
      </c>
      <c r="G9" t="s">
        <v>411</v>
      </c>
    </row>
    <row r="10" spans="1:7">
      <c r="A10" t="s">
        <v>901</v>
      </c>
      <c r="B10" t="s">
        <v>1549</v>
      </c>
      <c r="C10" t="s">
        <v>891</v>
      </c>
      <c r="D10" t="s">
        <v>1574</v>
      </c>
      <c r="E10" t="s">
        <v>1369</v>
      </c>
      <c r="F10" t="s">
        <v>901</v>
      </c>
      <c r="G10" t="s">
        <v>411</v>
      </c>
    </row>
    <row r="11" spans="1:7">
      <c r="A11" t="s">
        <v>903</v>
      </c>
      <c r="B11" t="s">
        <v>1360</v>
      </c>
      <c r="C11" t="s">
        <v>751</v>
      </c>
      <c r="D11" t="s">
        <v>1575</v>
      </c>
      <c r="E11" t="s">
        <v>1368</v>
      </c>
      <c r="F11" t="s">
        <v>903</v>
      </c>
      <c r="G11" t="s">
        <v>411</v>
      </c>
    </row>
    <row r="12" spans="1:7">
      <c r="A12" t="s">
        <v>904</v>
      </c>
      <c r="B12" t="s">
        <v>1361</v>
      </c>
      <c r="C12" t="s">
        <v>895</v>
      </c>
      <c r="D12" t="s">
        <v>1671</v>
      </c>
      <c r="E12" t="s">
        <v>1670</v>
      </c>
      <c r="F12" t="s">
        <v>904</v>
      </c>
      <c r="G12" t="s">
        <v>411</v>
      </c>
    </row>
    <row r="13" spans="1:7">
      <c r="A13" t="s">
        <v>904</v>
      </c>
      <c r="B13" t="s">
        <v>1361</v>
      </c>
      <c r="C13" t="s">
        <v>896</v>
      </c>
      <c r="D13" t="s">
        <v>1576</v>
      </c>
      <c r="E13" t="s">
        <v>1370</v>
      </c>
      <c r="F13" t="s">
        <v>904</v>
      </c>
      <c r="G13" t="s">
        <v>411</v>
      </c>
    </row>
    <row r="14" spans="1:7">
      <c r="A14" t="s">
        <v>904</v>
      </c>
      <c r="B14" t="s">
        <v>1361</v>
      </c>
      <c r="C14" t="s">
        <v>888</v>
      </c>
      <c r="D14" t="s">
        <v>1671</v>
      </c>
      <c r="E14" t="s">
        <v>1670</v>
      </c>
      <c r="F14" t="s">
        <v>904</v>
      </c>
      <c r="G14" t="s">
        <v>411</v>
      </c>
    </row>
    <row r="15" spans="1:7">
      <c r="A15" t="s">
        <v>904</v>
      </c>
      <c r="B15" t="s">
        <v>1361</v>
      </c>
      <c r="C15" t="s">
        <v>889</v>
      </c>
      <c r="D15" t="s">
        <v>1576</v>
      </c>
      <c r="E15" t="s">
        <v>1370</v>
      </c>
      <c r="F15" t="s">
        <v>904</v>
      </c>
      <c r="G15" t="s">
        <v>411</v>
      </c>
    </row>
    <row r="16" spans="1:7">
      <c r="A16" t="s">
        <v>904</v>
      </c>
      <c r="B16" t="s">
        <v>1361</v>
      </c>
      <c r="C16" t="s">
        <v>890</v>
      </c>
      <c r="D16" t="s">
        <v>1576</v>
      </c>
      <c r="E16" t="s">
        <v>1370</v>
      </c>
      <c r="F16" t="s">
        <v>904</v>
      </c>
      <c r="G16" t="s">
        <v>411</v>
      </c>
    </row>
    <row r="17" spans="1:7">
      <c r="A17" t="s">
        <v>905</v>
      </c>
      <c r="B17" t="s">
        <v>1362</v>
      </c>
      <c r="C17" t="s">
        <v>753</v>
      </c>
      <c r="D17" t="s">
        <v>1577</v>
      </c>
      <c r="E17" t="s">
        <v>1367</v>
      </c>
      <c r="F17" t="s">
        <v>905</v>
      </c>
      <c r="G17" t="s">
        <v>411</v>
      </c>
    </row>
    <row r="18" spans="1:7">
      <c r="A18" t="s">
        <v>906</v>
      </c>
      <c r="B18" t="s">
        <v>1363</v>
      </c>
      <c r="C18" t="s">
        <v>836</v>
      </c>
      <c r="D18" t="s">
        <v>1578</v>
      </c>
      <c r="E18" t="s">
        <v>1250</v>
      </c>
      <c r="F18" t="s">
        <v>906</v>
      </c>
      <c r="G18" t="s">
        <v>411</v>
      </c>
    </row>
    <row r="19" spans="1:7">
      <c r="A19" t="s">
        <v>898</v>
      </c>
      <c r="B19" t="s">
        <v>1544</v>
      </c>
      <c r="C19" t="s">
        <v>884</v>
      </c>
      <c r="D19" t="s">
        <v>1557</v>
      </c>
      <c r="E19" t="s">
        <v>1155</v>
      </c>
      <c r="F19" t="s">
        <v>898</v>
      </c>
    </row>
    <row r="20" spans="1:7">
      <c r="A20" t="s">
        <v>899</v>
      </c>
      <c r="B20" t="s">
        <v>1545</v>
      </c>
      <c r="C20" t="s">
        <v>885</v>
      </c>
      <c r="D20" t="s">
        <v>1561</v>
      </c>
      <c r="E20" t="s">
        <v>913</v>
      </c>
      <c r="F20" t="s">
        <v>899</v>
      </c>
    </row>
    <row r="21" spans="1:7">
      <c r="A21" t="s">
        <v>899</v>
      </c>
      <c r="B21" t="s">
        <v>1545</v>
      </c>
      <c r="C21" t="s">
        <v>885</v>
      </c>
      <c r="D21" t="s">
        <v>1562</v>
      </c>
      <c r="E21" t="s">
        <v>1155</v>
      </c>
      <c r="F21" t="s">
        <v>899</v>
      </c>
    </row>
    <row r="22" spans="1:7">
      <c r="A22" t="s">
        <v>899</v>
      </c>
      <c r="B22" t="s">
        <v>1545</v>
      </c>
      <c r="C22" t="s">
        <v>885</v>
      </c>
      <c r="D22" t="s">
        <v>1564</v>
      </c>
      <c r="E22" t="s">
        <v>1369</v>
      </c>
      <c r="F22" t="s">
        <v>899</v>
      </c>
    </row>
    <row r="23" spans="1:7">
      <c r="A23" t="s">
        <v>899</v>
      </c>
      <c r="B23" t="s">
        <v>1545</v>
      </c>
      <c r="C23" t="s">
        <v>885</v>
      </c>
      <c r="D23" t="s">
        <v>1563</v>
      </c>
      <c r="E23" t="s">
        <v>1300</v>
      </c>
      <c r="F23" t="s">
        <v>899</v>
      </c>
    </row>
    <row r="24" spans="1:7">
      <c r="A24" t="s">
        <v>899</v>
      </c>
      <c r="B24" t="s">
        <v>1545</v>
      </c>
      <c r="C24" t="s">
        <v>887</v>
      </c>
      <c r="D24" t="s">
        <v>1563</v>
      </c>
      <c r="E24" t="s">
        <v>1300</v>
      </c>
      <c r="F24" t="s">
        <v>899</v>
      </c>
    </row>
    <row r="25" spans="1:7">
      <c r="A25" t="s">
        <v>904</v>
      </c>
      <c r="B25" t="s">
        <v>1361</v>
      </c>
      <c r="C25" t="s">
        <v>896</v>
      </c>
      <c r="D25" t="s">
        <v>1671</v>
      </c>
      <c r="E25" t="s">
        <v>1670</v>
      </c>
      <c r="F25" t="s">
        <v>904</v>
      </c>
    </row>
  </sheetData>
  <sortState xmlns:xlrd2="http://schemas.microsoft.com/office/spreadsheetml/2017/richdata2" ref="A2:G25">
    <sortCondition ref="G2:G25"/>
    <sortCondition ref="A2:A25"/>
    <sortCondition ref="C2:C25"/>
    <sortCondition ref="D2:D25"/>
  </sortState>
  <phoneticPr fontId="54" type="noConversion"/>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603B57-107E-438C-8CD3-B8380F53E0A8}">
  <sheetPr codeName="Sheet32">
    <tabColor theme="9" tint="0.79998168889431442"/>
  </sheetPr>
  <dimension ref="A3:M23"/>
  <sheetViews>
    <sheetView workbookViewId="0">
      <selection activeCell="N21" sqref="N21"/>
    </sheetView>
  </sheetViews>
  <sheetFormatPr defaultRowHeight="14.5"/>
  <cols>
    <col min="1" max="1" width="15.08984375" bestFit="1" customWidth="1"/>
    <col min="2" max="2" width="15.6328125" bestFit="1" customWidth="1"/>
    <col min="3" max="4" width="3" bestFit="1" customWidth="1"/>
    <col min="5" max="6" width="2.7265625" bestFit="1" customWidth="1"/>
    <col min="7" max="7" width="6.90625" bestFit="1" customWidth="1"/>
    <col min="8" max="8" width="3" bestFit="1" customWidth="1"/>
    <col min="9" max="10" width="2.7265625" bestFit="1" customWidth="1"/>
    <col min="11" max="11" width="10.7265625" bestFit="1" customWidth="1"/>
  </cols>
  <sheetData>
    <row r="3" spans="1:13">
      <c r="A3" s="311" t="s">
        <v>915</v>
      </c>
      <c r="B3" s="311" t="s">
        <v>916</v>
      </c>
    </row>
    <row r="4" spans="1:13">
      <c r="A4" s="311" t="s">
        <v>917</v>
      </c>
      <c r="B4" s="319" t="s">
        <v>898</v>
      </c>
      <c r="C4" s="319" t="s">
        <v>899</v>
      </c>
      <c r="D4" s="319" t="s">
        <v>901</v>
      </c>
      <c r="E4" s="319" t="s">
        <v>903</v>
      </c>
      <c r="F4" s="319" t="s">
        <v>904</v>
      </c>
      <c r="G4" s="319" t="s">
        <v>918</v>
      </c>
      <c r="H4" s="319" t="s">
        <v>900</v>
      </c>
      <c r="I4" s="319" t="s">
        <v>905</v>
      </c>
      <c r="J4" s="319" t="s">
        <v>906</v>
      </c>
      <c r="K4" s="319" t="s">
        <v>919</v>
      </c>
    </row>
    <row r="5" spans="1:13">
      <c r="A5" s="309" t="s">
        <v>895</v>
      </c>
      <c r="B5" s="312"/>
      <c r="C5" s="312"/>
      <c r="D5" s="312"/>
      <c r="E5" s="312"/>
      <c r="F5" s="312">
        <v>1</v>
      </c>
      <c r="G5" s="312"/>
      <c r="H5" s="312"/>
      <c r="I5" s="312"/>
      <c r="J5" s="312"/>
      <c r="K5" s="312">
        <v>1</v>
      </c>
      <c r="M5" t="s">
        <v>895</v>
      </c>
    </row>
    <row r="6" spans="1:13">
      <c r="A6" s="309" t="s">
        <v>751</v>
      </c>
      <c r="B6" s="312"/>
      <c r="C6" s="312"/>
      <c r="D6" s="312"/>
      <c r="E6" s="312">
        <v>1</v>
      </c>
      <c r="F6" s="312"/>
      <c r="G6" s="312"/>
      <c r="H6" s="312"/>
      <c r="I6" s="312"/>
      <c r="J6" s="312"/>
      <c r="K6" s="312">
        <v>1</v>
      </c>
      <c r="M6" t="s">
        <v>751</v>
      </c>
    </row>
    <row r="7" spans="1:13">
      <c r="A7" s="309" t="s">
        <v>892</v>
      </c>
      <c r="B7" s="312"/>
      <c r="C7" s="312"/>
      <c r="D7" s="312"/>
      <c r="E7" s="312"/>
      <c r="F7" s="312"/>
      <c r="G7" s="312"/>
      <c r="H7" s="312">
        <v>1</v>
      </c>
      <c r="I7" s="312"/>
      <c r="J7" s="312"/>
      <c r="K7" s="312">
        <v>1</v>
      </c>
      <c r="M7" t="s">
        <v>892</v>
      </c>
    </row>
    <row r="8" spans="1:13">
      <c r="A8" s="309" t="s">
        <v>893</v>
      </c>
      <c r="B8" s="312"/>
      <c r="C8" s="312"/>
      <c r="D8" s="312"/>
      <c r="E8" s="312"/>
      <c r="F8" s="312"/>
      <c r="G8" s="312"/>
      <c r="H8" s="312">
        <v>1</v>
      </c>
      <c r="I8" s="312"/>
      <c r="J8" s="312"/>
      <c r="K8" s="312">
        <v>1</v>
      </c>
      <c r="M8" t="s">
        <v>893</v>
      </c>
    </row>
    <row r="9" spans="1:13">
      <c r="A9" s="309" t="s">
        <v>883</v>
      </c>
      <c r="B9" s="312">
        <v>1</v>
      </c>
      <c r="C9" s="312"/>
      <c r="D9" s="312"/>
      <c r="E9" s="312"/>
      <c r="F9" s="312"/>
      <c r="G9" s="312"/>
      <c r="H9" s="312"/>
      <c r="I9" s="312"/>
      <c r="J9" s="312"/>
      <c r="K9" s="312">
        <v>1</v>
      </c>
      <c r="M9" t="s">
        <v>883</v>
      </c>
    </row>
    <row r="10" spans="1:13">
      <c r="A10" s="309" t="s">
        <v>894</v>
      </c>
      <c r="B10" s="312"/>
      <c r="C10" s="312"/>
      <c r="D10" s="312"/>
      <c r="E10" s="312"/>
      <c r="F10" s="312"/>
      <c r="G10" s="312"/>
      <c r="H10" s="312">
        <v>1</v>
      </c>
      <c r="I10" s="312"/>
      <c r="J10" s="312"/>
      <c r="K10" s="312">
        <v>1</v>
      </c>
      <c r="M10" t="s">
        <v>894</v>
      </c>
    </row>
    <row r="11" spans="1:13">
      <c r="A11" s="309" t="s">
        <v>885</v>
      </c>
      <c r="B11" s="312"/>
      <c r="C11" s="312">
        <v>5</v>
      </c>
      <c r="D11" s="312"/>
      <c r="E11" s="312"/>
      <c r="F11" s="312"/>
      <c r="G11" s="312"/>
      <c r="H11" s="312"/>
      <c r="I11" s="312"/>
      <c r="J11" s="312"/>
      <c r="K11" s="312">
        <v>5</v>
      </c>
      <c r="M11" t="s">
        <v>885</v>
      </c>
    </row>
    <row r="12" spans="1:13">
      <c r="A12" s="309" t="s">
        <v>886</v>
      </c>
      <c r="B12" s="312"/>
      <c r="C12" s="312">
        <v>1</v>
      </c>
      <c r="D12" s="312"/>
      <c r="E12" s="312"/>
      <c r="F12" s="312"/>
      <c r="G12" s="312"/>
      <c r="H12" s="312"/>
      <c r="I12" s="312"/>
      <c r="J12" s="312"/>
      <c r="K12" s="312">
        <v>1</v>
      </c>
      <c r="M12" t="s">
        <v>886</v>
      </c>
    </row>
    <row r="13" spans="1:13">
      <c r="A13" s="309" t="s">
        <v>891</v>
      </c>
      <c r="B13" s="312"/>
      <c r="C13" s="312"/>
      <c r="D13" s="312">
        <v>1</v>
      </c>
      <c r="E13" s="312"/>
      <c r="F13" s="312"/>
      <c r="G13" s="312"/>
      <c r="H13" s="312"/>
      <c r="I13" s="312"/>
      <c r="J13" s="312"/>
      <c r="K13" s="312">
        <v>1</v>
      </c>
      <c r="M13" t="s">
        <v>891</v>
      </c>
    </row>
    <row r="14" spans="1:13">
      <c r="A14" s="309" t="s">
        <v>884</v>
      </c>
      <c r="B14" s="312">
        <v>2</v>
      </c>
      <c r="C14" s="312"/>
      <c r="D14" s="312"/>
      <c r="E14" s="312"/>
      <c r="F14" s="312"/>
      <c r="G14" s="312"/>
      <c r="H14" s="312"/>
      <c r="I14" s="312"/>
      <c r="J14" s="312"/>
      <c r="K14" s="312">
        <v>2</v>
      </c>
      <c r="M14" t="s">
        <v>884</v>
      </c>
    </row>
    <row r="15" spans="1:13">
      <c r="A15" s="309" t="s">
        <v>887</v>
      </c>
      <c r="B15" s="312"/>
      <c r="C15" s="312">
        <v>2</v>
      </c>
      <c r="D15" s="312"/>
      <c r="E15" s="312"/>
      <c r="F15" s="312"/>
      <c r="G15" s="312"/>
      <c r="H15" s="312"/>
      <c r="I15" s="312"/>
      <c r="J15" s="312"/>
      <c r="K15" s="312">
        <v>2</v>
      </c>
      <c r="M15" t="s">
        <v>887</v>
      </c>
    </row>
    <row r="16" spans="1:13">
      <c r="A16" s="309" t="s">
        <v>918</v>
      </c>
      <c r="B16" s="312"/>
      <c r="C16" s="312"/>
      <c r="D16" s="312"/>
      <c r="E16" s="312"/>
      <c r="F16" s="312"/>
      <c r="G16" s="312"/>
      <c r="H16" s="312"/>
      <c r="I16" s="312"/>
      <c r="J16" s="312"/>
      <c r="K16" s="312"/>
    </row>
    <row r="17" spans="1:13">
      <c r="A17" s="309" t="s">
        <v>888</v>
      </c>
      <c r="B17" s="312"/>
      <c r="C17" s="312"/>
      <c r="D17" s="312"/>
      <c r="E17" s="312"/>
      <c r="F17" s="312">
        <v>1</v>
      </c>
      <c r="G17" s="312"/>
      <c r="H17" s="312"/>
      <c r="I17" s="312"/>
      <c r="J17" s="312"/>
      <c r="K17" s="312">
        <v>1</v>
      </c>
      <c r="M17" t="s">
        <v>888</v>
      </c>
    </row>
    <row r="18" spans="1:13">
      <c r="A18" s="309" t="s">
        <v>889</v>
      </c>
      <c r="B18" s="312"/>
      <c r="C18" s="312"/>
      <c r="D18" s="312"/>
      <c r="E18" s="312"/>
      <c r="F18" s="312">
        <v>1</v>
      </c>
      <c r="G18" s="312"/>
      <c r="H18" s="312"/>
      <c r="I18" s="312"/>
      <c r="J18" s="312"/>
      <c r="K18" s="312">
        <v>1</v>
      </c>
      <c r="M18" t="s">
        <v>889</v>
      </c>
    </row>
    <row r="19" spans="1:13">
      <c r="A19" s="309" t="s">
        <v>890</v>
      </c>
      <c r="B19" s="312"/>
      <c r="C19" s="312"/>
      <c r="D19" s="312"/>
      <c r="E19" s="312"/>
      <c r="F19" s="312">
        <v>1</v>
      </c>
      <c r="G19" s="312"/>
      <c r="H19" s="312"/>
      <c r="I19" s="312"/>
      <c r="J19" s="312"/>
      <c r="K19" s="312">
        <v>1</v>
      </c>
      <c r="M19" t="s">
        <v>890</v>
      </c>
    </row>
    <row r="20" spans="1:13">
      <c r="A20" s="309" t="s">
        <v>753</v>
      </c>
      <c r="B20" s="312"/>
      <c r="C20" s="312"/>
      <c r="D20" s="312"/>
      <c r="E20" s="312"/>
      <c r="F20" s="312"/>
      <c r="G20" s="312"/>
      <c r="H20" s="312"/>
      <c r="I20" s="312">
        <v>1</v>
      </c>
      <c r="J20" s="312"/>
      <c r="K20" s="312">
        <v>1</v>
      </c>
      <c r="M20" t="s">
        <v>753</v>
      </c>
    </row>
    <row r="21" spans="1:13">
      <c r="A21" s="309" t="s">
        <v>836</v>
      </c>
      <c r="B21" s="312"/>
      <c r="C21" s="312"/>
      <c r="D21" s="312"/>
      <c r="E21" s="312"/>
      <c r="F21" s="312"/>
      <c r="G21" s="312"/>
      <c r="H21" s="312"/>
      <c r="I21" s="312"/>
      <c r="J21" s="312">
        <v>1</v>
      </c>
      <c r="K21" s="312">
        <v>1</v>
      </c>
      <c r="M21" t="s">
        <v>836</v>
      </c>
    </row>
    <row r="22" spans="1:13">
      <c r="A22" s="309" t="s">
        <v>896</v>
      </c>
      <c r="B22" s="312"/>
      <c r="C22" s="312"/>
      <c r="D22" s="312"/>
      <c r="E22" s="312"/>
      <c r="F22" s="312">
        <v>2</v>
      </c>
      <c r="G22" s="312"/>
      <c r="H22" s="312"/>
      <c r="I22" s="312"/>
      <c r="J22" s="312"/>
      <c r="K22" s="312">
        <v>2</v>
      </c>
      <c r="M22" t="s">
        <v>896</v>
      </c>
    </row>
    <row r="23" spans="1:13">
      <c r="A23" s="309" t="s">
        <v>919</v>
      </c>
      <c r="B23" s="312">
        <v>3</v>
      </c>
      <c r="C23" s="312">
        <v>8</v>
      </c>
      <c r="D23" s="312">
        <v>1</v>
      </c>
      <c r="E23" s="312">
        <v>1</v>
      </c>
      <c r="F23" s="312">
        <v>6</v>
      </c>
      <c r="G23" s="312"/>
      <c r="H23" s="312">
        <v>3</v>
      </c>
      <c r="I23" s="312">
        <v>1</v>
      </c>
      <c r="J23" s="312">
        <v>1</v>
      </c>
      <c r="K23" s="312">
        <v>24</v>
      </c>
      <c r="M23" t="s">
        <v>897</v>
      </c>
    </row>
  </sheetData>
  <phoneticPr fontId="54" type="noConversion"/>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DFE102-E177-47CF-AC3F-3D1F7AD1C7C3}">
  <sheetPr codeName="Sheet19">
    <tabColor theme="0" tint="-4.9989318521683403E-2"/>
    <pageSetUpPr fitToPage="1"/>
  </sheetPr>
  <dimension ref="A1:O19"/>
  <sheetViews>
    <sheetView topLeftCell="F1" workbookViewId="0">
      <selection activeCell="G11" sqref="G11"/>
    </sheetView>
  </sheetViews>
  <sheetFormatPr defaultColWidth="8.7265625" defaultRowHeight="14.5"/>
  <cols>
    <col min="1" max="1" width="7.1796875" style="125" customWidth="1"/>
    <col min="2" max="2" width="37" style="125" customWidth="1"/>
    <col min="3" max="3" width="5.453125" style="128" bestFit="1" customWidth="1"/>
    <col min="4" max="4" width="30.6328125" style="125" customWidth="1"/>
    <col min="5" max="5" width="27.1796875" style="125" customWidth="1"/>
    <col min="6" max="6" width="8.7265625" style="128"/>
    <col min="7" max="7" width="17.7265625" style="64" customWidth="1"/>
    <col min="8" max="8" width="34.1796875" style="125" bestFit="1" customWidth="1"/>
    <col min="9" max="9" width="36.26953125" style="125" customWidth="1"/>
    <col min="10" max="10" width="31.7265625" style="16" customWidth="1"/>
    <col min="11" max="13" width="9.453125" style="125" customWidth="1"/>
    <col min="14" max="16" width="9.453125" style="16" customWidth="1"/>
    <col min="17" max="16384" width="8.7265625" style="16"/>
  </cols>
  <sheetData>
    <row r="1" spans="1:15" s="11" customFormat="1">
      <c r="A1" s="110" t="s">
        <v>881</v>
      </c>
      <c r="B1" s="147" t="s">
        <v>907</v>
      </c>
      <c r="C1" s="111" t="s">
        <v>921</v>
      </c>
      <c r="D1" s="110" t="s">
        <v>922</v>
      </c>
      <c r="E1" s="110" t="s">
        <v>908</v>
      </c>
      <c r="F1" s="111" t="s">
        <v>923</v>
      </c>
      <c r="G1" s="109" t="s">
        <v>924</v>
      </c>
      <c r="H1" s="110" t="s">
        <v>615</v>
      </c>
      <c r="I1" s="110" t="s">
        <v>926</v>
      </c>
      <c r="K1" s="316" t="s">
        <v>1305</v>
      </c>
      <c r="L1" s="316">
        <f>VALUE(RIGHT(Planning!B10,1))</f>
        <v>5</v>
      </c>
      <c r="M1" s="125" t="s">
        <v>1306</v>
      </c>
    </row>
    <row r="2" spans="1:15" s="125" customFormat="1">
      <c r="A2" s="319" t="s">
        <v>898</v>
      </c>
      <c r="B2" s="319" t="s">
        <v>1544</v>
      </c>
      <c r="C2" s="319" t="s">
        <v>883</v>
      </c>
      <c r="D2" s="319" t="s">
        <v>1557</v>
      </c>
      <c r="E2" s="319" t="s">
        <v>1155</v>
      </c>
      <c r="F2" s="319" t="s">
        <v>898</v>
      </c>
      <c r="G2" s="319" t="s">
        <v>1544</v>
      </c>
      <c r="H2" s="319" t="s">
        <v>883</v>
      </c>
      <c r="I2" s="319" t="s">
        <v>1557</v>
      </c>
      <c r="J2" s="319" t="s">
        <v>1155</v>
      </c>
      <c r="K2" s="319" t="s">
        <v>898</v>
      </c>
      <c r="L2" s="319" t="s">
        <v>411</v>
      </c>
      <c r="O2" s="317" t="str">
        <f t="shared" ref="O2:O18" si="0">VLOOKUP(E2,tbl_RolePAlookup,2,FALSE)</f>
        <v>[4] Engineering</v>
      </c>
    </row>
    <row r="3" spans="1:15" s="125" customFormat="1">
      <c r="A3" s="319" t="s">
        <v>898</v>
      </c>
      <c r="B3" s="319" t="s">
        <v>1544</v>
      </c>
      <c r="C3" s="319" t="s">
        <v>884</v>
      </c>
      <c r="D3" s="319" t="s">
        <v>1556</v>
      </c>
      <c r="E3" s="319" t="s">
        <v>913</v>
      </c>
      <c r="F3" s="319" t="s">
        <v>898</v>
      </c>
      <c r="G3" s="319" t="s">
        <v>1544</v>
      </c>
      <c r="H3" s="319" t="s">
        <v>884</v>
      </c>
      <c r="I3" s="319" t="s">
        <v>1556</v>
      </c>
      <c r="J3" s="319" t="s">
        <v>913</v>
      </c>
      <c r="K3" s="319" t="s">
        <v>898</v>
      </c>
      <c r="L3" s="319" t="s">
        <v>411</v>
      </c>
      <c r="O3" s="317" t="str">
        <f t="shared" si="0"/>
        <v>[4] Engineering</v>
      </c>
    </row>
    <row r="4" spans="1:15" s="125" customFormat="1">
      <c r="A4" s="319" t="s">
        <v>899</v>
      </c>
      <c r="B4" s="319" t="s">
        <v>1545</v>
      </c>
      <c r="C4" s="319" t="s">
        <v>885</v>
      </c>
      <c r="D4" s="319" t="s">
        <v>1560</v>
      </c>
      <c r="E4" s="319" t="s">
        <v>912</v>
      </c>
      <c r="F4" s="319" t="s">
        <v>899</v>
      </c>
      <c r="G4" s="319" t="s">
        <v>1545</v>
      </c>
      <c r="H4" s="319" t="s">
        <v>885</v>
      </c>
      <c r="I4" s="319" t="s">
        <v>1560</v>
      </c>
      <c r="J4" s="319" t="s">
        <v>912</v>
      </c>
      <c r="K4" s="319" t="s">
        <v>899</v>
      </c>
      <c r="L4" s="319" t="s">
        <v>411</v>
      </c>
      <c r="O4" s="317" t="str">
        <f t="shared" si="0"/>
        <v>[4] Engineering</v>
      </c>
    </row>
    <row r="5" spans="1:15" s="125" customFormat="1">
      <c r="A5" s="319" t="s">
        <v>899</v>
      </c>
      <c r="B5" s="319" t="s">
        <v>1545</v>
      </c>
      <c r="C5" s="319" t="s">
        <v>886</v>
      </c>
      <c r="D5" s="319" t="s">
        <v>1560</v>
      </c>
      <c r="E5" s="319" t="s">
        <v>912</v>
      </c>
      <c r="F5" s="319" t="s">
        <v>899</v>
      </c>
      <c r="G5" s="319" t="s">
        <v>1545</v>
      </c>
      <c r="H5" s="319" t="s">
        <v>886</v>
      </c>
      <c r="I5" s="319" t="s">
        <v>1560</v>
      </c>
      <c r="J5" s="319" t="s">
        <v>912</v>
      </c>
      <c r="K5" s="319" t="s">
        <v>899</v>
      </c>
      <c r="L5" s="319" t="s">
        <v>411</v>
      </c>
      <c r="O5" s="317" t="str">
        <f t="shared" si="0"/>
        <v>[4] Engineering</v>
      </c>
    </row>
    <row r="6" spans="1:15" s="125" customFormat="1">
      <c r="A6" s="319" t="s">
        <v>899</v>
      </c>
      <c r="B6" s="319" t="s">
        <v>1545</v>
      </c>
      <c r="C6" s="319" t="s">
        <v>887</v>
      </c>
      <c r="D6" s="319" t="s">
        <v>1562</v>
      </c>
      <c r="E6" s="319" t="s">
        <v>1155</v>
      </c>
      <c r="F6" s="319" t="s">
        <v>899</v>
      </c>
      <c r="G6" s="319" t="s">
        <v>1545</v>
      </c>
      <c r="H6" s="319" t="s">
        <v>887</v>
      </c>
      <c r="I6" s="319" t="s">
        <v>1562</v>
      </c>
      <c r="J6" s="319" t="s">
        <v>1155</v>
      </c>
      <c r="K6" s="319" t="s">
        <v>899</v>
      </c>
      <c r="L6" s="319" t="s">
        <v>411</v>
      </c>
      <c r="O6" s="317" t="str">
        <f t="shared" si="0"/>
        <v>[4] Engineering</v>
      </c>
    </row>
    <row r="7" spans="1:15" s="125" customFormat="1">
      <c r="A7" s="319" t="s">
        <v>900</v>
      </c>
      <c r="B7" s="319" t="s">
        <v>1547</v>
      </c>
      <c r="C7" s="319" t="s">
        <v>892</v>
      </c>
      <c r="D7" s="319" t="s">
        <v>1569</v>
      </c>
      <c r="E7" s="319" t="s">
        <v>1369</v>
      </c>
      <c r="F7" s="319" t="s">
        <v>900</v>
      </c>
      <c r="G7" s="319" t="s">
        <v>1547</v>
      </c>
      <c r="H7" s="319" t="s">
        <v>892</v>
      </c>
      <c r="I7" s="319" t="s">
        <v>1569</v>
      </c>
      <c r="J7" s="319" t="s">
        <v>1369</v>
      </c>
      <c r="K7" s="319" t="s">
        <v>900</v>
      </c>
      <c r="L7" s="319" t="s">
        <v>411</v>
      </c>
      <c r="O7" s="317" t="str">
        <f t="shared" si="0"/>
        <v>[3] Project Management</v>
      </c>
    </row>
    <row r="8" spans="1:15" s="125" customFormat="1">
      <c r="A8" s="319" t="s">
        <v>900</v>
      </c>
      <c r="B8" s="319" t="s">
        <v>1547</v>
      </c>
      <c r="C8" s="319" t="s">
        <v>893</v>
      </c>
      <c r="D8" s="319" t="s">
        <v>1569</v>
      </c>
      <c r="E8" s="319" t="s">
        <v>1369</v>
      </c>
      <c r="F8" s="319" t="s">
        <v>900</v>
      </c>
      <c r="G8" s="319" t="s">
        <v>1547</v>
      </c>
      <c r="H8" s="319" t="s">
        <v>893</v>
      </c>
      <c r="I8" s="319" t="s">
        <v>1569</v>
      </c>
      <c r="J8" s="319" t="s">
        <v>1369</v>
      </c>
      <c r="K8" s="319" t="s">
        <v>900</v>
      </c>
      <c r="L8" s="319" t="s">
        <v>411</v>
      </c>
      <c r="O8" s="317" t="str">
        <f t="shared" si="0"/>
        <v>[3] Project Management</v>
      </c>
    </row>
    <row r="9" spans="1:15" s="125" customFormat="1">
      <c r="A9" s="319" t="s">
        <v>900</v>
      </c>
      <c r="B9" s="319" t="s">
        <v>1547</v>
      </c>
      <c r="C9" s="319" t="s">
        <v>894</v>
      </c>
      <c r="D9" s="319" t="s">
        <v>1569</v>
      </c>
      <c r="E9" s="319" t="s">
        <v>1369</v>
      </c>
      <c r="F9" s="319" t="s">
        <v>900</v>
      </c>
      <c r="G9" s="319" t="s">
        <v>1547</v>
      </c>
      <c r="H9" s="319" t="s">
        <v>894</v>
      </c>
      <c r="I9" s="319" t="s">
        <v>1569</v>
      </c>
      <c r="J9" s="319" t="s">
        <v>1369</v>
      </c>
      <c r="K9" s="319" t="s">
        <v>900</v>
      </c>
      <c r="L9" s="319" t="s">
        <v>411</v>
      </c>
      <c r="O9" s="317" t="str">
        <f t="shared" si="0"/>
        <v>[3] Project Management</v>
      </c>
    </row>
    <row r="10" spans="1:15" s="125" customFormat="1">
      <c r="A10" s="319" t="s">
        <v>901</v>
      </c>
      <c r="B10" s="319" t="s">
        <v>1549</v>
      </c>
      <c r="C10" s="319" t="s">
        <v>891</v>
      </c>
      <c r="D10" s="319" t="s">
        <v>1574</v>
      </c>
      <c r="E10" s="319" t="s">
        <v>1369</v>
      </c>
      <c r="F10" s="319" t="s">
        <v>901</v>
      </c>
      <c r="G10" s="319" t="s">
        <v>1549</v>
      </c>
      <c r="H10" s="319" t="s">
        <v>891</v>
      </c>
      <c r="I10" s="319" t="s">
        <v>1574</v>
      </c>
      <c r="J10" s="319" t="s">
        <v>1369</v>
      </c>
      <c r="K10" s="319" t="s">
        <v>901</v>
      </c>
      <c r="L10" s="319" t="s">
        <v>411</v>
      </c>
      <c r="O10" s="317" t="str">
        <f t="shared" si="0"/>
        <v>[3] Project Management</v>
      </c>
    </row>
    <row r="11" spans="1:15" s="125" customFormat="1">
      <c r="A11" s="319" t="s">
        <v>903</v>
      </c>
      <c r="B11" s="319" t="s">
        <v>1360</v>
      </c>
      <c r="C11" s="319" t="s">
        <v>751</v>
      </c>
      <c r="D11" s="319" t="s">
        <v>1575</v>
      </c>
      <c r="E11" s="319" t="s">
        <v>1368</v>
      </c>
      <c r="F11" s="319" t="s">
        <v>903</v>
      </c>
      <c r="G11" s="319" t="s">
        <v>1360</v>
      </c>
      <c r="H11" s="319" t="s">
        <v>751</v>
      </c>
      <c r="I11" s="319" t="s">
        <v>1575</v>
      </c>
      <c r="J11" s="319" t="s">
        <v>1368</v>
      </c>
      <c r="K11" s="319" t="s">
        <v>903</v>
      </c>
      <c r="L11" s="319" t="s">
        <v>411</v>
      </c>
      <c r="O11" s="317" t="str">
        <f t="shared" si="0"/>
        <v>[5] Configuration Management</v>
      </c>
    </row>
    <row r="12" spans="1:15" s="125" customFormat="1">
      <c r="A12" s="319" t="s">
        <v>904</v>
      </c>
      <c r="B12" s="319" t="s">
        <v>1361</v>
      </c>
      <c r="C12" s="319" t="s">
        <v>895</v>
      </c>
      <c r="D12" s="319" t="s">
        <v>1576</v>
      </c>
      <c r="E12" s="319" t="s">
        <v>1370</v>
      </c>
      <c r="F12" s="319" t="s">
        <v>904</v>
      </c>
      <c r="G12" s="319" t="s">
        <v>1361</v>
      </c>
      <c r="H12" s="319" t="s">
        <v>895</v>
      </c>
      <c r="I12" s="319" t="s">
        <v>1671</v>
      </c>
      <c r="J12" s="319" t="s">
        <v>1670</v>
      </c>
      <c r="K12" s="319" t="s">
        <v>904</v>
      </c>
      <c r="L12" s="319" t="s">
        <v>411</v>
      </c>
      <c r="O12" s="317" t="str">
        <f t="shared" si="0"/>
        <v>[6] Process Management</v>
      </c>
    </row>
    <row r="13" spans="1:15">
      <c r="A13" s="319" t="s">
        <v>904</v>
      </c>
      <c r="B13" s="319" t="s">
        <v>1361</v>
      </c>
      <c r="C13" s="319" t="s">
        <v>896</v>
      </c>
      <c r="D13" s="319" t="s">
        <v>1576</v>
      </c>
      <c r="E13" s="319" t="s">
        <v>1370</v>
      </c>
      <c r="F13" s="319" t="s">
        <v>904</v>
      </c>
      <c r="G13" s="319" t="s">
        <v>1361</v>
      </c>
      <c r="H13" s="319" t="s">
        <v>896</v>
      </c>
      <c r="I13" s="319" t="s">
        <v>1576</v>
      </c>
      <c r="J13" s="319" t="s">
        <v>1370</v>
      </c>
      <c r="K13" s="319" t="s">
        <v>904</v>
      </c>
      <c r="L13" s="319" t="s">
        <v>411</v>
      </c>
      <c r="O13" s="317" t="str">
        <f t="shared" si="0"/>
        <v>[6] Process Management</v>
      </c>
    </row>
    <row r="14" spans="1:15">
      <c r="A14" s="319" t="s">
        <v>904</v>
      </c>
      <c r="B14" s="319" t="s">
        <v>1361</v>
      </c>
      <c r="C14" s="319" t="s">
        <v>888</v>
      </c>
      <c r="D14" s="319" t="s">
        <v>1576</v>
      </c>
      <c r="E14" s="319" t="s">
        <v>1370</v>
      </c>
      <c r="F14" s="319" t="s">
        <v>904</v>
      </c>
      <c r="G14" s="319" t="s">
        <v>1361</v>
      </c>
      <c r="H14" s="319" t="s">
        <v>888</v>
      </c>
      <c r="I14" s="319" t="s">
        <v>1671</v>
      </c>
      <c r="J14" s="319" t="s">
        <v>1670</v>
      </c>
      <c r="K14" s="319" t="s">
        <v>904</v>
      </c>
      <c r="L14" s="319" t="s">
        <v>411</v>
      </c>
      <c r="O14" s="317" t="str">
        <f t="shared" si="0"/>
        <v>[6] Process Management</v>
      </c>
    </row>
    <row r="15" spans="1:15">
      <c r="A15" s="319" t="s">
        <v>904</v>
      </c>
      <c r="B15" s="319" t="s">
        <v>1361</v>
      </c>
      <c r="C15" s="319" t="s">
        <v>889</v>
      </c>
      <c r="D15" s="319" t="s">
        <v>1576</v>
      </c>
      <c r="E15" s="319" t="s">
        <v>1370</v>
      </c>
      <c r="F15" s="319" t="s">
        <v>904</v>
      </c>
      <c r="G15" s="319" t="s">
        <v>1361</v>
      </c>
      <c r="H15" s="319" t="s">
        <v>889</v>
      </c>
      <c r="I15" s="319" t="s">
        <v>1576</v>
      </c>
      <c r="J15" s="319" t="s">
        <v>1370</v>
      </c>
      <c r="K15" s="319" t="s">
        <v>904</v>
      </c>
      <c r="L15" s="319" t="s">
        <v>411</v>
      </c>
      <c r="O15" s="317" t="str">
        <f t="shared" si="0"/>
        <v>[6] Process Management</v>
      </c>
    </row>
    <row r="16" spans="1:15">
      <c r="A16" s="319" t="s">
        <v>904</v>
      </c>
      <c r="B16" s="319" t="s">
        <v>1361</v>
      </c>
      <c r="C16" s="319" t="s">
        <v>890</v>
      </c>
      <c r="D16" s="319" t="s">
        <v>1576</v>
      </c>
      <c r="E16" s="319" t="s">
        <v>1370</v>
      </c>
      <c r="F16" s="319" t="s">
        <v>904</v>
      </c>
      <c r="G16" s="319" t="s">
        <v>1361</v>
      </c>
      <c r="H16" s="319" t="s">
        <v>890</v>
      </c>
      <c r="I16" s="319" t="s">
        <v>1576</v>
      </c>
      <c r="J16" s="319" t="s">
        <v>1370</v>
      </c>
      <c r="K16" s="319" t="s">
        <v>904</v>
      </c>
      <c r="L16" s="319" t="s">
        <v>411</v>
      </c>
      <c r="O16" s="317" t="str">
        <f t="shared" si="0"/>
        <v>[6] Process Management</v>
      </c>
    </row>
    <row r="17" spans="1:15">
      <c r="A17" s="319" t="s">
        <v>905</v>
      </c>
      <c r="B17" s="319" t="s">
        <v>1362</v>
      </c>
      <c r="C17" s="319" t="s">
        <v>753</v>
      </c>
      <c r="D17" s="319" t="s">
        <v>1577</v>
      </c>
      <c r="E17" s="319" t="s">
        <v>1367</v>
      </c>
      <c r="F17" s="319" t="s">
        <v>905</v>
      </c>
      <c r="G17" s="319" t="s">
        <v>1362</v>
      </c>
      <c r="H17" s="319" t="s">
        <v>753</v>
      </c>
      <c r="I17" s="319" t="s">
        <v>1577</v>
      </c>
      <c r="J17" s="319" t="s">
        <v>1367</v>
      </c>
      <c r="K17" s="319" t="s">
        <v>905</v>
      </c>
      <c r="L17" s="319" t="s">
        <v>411</v>
      </c>
      <c r="O17" s="317" t="str">
        <f t="shared" si="0"/>
        <v>[7] Organisational Training</v>
      </c>
    </row>
    <row r="18" spans="1:15">
      <c r="A18" s="319" t="s">
        <v>906</v>
      </c>
      <c r="B18" s="319" t="s">
        <v>1363</v>
      </c>
      <c r="C18" s="319" t="s">
        <v>836</v>
      </c>
      <c r="D18" s="319" t="s">
        <v>1578</v>
      </c>
      <c r="E18" s="319" t="s">
        <v>1250</v>
      </c>
      <c r="F18" s="319" t="s">
        <v>906</v>
      </c>
      <c r="G18" s="319" t="s">
        <v>1363</v>
      </c>
      <c r="H18" s="319" t="s">
        <v>836</v>
      </c>
      <c r="I18" s="319" t="s">
        <v>1578</v>
      </c>
      <c r="J18" s="319" t="s">
        <v>1250</v>
      </c>
      <c r="K18" s="319" t="s">
        <v>906</v>
      </c>
      <c r="L18" s="319" t="s">
        <v>411</v>
      </c>
      <c r="O18" s="317" t="str">
        <f t="shared" si="0"/>
        <v>[8] Process Quality Assurance</v>
      </c>
    </row>
    <row r="19" spans="1:15">
      <c r="O19" s="125"/>
    </row>
  </sheetData>
  <sortState xmlns:xlrd2="http://schemas.microsoft.com/office/spreadsheetml/2017/richdata2" ref="A2:J10">
    <sortCondition ref="H2:H10"/>
    <sortCondition ref="B2:B10"/>
    <sortCondition ref="A2:A10"/>
    <sortCondition ref="E2:E10"/>
  </sortState>
  <phoneticPr fontId="54" type="noConversion"/>
  <pageMargins left="0.7" right="0.7" top="0.75" bottom="0.75" header="0.3" footer="0.3"/>
  <pageSetup paperSize="9" scale="87" fitToHeight="0" orientation="landscape"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93E3D-0ADF-4835-9C33-1AC851597EF8}">
  <sheetPr>
    <tabColor theme="9" tint="0.79998168889431442"/>
  </sheetPr>
  <dimension ref="A1:J11"/>
  <sheetViews>
    <sheetView workbookViewId="0">
      <selection activeCell="J7" sqref="J7"/>
    </sheetView>
  </sheetViews>
  <sheetFormatPr defaultRowHeight="14.5"/>
  <cols>
    <col min="1" max="1" width="27.36328125" bestFit="1" customWidth="1"/>
    <col min="2" max="2" width="14.81640625" bestFit="1" customWidth="1"/>
    <col min="4" max="4" width="29.90625" customWidth="1"/>
  </cols>
  <sheetData>
    <row r="1" spans="1:10">
      <c r="D1" s="316" t="s">
        <v>1305</v>
      </c>
      <c r="E1" s="316">
        <f>VALUE(RIGHT(Planning!B10,1))</f>
        <v>5</v>
      </c>
      <c r="F1" s="125" t="s">
        <v>1306</v>
      </c>
    </row>
    <row r="3" spans="1:10" ht="29">
      <c r="A3" s="311" t="s">
        <v>917</v>
      </c>
      <c r="B3" t="s">
        <v>1304</v>
      </c>
      <c r="D3" s="416" t="s">
        <v>1314</v>
      </c>
      <c r="E3" s="416" t="s">
        <v>926</v>
      </c>
      <c r="F3" s="417" t="s">
        <v>911</v>
      </c>
      <c r="G3" s="416" t="s">
        <v>1307</v>
      </c>
      <c r="H3" s="416" t="s">
        <v>1308</v>
      </c>
      <c r="I3" s="416" t="s">
        <v>1309</v>
      </c>
      <c r="J3" s="416" t="s">
        <v>1310</v>
      </c>
    </row>
    <row r="4" spans="1:10">
      <c r="A4" s="309" t="s">
        <v>989</v>
      </c>
      <c r="B4" s="312">
        <v>39</v>
      </c>
      <c r="D4" t="s">
        <v>989</v>
      </c>
      <c r="E4" s="312">
        <v>45</v>
      </c>
      <c r="F4">
        <f t="shared" ref="F4:F9" si="0">VLOOKUP($F$3,tbl_PAcount,$E$1+1,FALSE)</f>
        <v>6</v>
      </c>
      <c r="G4" s="318">
        <f>F4+E4</f>
        <v>51</v>
      </c>
      <c r="H4">
        <v>3</v>
      </c>
      <c r="I4" s="318">
        <f>H4*G4</f>
        <v>153</v>
      </c>
      <c r="J4" s="318">
        <f>I4/60</f>
        <v>2.5499999999999998</v>
      </c>
    </row>
    <row r="5" spans="1:10">
      <c r="A5" s="309" t="s">
        <v>990</v>
      </c>
      <c r="B5" s="312">
        <v>47</v>
      </c>
      <c r="D5" t="s">
        <v>990</v>
      </c>
      <c r="E5" s="312">
        <v>41</v>
      </c>
      <c r="F5" s="308">
        <f t="shared" si="0"/>
        <v>6</v>
      </c>
      <c r="G5" s="318">
        <f t="shared" ref="G5:G9" si="1">F5+E5</f>
        <v>47</v>
      </c>
      <c r="H5" s="308">
        <v>3</v>
      </c>
      <c r="I5" s="318">
        <f t="shared" ref="I5:I9" si="2">H5*G5</f>
        <v>141</v>
      </c>
      <c r="J5" s="318">
        <f t="shared" ref="J5:J9" si="3">I5/60</f>
        <v>2.35</v>
      </c>
    </row>
    <row r="6" spans="1:10">
      <c r="A6" s="309" t="s">
        <v>991</v>
      </c>
      <c r="B6" s="312">
        <v>7</v>
      </c>
      <c r="D6" t="s">
        <v>991</v>
      </c>
      <c r="E6" s="312">
        <v>7</v>
      </c>
      <c r="F6" s="308">
        <f t="shared" si="0"/>
        <v>6</v>
      </c>
      <c r="G6" s="318">
        <f t="shared" si="1"/>
        <v>13</v>
      </c>
      <c r="H6" s="308">
        <v>3</v>
      </c>
      <c r="I6" s="318">
        <f t="shared" si="2"/>
        <v>39</v>
      </c>
      <c r="J6" s="318">
        <f t="shared" si="3"/>
        <v>0.65</v>
      </c>
    </row>
    <row r="7" spans="1:10">
      <c r="A7" s="309" t="s">
        <v>992</v>
      </c>
      <c r="B7" s="312">
        <v>63</v>
      </c>
      <c r="D7" t="s">
        <v>992</v>
      </c>
      <c r="E7" s="312">
        <v>63</v>
      </c>
      <c r="F7" s="308">
        <f t="shared" si="0"/>
        <v>6</v>
      </c>
      <c r="G7" s="318">
        <f t="shared" si="1"/>
        <v>69</v>
      </c>
      <c r="H7" s="308">
        <v>3</v>
      </c>
      <c r="I7" s="318">
        <f t="shared" si="2"/>
        <v>207</v>
      </c>
      <c r="J7" s="318">
        <f t="shared" si="3"/>
        <v>3.45</v>
      </c>
    </row>
    <row r="8" spans="1:10">
      <c r="A8" s="309" t="s">
        <v>993</v>
      </c>
      <c r="B8" s="312">
        <v>9</v>
      </c>
      <c r="D8" t="s">
        <v>993</v>
      </c>
      <c r="E8" s="312">
        <v>9</v>
      </c>
      <c r="F8" s="308">
        <f t="shared" si="0"/>
        <v>6</v>
      </c>
      <c r="G8" s="318">
        <f t="shared" si="1"/>
        <v>15</v>
      </c>
      <c r="H8" s="308">
        <v>3</v>
      </c>
      <c r="I8" s="318">
        <f t="shared" si="2"/>
        <v>45</v>
      </c>
      <c r="J8" s="318">
        <f t="shared" si="3"/>
        <v>0.75</v>
      </c>
    </row>
    <row r="9" spans="1:10">
      <c r="A9" s="309" t="s">
        <v>999</v>
      </c>
      <c r="B9" s="312">
        <v>6</v>
      </c>
      <c r="D9" t="s">
        <v>999</v>
      </c>
      <c r="E9" s="312">
        <v>6</v>
      </c>
      <c r="F9" s="308">
        <f t="shared" si="0"/>
        <v>6</v>
      </c>
      <c r="G9" s="318">
        <f t="shared" si="1"/>
        <v>12</v>
      </c>
      <c r="H9" s="308">
        <v>3</v>
      </c>
      <c r="I9" s="318">
        <f t="shared" si="2"/>
        <v>36</v>
      </c>
      <c r="J9" s="318">
        <f t="shared" si="3"/>
        <v>0.6</v>
      </c>
    </row>
    <row r="10" spans="1:10">
      <c r="A10" s="309" t="s">
        <v>918</v>
      </c>
      <c r="B10" s="312"/>
    </row>
    <row r="11" spans="1:10">
      <c r="A11" s="309" t="s">
        <v>919</v>
      </c>
      <c r="B11" s="312">
        <v>171</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4F56F-6A03-4F3C-B519-CD0DF7ED9188}">
  <sheetPr codeName="Sheet22">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6.269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1206</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29">
      <c r="A4" s="436" t="s">
        <v>931</v>
      </c>
      <c r="B4" s="436"/>
      <c r="C4" s="68" t="str">
        <f>J11</f>
        <v>Mini team 1:ATM-5 / ATM-6 / ATM-7</v>
      </c>
      <c r="D4" s="68" t="str">
        <f>M11</f>
        <v>Full team: ATM-1 / ATM-2 / ATM-3 / ATM-4 /ATM-5 / ATM-6 / ATM-7 / ATM-8</v>
      </c>
      <c r="E4" s="68" t="str">
        <f>CONCATENATE("LA team: ",'Agreement 3'!B7," and ATMs if applicable")</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str">
        <f>_xlfn.CONCAT("Mini team 1:",I12," / ",I13," / ",I14)</f>
        <v>Mini team 1:ATM-5 / ATM-6 / ATM-7</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str">
        <f>'P1PA-SS'!B95</f>
        <v>ATM-5</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'P1PA-SS'!B96</f>
        <v>ATM-6</v>
      </c>
      <c r="K13" s="138"/>
      <c r="L13" s="135" t="str">
        <f>'P1PA-SS'!B93</f>
        <v>ATM-3</v>
      </c>
      <c r="M13" s="139"/>
      <c r="N13" s="67"/>
      <c r="O13" s="67"/>
      <c r="P13" s="67"/>
    </row>
    <row r="14" spans="1:16">
      <c r="I14" s="135" t="str">
        <f>'P1PA-SS'!B97</f>
        <v>ATM-7</v>
      </c>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I15" s="135"/>
      <c r="K15" s="139"/>
      <c r="L15" s="135" t="str">
        <f>'P1PA-SS'!B95</f>
        <v>ATM-5</v>
      </c>
      <c r="M15" s="136"/>
      <c r="N15" s="67"/>
      <c r="O15" s="67"/>
      <c r="P15" s="67"/>
    </row>
    <row r="16" spans="1:16">
      <c r="A16" s="443" t="str">
        <f>J4</f>
        <v>Day 3</v>
      </c>
      <c r="B16" s="443"/>
      <c r="C16" s="444">
        <f>I4</f>
        <v>44298</v>
      </c>
      <c r="D16" s="444"/>
      <c r="E16" s="444"/>
      <c r="F16" s="443" t="str">
        <f>A16</f>
        <v>Day 3</v>
      </c>
      <c r="G16" s="443"/>
      <c r="H16" s="65"/>
      <c r="I16" s="135"/>
      <c r="K16" s="139"/>
      <c r="L16" s="135" t="str">
        <f>'P1PA-SS'!B96</f>
        <v>ATM-6</v>
      </c>
      <c r="M16" s="136"/>
      <c r="N16" s="67"/>
      <c r="O16" s="67"/>
      <c r="P16" s="67"/>
    </row>
    <row r="17" spans="1:18" ht="29">
      <c r="A17" s="443" t="s">
        <v>931</v>
      </c>
      <c r="B17" s="443"/>
      <c r="C17" s="71" t="str">
        <f>C4</f>
        <v>Mini team 1:ATM-5 / ATM-6 / ATM-7</v>
      </c>
      <c r="D17" s="71" t="str">
        <f>D4</f>
        <v>Full team: ATM-1 / ATM-2 / ATM-3 / ATM-4 /ATM-5 / ATM-6 / ATM-7 / ATM-8</v>
      </c>
      <c r="E17" s="71"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72" t="s">
        <v>936</v>
      </c>
      <c r="D18" s="72" t="s">
        <v>936</v>
      </c>
      <c r="E18" s="7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5" t="s">
        <v>987</v>
      </c>
      <c r="D19" s="446"/>
      <c r="E19" s="447"/>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939</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71" t="str">
        <f>C17</f>
        <v>Mini team 1:ATM-5 / ATM-6 / ATM-7</v>
      </c>
      <c r="D36" s="71" t="str">
        <f>D17</f>
        <v>Full team: ATM-1 / ATM-2 / ATM-3 / ATM-4 /ATM-5 / ATM-6 / ATM-7 / ATM-8</v>
      </c>
      <c r="E36" s="71" t="str">
        <f>E17</f>
        <v>LA team: van Zyl, Pieter and ATMs if applicable</v>
      </c>
      <c r="F36" s="443" t="s">
        <v>932</v>
      </c>
      <c r="G36" s="443"/>
      <c r="H36" s="74"/>
    </row>
    <row r="37" spans="1:16" ht="18" customHeight="1">
      <c r="A37" s="70">
        <v>0.41666666666666669</v>
      </c>
      <c r="B37" s="70">
        <v>0.4375</v>
      </c>
      <c r="C37" s="441" t="s">
        <v>939</v>
      </c>
      <c r="D37" s="441"/>
      <c r="E37" s="7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939</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68" t="str">
        <f>C36</f>
        <v>Mini team 1:ATM-5 / ATM-6 / ATM-7</v>
      </c>
      <c r="D55" s="68" t="str">
        <f>D36</f>
        <v>Full team: ATM-1 / ATM-2 / ATM-3 / ATM-4 /ATM-5 / ATM-6 / ATM-7 / ATM-8</v>
      </c>
      <c r="E55" s="68" t="str">
        <f>E36</f>
        <v>LA team: van Zyl, Pieter and ATMs if applicable</v>
      </c>
      <c r="F55" s="436" t="s">
        <v>932</v>
      </c>
      <c r="G55" s="436"/>
      <c r="H55" s="74"/>
    </row>
    <row r="56" spans="1:8" ht="18" customHeight="1">
      <c r="A56" s="70">
        <v>0.41666666666666669</v>
      </c>
      <c r="B56" s="70">
        <v>0.4375</v>
      </c>
      <c r="C56" s="441" t="s">
        <v>941</v>
      </c>
      <c r="D56" s="441"/>
      <c r="E56" s="7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41" t="s">
        <v>939</v>
      </c>
      <c r="D71" s="441"/>
      <c r="E71" s="441"/>
      <c r="F71" s="70">
        <v>0.47916666666666669</v>
      </c>
      <c r="G71" s="70">
        <v>0.5</v>
      </c>
      <c r="H71" s="74"/>
    </row>
    <row r="72" spans="1:8" ht="18" customHeight="1">
      <c r="A72" s="70">
        <v>0.75</v>
      </c>
      <c r="B72" s="70">
        <v>0.83333333333333337</v>
      </c>
      <c r="C72" s="441" t="s">
        <v>940</v>
      </c>
      <c r="D72" s="441"/>
      <c r="E72" s="441"/>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68" t="str">
        <f>C55</f>
        <v>Mini team 1:ATM-5 / ATM-6 / ATM-7</v>
      </c>
      <c r="D74" s="68" t="str">
        <f>D55</f>
        <v>Full team: ATM-1 / ATM-2 / ATM-3 / ATM-4 /ATM-5 / ATM-6 / ATM-7 / ATM-8</v>
      </c>
      <c r="E74" s="68"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49" t="s">
        <v>942</v>
      </c>
      <c r="D81" s="449"/>
      <c r="E81" s="449"/>
      <c r="F81" s="70">
        <v>0.29166666666666669</v>
      </c>
      <c r="G81" s="70">
        <v>0.3125</v>
      </c>
      <c r="H81" s="74"/>
    </row>
    <row r="82" spans="1:8" ht="18" customHeight="1">
      <c r="A82" s="70">
        <v>0.5625</v>
      </c>
      <c r="B82" s="70">
        <v>0.58333333333333337</v>
      </c>
      <c r="C82" s="449"/>
      <c r="D82" s="449"/>
      <c r="E82" s="449"/>
      <c r="F82" s="70">
        <v>0.3125</v>
      </c>
      <c r="G82" s="70">
        <v>0.33333333333333331</v>
      </c>
      <c r="H82" s="74"/>
    </row>
    <row r="83" spans="1:8" ht="18" customHeight="1">
      <c r="A83" s="70">
        <v>0.58333333333333337</v>
      </c>
      <c r="B83" s="70">
        <v>0.60416666666666663</v>
      </c>
      <c r="C83" s="449"/>
      <c r="D83" s="449"/>
      <c r="E83" s="449"/>
      <c r="F83" s="70">
        <v>0.33333333333333331</v>
      </c>
      <c r="G83" s="70">
        <v>0.35416666666666669</v>
      </c>
      <c r="H83" s="74"/>
    </row>
    <row r="84" spans="1:8" ht="18" customHeight="1">
      <c r="A84" s="70">
        <v>0.60416666666666663</v>
      </c>
      <c r="B84" s="70">
        <v>0.625</v>
      </c>
      <c r="C84" s="449"/>
      <c r="D84" s="449"/>
      <c r="E84" s="449"/>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68" t="str">
        <f>C74</f>
        <v>Mini team 1:ATM-5 / ATM-6 / ATM-7</v>
      </c>
      <c r="D93" s="68" t="str">
        <f>D74</f>
        <v>Full team: ATM-1 / ATM-2 / ATM-3 / ATM-4 /ATM-5 / ATM-6 / ATM-7 / ATM-8</v>
      </c>
      <c r="E93" s="68"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95:E96"/>
    <mergeCell ref="C94:E94"/>
    <mergeCell ref="C101:E103"/>
    <mergeCell ref="C99:E100"/>
    <mergeCell ref="C108:E110"/>
    <mergeCell ref="C104:E105"/>
    <mergeCell ref="C106:E107"/>
    <mergeCell ref="C97:E98"/>
    <mergeCell ref="A93:B93"/>
    <mergeCell ref="F93:G93"/>
    <mergeCell ref="C75:E75"/>
    <mergeCell ref="C76:E77"/>
    <mergeCell ref="C78:E78"/>
    <mergeCell ref="C79:E80"/>
    <mergeCell ref="C81:E84"/>
    <mergeCell ref="C85:E86"/>
    <mergeCell ref="C87:E90"/>
    <mergeCell ref="C91:E91"/>
    <mergeCell ref="A92:B92"/>
    <mergeCell ref="C92:E92"/>
    <mergeCell ref="F92:G92"/>
    <mergeCell ref="C72:E72"/>
    <mergeCell ref="A73:B73"/>
    <mergeCell ref="C73:E73"/>
    <mergeCell ref="F73:G73"/>
    <mergeCell ref="A74:B74"/>
    <mergeCell ref="F74:G74"/>
    <mergeCell ref="C71:E71"/>
    <mergeCell ref="A54:B54"/>
    <mergeCell ref="C54:E54"/>
    <mergeCell ref="F54:G54"/>
    <mergeCell ref="A55:B55"/>
    <mergeCell ref="F55:G55"/>
    <mergeCell ref="C56:D56"/>
    <mergeCell ref="C57:E59"/>
    <mergeCell ref="C60:E61"/>
    <mergeCell ref="C62:E67"/>
    <mergeCell ref="C68:E68"/>
    <mergeCell ref="C69:E70"/>
    <mergeCell ref="C53:E53"/>
    <mergeCell ref="F35:G35"/>
    <mergeCell ref="A36:B36"/>
    <mergeCell ref="F36:G36"/>
    <mergeCell ref="C37:D37"/>
    <mergeCell ref="C38:E40"/>
    <mergeCell ref="C41:E42"/>
    <mergeCell ref="C43:E47"/>
    <mergeCell ref="C48:D49"/>
    <mergeCell ref="E48:E49"/>
    <mergeCell ref="C50:E51"/>
    <mergeCell ref="C52:E52"/>
    <mergeCell ref="C28:E28"/>
    <mergeCell ref="C29:E32"/>
    <mergeCell ref="C33:E33"/>
    <mergeCell ref="C34:E34"/>
    <mergeCell ref="A35:B35"/>
    <mergeCell ref="C35:E35"/>
    <mergeCell ref="C24:E27"/>
    <mergeCell ref="C5:C13"/>
    <mergeCell ref="D5:D13"/>
    <mergeCell ref="E5:E13"/>
    <mergeCell ref="A15:G15"/>
    <mergeCell ref="A16:B16"/>
    <mergeCell ref="C16:E16"/>
    <mergeCell ref="F16:G16"/>
    <mergeCell ref="A17:B17"/>
    <mergeCell ref="F17:G17"/>
    <mergeCell ref="C19:E19"/>
    <mergeCell ref="C20:E21"/>
    <mergeCell ref="C22:E23"/>
    <mergeCell ref="A4:B4"/>
    <mergeCell ref="F4:G4"/>
    <mergeCell ref="A1:G1"/>
    <mergeCell ref="A2:G2"/>
    <mergeCell ref="A3:B3"/>
    <mergeCell ref="C3:E3"/>
    <mergeCell ref="F3:G3"/>
  </mergeCells>
  <phoneticPr fontId="54" type="noConversion"/>
  <pageMargins left="0.7" right="0.7" top="0.75" bottom="0.75" header="0.3" footer="0.3"/>
  <pageSetup paperSize="9" scale="62" fitToHeight="0" orientation="portrait" r:id="rId1"/>
  <rowBreaks count="5" manualBreakCount="5">
    <brk id="15" max="16383" man="1"/>
    <brk id="34" max="16383" man="1"/>
    <brk id="53" max="16383" man="1"/>
    <brk id="72" max="16383" man="1"/>
    <brk id="91" max="16383" man="1"/>
  </rowBreak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D29FD1-4893-4109-AC99-1D2183EA84E6}">
  <sheetPr codeName="Sheet30">
    <tabColor theme="5" tint="0.79998168889431442"/>
    <pageSetUpPr fitToPage="1"/>
  </sheetPr>
  <dimension ref="A1:R110"/>
  <sheetViews>
    <sheetView workbookViewId="0">
      <selection activeCell="D4" sqref="D1:D1048576"/>
    </sheetView>
  </sheetViews>
  <sheetFormatPr defaultColWidth="8.7265625" defaultRowHeight="14.5"/>
  <cols>
    <col min="1" max="2" width="10.453125" style="8" customWidth="1"/>
    <col min="3" max="3" width="32.453125" style="8" hidden="1" customWidth="1"/>
    <col min="4" max="4" width="47.36328125" style="8" customWidth="1"/>
    <col min="5" max="5" width="26.453125" style="8" customWidth="1"/>
    <col min="6" max="7" width="10.453125" style="8" customWidth="1"/>
    <col min="8" max="8" width="8.7265625" style="75"/>
    <col min="9" max="13" width="37.7265625" style="137" customWidth="1"/>
    <col min="14" max="16384" width="8.7265625" style="8"/>
  </cols>
  <sheetData>
    <row r="1" spans="1:16" ht="14.5" customHeight="1">
      <c r="A1" s="437" t="s">
        <v>1207</v>
      </c>
      <c r="B1" s="437"/>
      <c r="C1" s="437"/>
      <c r="D1" s="437"/>
      <c r="E1" s="437"/>
      <c r="F1" s="437"/>
      <c r="G1" s="437"/>
      <c r="H1" s="65"/>
      <c r="I1" s="140" t="s">
        <v>927</v>
      </c>
      <c r="J1" s="141" t="s">
        <v>928</v>
      </c>
      <c r="K1" s="135" t="s">
        <v>929</v>
      </c>
      <c r="L1" s="135" t="s">
        <v>930</v>
      </c>
      <c r="M1" s="136"/>
      <c r="N1" s="67"/>
      <c r="O1" s="67"/>
      <c r="P1" s="67"/>
    </row>
    <row r="2" spans="1:16" ht="14.5" customHeight="1">
      <c r="A2" s="438" t="str">
        <f>CONCATENATE(TEXT(Planning!B26,"[$-x-sysdate]dddd, mmmm dd, yyyy")," (Technology test)")</f>
        <v>Thursday, 08 April 2021 (Technology test)</v>
      </c>
      <c r="B2" s="438"/>
      <c r="C2" s="438"/>
      <c r="D2" s="438"/>
      <c r="E2" s="438"/>
      <c r="F2" s="438"/>
      <c r="G2" s="438"/>
      <c r="H2" s="65"/>
      <c r="I2" s="135"/>
      <c r="J2" s="135"/>
      <c r="K2" s="135"/>
      <c r="L2" s="136"/>
      <c r="M2" s="136"/>
      <c r="N2" s="67"/>
      <c r="O2" s="67"/>
      <c r="P2" s="67"/>
    </row>
    <row r="3" spans="1:16">
      <c r="A3" s="436" t="str">
        <f>J3</f>
        <v>Day 1-2</v>
      </c>
      <c r="B3" s="436"/>
      <c r="C3" s="439" t="str">
        <f>CONCATENATE(TEXT(I3,"[$-x-sysdate]dddd, mmmm dd, yyyy")," to ",TEXT(K3,"[$-x-sysdate]dddd, mmmm dd, yyyy"))</f>
        <v>Saturday, 10 April 2021 to Sunday, 11 April 2021</v>
      </c>
      <c r="D3" s="439"/>
      <c r="E3" s="439"/>
      <c r="F3" s="436" t="str">
        <f>A3</f>
        <v>Day 1-2</v>
      </c>
      <c r="G3" s="436"/>
      <c r="H3" s="65"/>
      <c r="I3" s="142">
        <f>Planning!B27</f>
        <v>44296</v>
      </c>
      <c r="J3" s="143" t="str">
        <f>_xlfn.CONCAT("Day 1-",L3)</f>
        <v>Day 1-2</v>
      </c>
      <c r="K3" s="144">
        <f>Planning!B27+Planning!B29-1</f>
        <v>44297</v>
      </c>
      <c r="L3" s="135">
        <f>K3-I3+1</f>
        <v>2</v>
      </c>
      <c r="M3" s="136"/>
      <c r="N3" s="67"/>
      <c r="O3" s="67"/>
      <c r="P3" s="67"/>
    </row>
    <row r="4" spans="1:16" ht="49.5" customHeight="1">
      <c r="A4" s="436" t="s">
        <v>931</v>
      </c>
      <c r="B4" s="436"/>
      <c r="C4" s="231" t="str">
        <f>'Schedule4-1P'!C4</f>
        <v>Mini team 1:ATM-5 / ATM-6 / ATM-7</v>
      </c>
      <c r="D4" s="231" t="str">
        <f>'Schedule4-1P'!D4</f>
        <v>Full team: ATM-1 / ATM-2 / ATM-3 / ATM-4 /ATM-5 / ATM-6 / ATM-7 / ATM-8</v>
      </c>
      <c r="E4" s="231" t="str">
        <f>'Schedule4-1P'!E4</f>
        <v>LA team: van Zyl, Pieter and ATMs if applicable</v>
      </c>
      <c r="F4" s="436" t="s">
        <v>932</v>
      </c>
      <c r="G4" s="436"/>
      <c r="H4" s="65"/>
      <c r="I4" s="142">
        <f>Planning!B30</f>
        <v>44298</v>
      </c>
      <c r="J4" s="143" t="str">
        <f>_xlfn.CONCAT("Day ",L4)</f>
        <v>Day 3</v>
      </c>
      <c r="K4" s="136"/>
      <c r="L4" s="145">
        <f>L3+1</f>
        <v>3</v>
      </c>
      <c r="M4" s="145"/>
      <c r="N4" s="69"/>
      <c r="O4" s="69"/>
      <c r="P4" s="69"/>
    </row>
    <row r="5" spans="1:16" ht="18" customHeight="1">
      <c r="A5" s="70">
        <v>0.41666666666666669</v>
      </c>
      <c r="B5" s="70">
        <v>0.45833333333333331</v>
      </c>
      <c r="C5" s="441" t="s">
        <v>933</v>
      </c>
      <c r="D5" s="441" t="s">
        <v>933</v>
      </c>
      <c r="E5" s="441" t="s">
        <v>934</v>
      </c>
      <c r="F5" s="70">
        <v>0.16666666666666666</v>
      </c>
      <c r="G5" s="70">
        <v>0.20833333333333331</v>
      </c>
      <c r="H5" s="65"/>
      <c r="I5" s="142">
        <f>I4+1</f>
        <v>44299</v>
      </c>
      <c r="J5" s="143" t="str">
        <f t="shared" ref="J5:J9" si="0">_xlfn.CONCAT("Day ",L5)</f>
        <v>Day 4</v>
      </c>
      <c r="K5" s="136"/>
      <c r="L5" s="145">
        <f t="shared" ref="L5:L9" si="1">L4+1</f>
        <v>4</v>
      </c>
      <c r="M5" s="145"/>
      <c r="N5" s="67"/>
      <c r="O5" s="67"/>
      <c r="P5" s="67"/>
    </row>
    <row r="6" spans="1:16" ht="18" customHeight="1">
      <c r="A6" s="70">
        <v>0.45833333333333298</v>
      </c>
      <c r="B6" s="70">
        <v>0.5</v>
      </c>
      <c r="C6" s="441"/>
      <c r="D6" s="441"/>
      <c r="E6" s="441"/>
      <c r="F6" s="70">
        <v>0.20833333333333331</v>
      </c>
      <c r="G6" s="70">
        <v>0.24999999999999997</v>
      </c>
      <c r="H6" s="65"/>
      <c r="I6" s="142">
        <f t="shared" ref="I6:I9" si="2">I5+1</f>
        <v>44300</v>
      </c>
      <c r="J6" s="143" t="str">
        <f t="shared" si="0"/>
        <v>Day 5</v>
      </c>
      <c r="K6" s="136"/>
      <c r="L6" s="145">
        <f t="shared" si="1"/>
        <v>5</v>
      </c>
      <c r="M6" s="136"/>
      <c r="N6" s="67"/>
      <c r="O6" s="67"/>
      <c r="P6" s="67"/>
    </row>
    <row r="7" spans="1:16" ht="18" customHeight="1">
      <c r="A7" s="70">
        <v>0.5</v>
      </c>
      <c r="B7" s="70">
        <v>0.54166666666666696</v>
      </c>
      <c r="C7" s="441"/>
      <c r="D7" s="441"/>
      <c r="E7" s="441"/>
      <c r="F7" s="70">
        <v>0.24999999999999997</v>
      </c>
      <c r="G7" s="70">
        <v>0.29166666666666663</v>
      </c>
      <c r="H7" s="65"/>
      <c r="I7" s="142">
        <f t="shared" si="2"/>
        <v>44301</v>
      </c>
      <c r="J7" s="143" t="str">
        <f t="shared" si="0"/>
        <v>Day 6</v>
      </c>
      <c r="K7" s="136"/>
      <c r="L7" s="145">
        <f t="shared" si="1"/>
        <v>6</v>
      </c>
      <c r="M7" s="136"/>
      <c r="N7" s="67"/>
      <c r="O7" s="67"/>
      <c r="P7" s="67"/>
    </row>
    <row r="8" spans="1:16" ht="18" customHeight="1">
      <c r="A8" s="70">
        <v>0.54166666666666696</v>
      </c>
      <c r="B8" s="70">
        <v>0.58333333333333404</v>
      </c>
      <c r="C8" s="441"/>
      <c r="D8" s="441"/>
      <c r="E8" s="441"/>
      <c r="F8" s="70">
        <v>0.29166666666666663</v>
      </c>
      <c r="G8" s="70">
        <v>0.33333333333333331</v>
      </c>
      <c r="H8" s="65"/>
      <c r="I8" s="142">
        <f t="shared" si="2"/>
        <v>44302</v>
      </c>
      <c r="J8" s="143" t="str">
        <f t="shared" si="0"/>
        <v>Day 7</v>
      </c>
      <c r="K8" s="136"/>
      <c r="L8" s="145">
        <f t="shared" si="1"/>
        <v>7</v>
      </c>
      <c r="M8" s="136"/>
      <c r="N8" s="67"/>
      <c r="O8" s="67"/>
      <c r="P8" s="67"/>
    </row>
    <row r="9" spans="1:16" ht="18" customHeight="1">
      <c r="A9" s="70">
        <v>0.58333333333333304</v>
      </c>
      <c r="B9" s="70">
        <v>0.625</v>
      </c>
      <c r="C9" s="441"/>
      <c r="D9" s="441"/>
      <c r="E9" s="441"/>
      <c r="F9" s="70">
        <v>0.33333333333333331</v>
      </c>
      <c r="G9" s="70">
        <v>0.375</v>
      </c>
      <c r="H9" s="65"/>
      <c r="I9" s="142">
        <f t="shared" si="2"/>
        <v>44303</v>
      </c>
      <c r="J9" s="143" t="str">
        <f t="shared" si="0"/>
        <v>Day 8</v>
      </c>
      <c r="K9" s="136"/>
      <c r="L9" s="145">
        <f t="shared" si="1"/>
        <v>8</v>
      </c>
      <c r="M9" s="136"/>
      <c r="N9" s="67"/>
      <c r="O9" s="67"/>
      <c r="P9" s="67"/>
    </row>
    <row r="10" spans="1:16" ht="18" customHeight="1">
      <c r="A10" s="70">
        <v>0.625</v>
      </c>
      <c r="B10" s="70">
        <v>0.66666666666666696</v>
      </c>
      <c r="C10" s="441"/>
      <c r="D10" s="441"/>
      <c r="E10" s="441"/>
      <c r="F10" s="70">
        <v>0.375</v>
      </c>
      <c r="G10" s="70">
        <v>0.41666666666666669</v>
      </c>
      <c r="H10" s="65"/>
      <c r="I10" s="144"/>
      <c r="J10" s="136"/>
      <c r="K10" s="136"/>
      <c r="L10" s="136"/>
      <c r="M10" s="136"/>
      <c r="N10" s="67"/>
      <c r="O10" s="67"/>
      <c r="P10" s="67"/>
    </row>
    <row r="11" spans="1:16" ht="18" customHeight="1">
      <c r="A11" s="70">
        <v>0.66666666666666696</v>
      </c>
      <c r="B11" s="70">
        <v>0.70833333333333337</v>
      </c>
      <c r="C11" s="441"/>
      <c r="D11" s="441"/>
      <c r="E11" s="441"/>
      <c r="F11" s="70">
        <v>0.41666666666666669</v>
      </c>
      <c r="G11" s="70">
        <v>0.45833333333333337</v>
      </c>
      <c r="H11" s="65"/>
      <c r="I11" s="135" t="s">
        <v>935</v>
      </c>
      <c r="J11" s="138" t="e">
        <f>_xlfn.CONCAT("Mini team 1:",I12," / ",I13," / ",I14)</f>
        <v>#REF!</v>
      </c>
      <c r="K11" s="139"/>
      <c r="L11" s="135" t="str">
        <f>'P1PA-SS'!B91</f>
        <v>ATM-1</v>
      </c>
      <c r="M11" s="138" t="str">
        <f>_xlfn.CONCAT("Full team: ",L11," / ",L12, " / ",L13," / ",L14," /",L15," / ",L16, " / ",L17," / ",L18)</f>
        <v>Full team: ATM-1 / ATM-2 / ATM-3 / ATM-4 /ATM-5 / ATM-6 / ATM-7 / ATM-8</v>
      </c>
      <c r="N11" s="67"/>
      <c r="O11" s="67"/>
      <c r="P11" s="67"/>
    </row>
    <row r="12" spans="1:16" ht="18" customHeight="1">
      <c r="A12" s="70">
        <v>0.70833333333333337</v>
      </c>
      <c r="B12" s="70">
        <v>0.75</v>
      </c>
      <c r="C12" s="441"/>
      <c r="D12" s="441"/>
      <c r="E12" s="441"/>
      <c r="F12" s="70">
        <v>0.45833333333333331</v>
      </c>
      <c r="G12" s="70">
        <v>0.5</v>
      </c>
      <c r="H12" s="65"/>
      <c r="I12" s="135" t="e">
        <f>'P1PA-SS'!#REF!</f>
        <v>#REF!</v>
      </c>
      <c r="J12" s="139"/>
      <c r="K12" s="139"/>
      <c r="L12" s="135" t="str">
        <f>'P1PA-SS'!B92</f>
        <v>ATM-2</v>
      </c>
      <c r="M12" s="139"/>
      <c r="N12" s="67"/>
      <c r="O12" s="67"/>
      <c r="P12" s="67"/>
    </row>
    <row r="13" spans="1:16" ht="18" customHeight="1">
      <c r="A13" s="70">
        <v>0.75</v>
      </c>
      <c r="B13" s="70">
        <v>0.79166666666666663</v>
      </c>
      <c r="C13" s="441"/>
      <c r="D13" s="441"/>
      <c r="E13" s="441"/>
      <c r="F13" s="70">
        <v>0.5</v>
      </c>
      <c r="G13" s="70">
        <v>0.54166666666666663</v>
      </c>
      <c r="H13" s="65"/>
      <c r="I13" s="135" t="str">
        <f>'P1PA-SS'!B95</f>
        <v>ATM-5</v>
      </c>
      <c r="K13" s="138"/>
      <c r="L13" s="135" t="str">
        <f>'P1PA-SS'!B93</f>
        <v>ATM-3</v>
      </c>
      <c r="M13" s="139"/>
      <c r="N13" s="67"/>
      <c r="O13" s="67"/>
      <c r="P13" s="67"/>
    </row>
    <row r="14" spans="1:16">
      <c r="I14" s="135"/>
      <c r="K14" s="43"/>
      <c r="L14" s="135" t="str">
        <f>'P1PA-SS'!B94</f>
        <v>ATM-4</v>
      </c>
      <c r="M14" s="139"/>
    </row>
    <row r="15" spans="1:16">
      <c r="A15" s="442" t="str">
        <f>CONCATENATE("Schedule above includes ",Planning!B28," non-working day(s).")</f>
        <v>Schedule above includes 0 non-working day(s).</v>
      </c>
      <c r="B15" s="442"/>
      <c r="C15" s="442"/>
      <c r="D15" s="442"/>
      <c r="E15" s="442"/>
      <c r="F15" s="442"/>
      <c r="G15" s="442"/>
      <c r="H15" s="65"/>
      <c r="K15" s="139"/>
      <c r="L15" s="135" t="str">
        <f>'P1PA-SS'!B95</f>
        <v>ATM-5</v>
      </c>
      <c r="M15" s="136"/>
      <c r="N15" s="67"/>
      <c r="O15" s="67"/>
      <c r="P15" s="67"/>
    </row>
    <row r="16" spans="1:16">
      <c r="A16" s="443" t="str">
        <f>J4</f>
        <v>Day 3</v>
      </c>
      <c r="B16" s="443"/>
      <c r="C16" s="444">
        <f>I4</f>
        <v>44298</v>
      </c>
      <c r="D16" s="444"/>
      <c r="E16" s="444"/>
      <c r="F16" s="443" t="str">
        <f>A16</f>
        <v>Day 3</v>
      </c>
      <c r="G16" s="443"/>
      <c r="H16" s="65"/>
      <c r="K16" s="139"/>
      <c r="L16" s="135" t="str">
        <f>'P1PA-SS'!B96</f>
        <v>ATM-6</v>
      </c>
      <c r="M16" s="136"/>
      <c r="N16" s="67"/>
      <c r="O16" s="67"/>
      <c r="P16" s="67"/>
    </row>
    <row r="17" spans="1:18" ht="29">
      <c r="A17" s="443" t="s">
        <v>931</v>
      </c>
      <c r="B17" s="443"/>
      <c r="C17" s="233" t="str">
        <f>C4</f>
        <v>Mini team 1:ATM-5 / ATM-6 / ATM-7</v>
      </c>
      <c r="D17" s="233" t="str">
        <f>D4</f>
        <v>Full team: ATM-1 / ATM-2 / ATM-3 / ATM-4 /ATM-5 / ATM-6 / ATM-7 / ATM-8</v>
      </c>
      <c r="E17" s="233" t="str">
        <f>E4</f>
        <v>LA team: van Zyl, Pieter and ATMs if applicable</v>
      </c>
      <c r="F17" s="443" t="s">
        <v>932</v>
      </c>
      <c r="G17" s="443"/>
      <c r="H17" s="65"/>
      <c r="K17" s="139"/>
      <c r="L17" s="135" t="str">
        <f>'P1PA-SS'!B97</f>
        <v>ATM-7</v>
      </c>
      <c r="M17" s="135"/>
      <c r="N17" s="67"/>
      <c r="O17" s="66"/>
      <c r="P17" s="67"/>
    </row>
    <row r="18" spans="1:18" ht="18.649999999999999" customHeight="1">
      <c r="A18" s="70">
        <v>0.41666666666666669</v>
      </c>
      <c r="B18" s="70">
        <v>0.4375</v>
      </c>
      <c r="C18" s="232" t="s">
        <v>936</v>
      </c>
      <c r="D18" s="232" t="s">
        <v>936</v>
      </c>
      <c r="E18" s="232" t="s">
        <v>937</v>
      </c>
      <c r="F18" s="70">
        <v>0.16666666666666666</v>
      </c>
      <c r="G18" s="70">
        <v>0.1875</v>
      </c>
      <c r="H18" s="65"/>
      <c r="I18" s="135"/>
      <c r="J18" s="136"/>
      <c r="K18" s="136"/>
      <c r="L18" s="135" t="str">
        <f>'P1PA-SS'!B98</f>
        <v>ATM-8</v>
      </c>
      <c r="M18" s="136"/>
      <c r="N18" s="67"/>
      <c r="O18" s="67"/>
      <c r="P18" s="67"/>
    </row>
    <row r="19" spans="1:18" ht="18.649999999999999" customHeight="1">
      <c r="A19" s="70">
        <v>0.4375</v>
      </c>
      <c r="B19" s="70">
        <v>0.45833333333333331</v>
      </c>
      <c r="C19" s="440" t="s">
        <v>987</v>
      </c>
      <c r="D19" s="440"/>
      <c r="E19" s="440"/>
      <c r="F19" s="70">
        <v>0.1875</v>
      </c>
      <c r="G19" s="70">
        <v>0.20833333333333334</v>
      </c>
      <c r="H19" s="65"/>
      <c r="I19" s="135"/>
      <c r="J19" s="136"/>
      <c r="K19" s="136"/>
      <c r="L19" s="136"/>
      <c r="M19" s="136"/>
      <c r="N19" s="67"/>
      <c r="O19" s="67"/>
      <c r="P19" s="67"/>
    </row>
    <row r="20" spans="1:18" ht="18.649999999999999" customHeight="1">
      <c r="A20" s="70">
        <v>0.45833333333333331</v>
      </c>
      <c r="B20" s="70">
        <v>0.47916666666666669</v>
      </c>
      <c r="C20" s="448" t="s">
        <v>988</v>
      </c>
      <c r="D20" s="448"/>
      <c r="E20" s="448"/>
      <c r="F20" s="70">
        <v>0.20833333333333334</v>
      </c>
      <c r="G20" s="70">
        <v>0.22916666666666666</v>
      </c>
      <c r="H20" s="65"/>
      <c r="I20" s="135"/>
      <c r="J20" s="136"/>
      <c r="K20" s="136"/>
      <c r="L20" s="136"/>
      <c r="M20" s="136"/>
      <c r="N20" s="67"/>
      <c r="O20" s="67"/>
      <c r="P20" s="67"/>
    </row>
    <row r="21" spans="1:18" ht="18.649999999999999" customHeight="1">
      <c r="A21" s="70">
        <v>0.47916666666666669</v>
      </c>
      <c r="B21" s="70">
        <v>0.5</v>
      </c>
      <c r="C21" s="448"/>
      <c r="D21" s="448"/>
      <c r="E21" s="448"/>
      <c r="F21" s="70">
        <v>0.22916666666666666</v>
      </c>
      <c r="G21" s="70">
        <v>0.25</v>
      </c>
      <c r="H21" s="65"/>
      <c r="I21" s="136"/>
      <c r="J21" s="136"/>
      <c r="K21" s="136"/>
      <c r="L21" s="136"/>
      <c r="M21" s="136"/>
      <c r="N21" s="67"/>
      <c r="O21" s="67"/>
      <c r="P21" s="67"/>
    </row>
    <row r="22" spans="1:18" ht="18.649999999999999" customHeight="1">
      <c r="A22" s="70">
        <v>0.5</v>
      </c>
      <c r="B22" s="70">
        <v>0.52083333333333337</v>
      </c>
      <c r="C22" s="441" t="s">
        <v>938</v>
      </c>
      <c r="D22" s="441"/>
      <c r="E22" s="441"/>
      <c r="F22" s="70">
        <v>0.25</v>
      </c>
      <c r="G22" s="70">
        <v>0.27083333333333331</v>
      </c>
      <c r="H22" s="65"/>
      <c r="I22" s="136"/>
      <c r="J22" s="136"/>
      <c r="K22" s="136"/>
      <c r="L22" s="136"/>
      <c r="M22" s="136"/>
      <c r="N22" s="67"/>
      <c r="O22" s="67"/>
      <c r="P22" s="67"/>
    </row>
    <row r="23" spans="1:18" ht="18.649999999999999" customHeight="1">
      <c r="A23" s="70">
        <v>0.52083333333333337</v>
      </c>
      <c r="B23" s="70">
        <v>0.54166666666666663</v>
      </c>
      <c r="C23" s="441"/>
      <c r="D23" s="441"/>
      <c r="E23" s="441"/>
      <c r="F23" s="70">
        <v>0.27083333333333331</v>
      </c>
      <c r="G23" s="70">
        <v>0.29166666666666669</v>
      </c>
      <c r="H23" s="65"/>
      <c r="I23" s="136"/>
      <c r="J23" s="136"/>
      <c r="K23" s="145"/>
      <c r="L23" s="145"/>
      <c r="M23" s="145"/>
      <c r="N23" s="69"/>
      <c r="O23" s="69"/>
      <c r="P23" s="69"/>
    </row>
    <row r="24" spans="1:18" ht="18.649999999999999" customHeight="1">
      <c r="A24" s="70">
        <v>0.54166666666666663</v>
      </c>
      <c r="B24" s="70">
        <v>0.5625</v>
      </c>
      <c r="C24" s="440" t="s">
        <v>989</v>
      </c>
      <c r="D24" s="440"/>
      <c r="E24" s="440"/>
      <c r="F24" s="70">
        <v>0.29166666666666669</v>
      </c>
      <c r="G24" s="70">
        <v>0.3125</v>
      </c>
      <c r="H24" s="65"/>
      <c r="I24" s="136"/>
      <c r="J24" s="136"/>
      <c r="K24" s="145"/>
      <c r="L24" s="145"/>
      <c r="M24" s="145"/>
      <c r="N24" s="67"/>
      <c r="O24" s="67"/>
      <c r="P24" s="67"/>
    </row>
    <row r="25" spans="1:18" ht="18.649999999999999" customHeight="1">
      <c r="A25" s="70">
        <v>0.5625</v>
      </c>
      <c r="B25" s="70">
        <v>0.58333333333333337</v>
      </c>
      <c r="C25" s="440"/>
      <c r="D25" s="440"/>
      <c r="E25" s="440"/>
      <c r="F25" s="70">
        <v>0.3125</v>
      </c>
      <c r="G25" s="70">
        <v>0.33333333333333331</v>
      </c>
      <c r="H25" s="65"/>
      <c r="I25" s="136"/>
      <c r="J25" s="136"/>
      <c r="K25" s="136"/>
      <c r="L25" s="136"/>
      <c r="M25" s="136"/>
      <c r="N25" s="67"/>
      <c r="O25" s="67"/>
      <c r="P25" s="67"/>
    </row>
    <row r="26" spans="1:18" ht="18.649999999999999" customHeight="1">
      <c r="A26" s="70">
        <v>0.58333333333333337</v>
      </c>
      <c r="B26" s="70">
        <v>0.60416666666666663</v>
      </c>
      <c r="C26" s="440"/>
      <c r="D26" s="440"/>
      <c r="E26" s="440"/>
      <c r="F26" s="70">
        <v>0.33333333333333331</v>
      </c>
      <c r="G26" s="70">
        <v>0.35416666666666669</v>
      </c>
      <c r="H26" s="65"/>
      <c r="I26" s="136"/>
      <c r="J26" s="136"/>
      <c r="K26" s="136"/>
      <c r="L26" s="136"/>
      <c r="M26" s="136"/>
      <c r="N26" s="67"/>
      <c r="O26" s="67"/>
      <c r="P26" s="67"/>
    </row>
    <row r="27" spans="1:18" ht="18.649999999999999" customHeight="1">
      <c r="A27" s="70">
        <v>0.60416666666666663</v>
      </c>
      <c r="B27" s="70">
        <v>0.625</v>
      </c>
      <c r="C27" s="440"/>
      <c r="D27" s="440"/>
      <c r="E27" s="440"/>
      <c r="F27" s="70">
        <v>0.35416666666666669</v>
      </c>
      <c r="G27" s="70">
        <v>0.375</v>
      </c>
      <c r="H27" s="65"/>
      <c r="I27" s="136"/>
      <c r="J27" s="136"/>
      <c r="K27" s="136"/>
      <c r="L27" s="136"/>
      <c r="M27" s="136"/>
      <c r="N27" s="67"/>
      <c r="O27" s="67"/>
      <c r="P27" s="67"/>
    </row>
    <row r="28" spans="1:18" ht="18.649999999999999" customHeight="1">
      <c r="A28" s="70">
        <v>0.625</v>
      </c>
      <c r="B28" s="70">
        <v>0.64583333333333337</v>
      </c>
      <c r="C28" s="441" t="s">
        <v>939</v>
      </c>
      <c r="D28" s="441"/>
      <c r="E28" s="441"/>
      <c r="F28" s="70">
        <v>0.375</v>
      </c>
      <c r="G28" s="70">
        <v>0.39583333333333331</v>
      </c>
      <c r="H28" s="65"/>
      <c r="I28" s="136"/>
      <c r="J28" s="136"/>
      <c r="K28" s="136"/>
      <c r="L28" s="136"/>
      <c r="M28" s="136"/>
      <c r="N28" s="67"/>
      <c r="O28" s="67"/>
      <c r="P28" s="67"/>
    </row>
    <row r="29" spans="1:18" ht="18.649999999999999" customHeight="1">
      <c r="A29" s="70">
        <v>0.64583333333333337</v>
      </c>
      <c r="B29" s="70">
        <v>0.66666666666666663</v>
      </c>
      <c r="C29" s="440" t="s">
        <v>989</v>
      </c>
      <c r="D29" s="440"/>
      <c r="E29" s="440"/>
      <c r="F29" s="70">
        <v>0.39583333333333331</v>
      </c>
      <c r="G29" s="70">
        <v>0.41666666666666669</v>
      </c>
      <c r="H29" s="65"/>
      <c r="I29" s="136"/>
      <c r="J29" s="136"/>
      <c r="K29" s="136"/>
      <c r="L29" s="136"/>
      <c r="M29" s="136"/>
      <c r="N29" s="67"/>
      <c r="O29" s="67"/>
      <c r="P29" s="67"/>
      <c r="R29" s="67"/>
    </row>
    <row r="30" spans="1:18" ht="18.649999999999999" customHeight="1">
      <c r="A30" s="70">
        <v>0.66666666666666663</v>
      </c>
      <c r="B30" s="70">
        <v>0.6875</v>
      </c>
      <c r="C30" s="440"/>
      <c r="D30" s="440"/>
      <c r="E30" s="440"/>
      <c r="F30" s="70">
        <v>0.41666666666666669</v>
      </c>
      <c r="G30" s="70">
        <v>0.4375</v>
      </c>
      <c r="H30" s="65"/>
      <c r="I30" s="136"/>
      <c r="J30" s="136"/>
      <c r="K30" s="136"/>
      <c r="L30" s="136"/>
      <c r="M30" s="136"/>
      <c r="N30" s="67"/>
      <c r="O30" s="67"/>
      <c r="P30" s="67"/>
      <c r="R30" s="73"/>
    </row>
    <row r="31" spans="1:18" ht="18.649999999999999" customHeight="1">
      <c r="A31" s="70">
        <v>0.6875</v>
      </c>
      <c r="B31" s="70">
        <v>0.70833333333333337</v>
      </c>
      <c r="C31" s="440"/>
      <c r="D31" s="440"/>
      <c r="E31" s="440"/>
      <c r="F31" s="70">
        <v>0.4375</v>
      </c>
      <c r="G31" s="70">
        <v>0.45833333333333331</v>
      </c>
      <c r="H31" s="65"/>
      <c r="I31" s="136"/>
      <c r="J31" s="136"/>
      <c r="K31" s="136"/>
      <c r="L31" s="136"/>
      <c r="M31" s="136"/>
      <c r="N31" s="67"/>
      <c r="O31" s="67"/>
      <c r="P31" s="67"/>
    </row>
    <row r="32" spans="1:18" ht="18.649999999999999" customHeight="1">
      <c r="A32" s="70">
        <v>0.70833333333333337</v>
      </c>
      <c r="B32" s="70">
        <v>0.72916666666666663</v>
      </c>
      <c r="C32" s="440"/>
      <c r="D32" s="440"/>
      <c r="E32" s="440"/>
      <c r="F32" s="70">
        <v>0.45833333333333331</v>
      </c>
      <c r="G32" s="70">
        <v>0.47916666666666669</v>
      </c>
      <c r="H32" s="65"/>
      <c r="I32" s="136"/>
      <c r="J32" s="136"/>
      <c r="K32" s="136"/>
      <c r="L32" s="136"/>
      <c r="M32" s="136"/>
      <c r="N32" s="67"/>
      <c r="O32" s="67"/>
      <c r="P32" s="67"/>
    </row>
    <row r="33" spans="1:16" ht="18.649999999999999" customHeight="1">
      <c r="A33" s="70">
        <v>0.72916666666666663</v>
      </c>
      <c r="B33" s="70">
        <v>0.75</v>
      </c>
      <c r="C33" s="441" t="s">
        <v>1128</v>
      </c>
      <c r="D33" s="441"/>
      <c r="E33" s="441"/>
      <c r="F33" s="70">
        <v>0.47916666666666669</v>
      </c>
      <c r="G33" s="70">
        <v>0.5</v>
      </c>
      <c r="H33" s="65"/>
      <c r="I33" s="136"/>
      <c r="J33" s="136"/>
      <c r="K33" s="136"/>
      <c r="L33" s="136"/>
      <c r="M33" s="136"/>
      <c r="N33" s="67"/>
      <c r="O33" s="67"/>
      <c r="P33" s="67"/>
    </row>
    <row r="34" spans="1:16" ht="18.649999999999999" customHeight="1">
      <c r="A34" s="70">
        <v>0.75</v>
      </c>
      <c r="B34" s="70">
        <v>0.83333333333333337</v>
      </c>
      <c r="C34" s="441" t="s">
        <v>940</v>
      </c>
      <c r="D34" s="441"/>
      <c r="E34" s="441"/>
      <c r="F34" s="70">
        <v>0.5</v>
      </c>
      <c r="G34" s="70">
        <v>0.58333333333333337</v>
      </c>
      <c r="H34" s="65"/>
      <c r="I34" s="136"/>
      <c r="J34" s="136"/>
      <c r="K34" s="136"/>
      <c r="L34" s="136"/>
      <c r="M34" s="136"/>
      <c r="N34" s="67"/>
      <c r="O34" s="67"/>
      <c r="P34" s="67"/>
    </row>
    <row r="35" spans="1:16">
      <c r="A35" s="443" t="str">
        <f>J5</f>
        <v>Day 4</v>
      </c>
      <c r="B35" s="443"/>
      <c r="C35" s="444">
        <f>I5</f>
        <v>44299</v>
      </c>
      <c r="D35" s="444"/>
      <c r="E35" s="444"/>
      <c r="F35" s="443" t="str">
        <f>A35</f>
        <v>Day 4</v>
      </c>
      <c r="G35" s="443"/>
      <c r="H35" s="74"/>
    </row>
    <row r="36" spans="1:16" ht="29">
      <c r="A36" s="443" t="s">
        <v>931</v>
      </c>
      <c r="B36" s="443"/>
      <c r="C36" s="233" t="str">
        <f>C17</f>
        <v>Mini team 1:ATM-5 / ATM-6 / ATM-7</v>
      </c>
      <c r="D36" s="233" t="str">
        <f>D17</f>
        <v>Full team: ATM-1 / ATM-2 / ATM-3 / ATM-4 /ATM-5 / ATM-6 / ATM-7 / ATM-8</v>
      </c>
      <c r="E36" s="233" t="str">
        <f>E17</f>
        <v>LA team: van Zyl, Pieter and ATMs if applicable</v>
      </c>
      <c r="F36" s="443" t="s">
        <v>932</v>
      </c>
      <c r="G36" s="443"/>
      <c r="H36" s="74"/>
    </row>
    <row r="37" spans="1:16" ht="18" customHeight="1">
      <c r="A37" s="70">
        <v>0.41666666666666669</v>
      </c>
      <c r="B37" s="70">
        <v>0.4375</v>
      </c>
      <c r="C37" s="441" t="s">
        <v>939</v>
      </c>
      <c r="D37" s="441"/>
      <c r="E37" s="232" t="s">
        <v>937</v>
      </c>
      <c r="F37" s="70">
        <v>0.16666666666666666</v>
      </c>
      <c r="G37" s="70">
        <v>0.1875</v>
      </c>
      <c r="H37" s="74"/>
    </row>
    <row r="38" spans="1:16" ht="18" customHeight="1">
      <c r="A38" s="70">
        <v>0.4375</v>
      </c>
      <c r="B38" s="70">
        <v>0.45833333333333331</v>
      </c>
      <c r="C38" s="440" t="s">
        <v>990</v>
      </c>
      <c r="D38" s="440"/>
      <c r="E38" s="440"/>
      <c r="F38" s="70">
        <v>0.1875</v>
      </c>
      <c r="G38" s="70">
        <v>0.20833333333333334</v>
      </c>
      <c r="H38" s="74"/>
    </row>
    <row r="39" spans="1:16" ht="18" customHeight="1">
      <c r="A39" s="70">
        <v>0.45833333333333331</v>
      </c>
      <c r="B39" s="70">
        <v>0.47916666666666669</v>
      </c>
      <c r="C39" s="440"/>
      <c r="D39" s="440"/>
      <c r="E39" s="440"/>
      <c r="F39" s="70">
        <v>0.20833333333333334</v>
      </c>
      <c r="G39" s="70">
        <v>0.22916666666666666</v>
      </c>
      <c r="H39" s="74"/>
    </row>
    <row r="40" spans="1:16" ht="18" customHeight="1">
      <c r="A40" s="70">
        <v>0.47916666666666669</v>
      </c>
      <c r="B40" s="70">
        <v>0.5</v>
      </c>
      <c r="C40" s="440"/>
      <c r="D40" s="440"/>
      <c r="E40" s="440"/>
      <c r="F40" s="70">
        <v>0.22916666666666666</v>
      </c>
      <c r="G40" s="70">
        <v>0.25</v>
      </c>
      <c r="H40" s="74"/>
    </row>
    <row r="41" spans="1:16" ht="18" customHeight="1">
      <c r="A41" s="70">
        <v>0.5</v>
      </c>
      <c r="B41" s="70">
        <v>0.52083333333333337</v>
      </c>
      <c r="C41" s="441" t="s">
        <v>938</v>
      </c>
      <c r="D41" s="441"/>
      <c r="E41" s="441"/>
      <c r="F41" s="70">
        <v>0.25</v>
      </c>
      <c r="G41" s="70">
        <v>0.27083333333333331</v>
      </c>
      <c r="H41" s="74"/>
    </row>
    <row r="42" spans="1:16" ht="18" customHeight="1">
      <c r="A42" s="70">
        <v>0.52083333333333337</v>
      </c>
      <c r="B42" s="70">
        <v>0.54166666666666663</v>
      </c>
      <c r="C42" s="441"/>
      <c r="D42" s="441"/>
      <c r="E42" s="441"/>
      <c r="F42" s="70">
        <v>0.27083333333333331</v>
      </c>
      <c r="G42" s="70">
        <v>0.29166666666666669</v>
      </c>
      <c r="H42" s="74"/>
    </row>
    <row r="43" spans="1:16" ht="18" customHeight="1">
      <c r="A43" s="70">
        <v>0.54166666666666663</v>
      </c>
      <c r="B43" s="70">
        <v>0.5625</v>
      </c>
      <c r="C43" s="440" t="s">
        <v>990</v>
      </c>
      <c r="D43" s="440"/>
      <c r="E43" s="440"/>
      <c r="F43" s="70">
        <v>0.29166666666666669</v>
      </c>
      <c r="G43" s="70">
        <v>0.3125</v>
      </c>
      <c r="H43" s="74"/>
    </row>
    <row r="44" spans="1:16" ht="18" customHeight="1">
      <c r="A44" s="70">
        <v>0.5625</v>
      </c>
      <c r="B44" s="70">
        <v>0.58333333333333337</v>
      </c>
      <c r="C44" s="440"/>
      <c r="D44" s="440"/>
      <c r="E44" s="440"/>
      <c r="F44" s="70">
        <v>0.3125</v>
      </c>
      <c r="G44" s="70">
        <v>0.33333333333333331</v>
      </c>
      <c r="H44" s="74"/>
    </row>
    <row r="45" spans="1:16" ht="18" customHeight="1">
      <c r="A45" s="70">
        <v>0.58333333333333337</v>
      </c>
      <c r="B45" s="70">
        <v>0.60416666666666663</v>
      </c>
      <c r="C45" s="440"/>
      <c r="D45" s="440"/>
      <c r="E45" s="440"/>
      <c r="F45" s="70">
        <v>0.33333333333333331</v>
      </c>
      <c r="G45" s="70">
        <v>0.35416666666666669</v>
      </c>
      <c r="H45" s="74"/>
    </row>
    <row r="46" spans="1:16" ht="18" customHeight="1">
      <c r="A46" s="70">
        <v>0.60416666666666663</v>
      </c>
      <c r="B46" s="70">
        <v>0.625</v>
      </c>
      <c r="C46" s="440"/>
      <c r="D46" s="440"/>
      <c r="E46" s="440"/>
      <c r="F46" s="70">
        <v>0.35416666666666669</v>
      </c>
      <c r="G46" s="70">
        <v>0.375</v>
      </c>
      <c r="H46" s="74"/>
    </row>
    <row r="47" spans="1:16" ht="18" customHeight="1">
      <c r="A47" s="70">
        <v>0.625</v>
      </c>
      <c r="B47" s="70">
        <v>0.64583333333333337</v>
      </c>
      <c r="C47" s="440"/>
      <c r="D47" s="440"/>
      <c r="E47" s="440"/>
      <c r="F47" s="70">
        <v>0.375</v>
      </c>
      <c r="G47" s="70">
        <v>0.39583333333333331</v>
      </c>
      <c r="H47" s="74"/>
    </row>
    <row r="48" spans="1:16" ht="18" customHeight="1">
      <c r="A48" s="70">
        <v>0.64583333333333337</v>
      </c>
      <c r="B48" s="70">
        <v>0.66666666666666663</v>
      </c>
      <c r="C48" s="441" t="s">
        <v>939</v>
      </c>
      <c r="D48" s="441"/>
      <c r="E48" s="441" t="s">
        <v>937</v>
      </c>
      <c r="F48" s="70">
        <v>0.39583333333333331</v>
      </c>
      <c r="G48" s="70">
        <v>0.41666666666666669</v>
      </c>
      <c r="H48" s="74"/>
    </row>
    <row r="49" spans="1:8" ht="18" customHeight="1">
      <c r="A49" s="70">
        <v>0.66666666666666663</v>
      </c>
      <c r="B49" s="70">
        <v>0.6875</v>
      </c>
      <c r="C49" s="441"/>
      <c r="D49" s="441"/>
      <c r="E49" s="441"/>
      <c r="F49" s="70">
        <v>0.41666666666666669</v>
      </c>
      <c r="G49" s="70">
        <v>0.4375</v>
      </c>
      <c r="H49" s="74"/>
    </row>
    <row r="50" spans="1:8" ht="18" customHeight="1">
      <c r="A50" s="70">
        <v>0.6875</v>
      </c>
      <c r="B50" s="70">
        <v>0.70833333333333337</v>
      </c>
      <c r="C50" s="440" t="s">
        <v>991</v>
      </c>
      <c r="D50" s="440"/>
      <c r="E50" s="440"/>
      <c r="F50" s="70">
        <v>0.4375</v>
      </c>
      <c r="G50" s="70">
        <v>0.45833333333333331</v>
      </c>
      <c r="H50" s="74"/>
    </row>
    <row r="51" spans="1:8" ht="18" customHeight="1">
      <c r="A51" s="70">
        <v>0.70833333333333337</v>
      </c>
      <c r="B51" s="70">
        <v>0.72916666666666663</v>
      </c>
      <c r="C51" s="440"/>
      <c r="D51" s="440"/>
      <c r="E51" s="440"/>
      <c r="F51" s="70">
        <v>0.45833333333333331</v>
      </c>
      <c r="G51" s="70">
        <v>0.47916666666666669</v>
      </c>
      <c r="H51" s="74"/>
    </row>
    <row r="52" spans="1:8" ht="18" customHeight="1">
      <c r="A52" s="70">
        <v>0.72916666666666663</v>
      </c>
      <c r="B52" s="70">
        <v>0.75</v>
      </c>
      <c r="C52" s="441" t="s">
        <v>1128</v>
      </c>
      <c r="D52" s="441"/>
      <c r="E52" s="441"/>
      <c r="F52" s="70">
        <v>0.47916666666666669</v>
      </c>
      <c r="G52" s="70">
        <v>0.5</v>
      </c>
      <c r="H52" s="74"/>
    </row>
    <row r="53" spans="1:8" ht="18" customHeight="1">
      <c r="A53" s="70">
        <v>0.75</v>
      </c>
      <c r="B53" s="70">
        <v>0.83333333333333337</v>
      </c>
      <c r="C53" s="441" t="s">
        <v>940</v>
      </c>
      <c r="D53" s="441"/>
      <c r="E53" s="441"/>
      <c r="F53" s="70">
        <v>0.5</v>
      </c>
      <c r="G53" s="70">
        <v>0.58333333333333337</v>
      </c>
      <c r="H53" s="74"/>
    </row>
    <row r="54" spans="1:8">
      <c r="A54" s="436" t="str">
        <f>J6</f>
        <v>Day 5</v>
      </c>
      <c r="B54" s="436"/>
      <c r="C54" s="439">
        <f>I6</f>
        <v>44300</v>
      </c>
      <c r="D54" s="439"/>
      <c r="E54" s="439"/>
      <c r="F54" s="436" t="str">
        <f>A54</f>
        <v>Day 5</v>
      </c>
      <c r="G54" s="436"/>
      <c r="H54" s="74"/>
    </row>
    <row r="55" spans="1:8" ht="29">
      <c r="A55" s="436" t="s">
        <v>931</v>
      </c>
      <c r="B55" s="436"/>
      <c r="C55" s="231" t="str">
        <f>C36</f>
        <v>Mini team 1:ATM-5 / ATM-6 / ATM-7</v>
      </c>
      <c r="D55" s="231" t="str">
        <f>D36</f>
        <v>Full team: ATM-1 / ATM-2 / ATM-3 / ATM-4 /ATM-5 / ATM-6 / ATM-7 / ATM-8</v>
      </c>
      <c r="E55" s="231" t="str">
        <f>E36</f>
        <v>LA team: van Zyl, Pieter and ATMs if applicable</v>
      </c>
      <c r="F55" s="436" t="s">
        <v>932</v>
      </c>
      <c r="G55" s="436"/>
      <c r="H55" s="74"/>
    </row>
    <row r="56" spans="1:8" ht="18" customHeight="1">
      <c r="A56" s="70">
        <v>0.41666666666666669</v>
      </c>
      <c r="B56" s="70">
        <v>0.4375</v>
      </c>
      <c r="C56" s="441" t="s">
        <v>941</v>
      </c>
      <c r="D56" s="441"/>
      <c r="E56" s="232" t="s">
        <v>937</v>
      </c>
      <c r="F56" s="70">
        <v>0.16666666666666666</v>
      </c>
      <c r="G56" s="70">
        <v>0.1875</v>
      </c>
      <c r="H56" s="74"/>
    </row>
    <row r="57" spans="1:8" ht="18" customHeight="1">
      <c r="A57" s="70">
        <v>0.4375</v>
      </c>
      <c r="B57" s="70">
        <v>0.45833333333333331</v>
      </c>
      <c r="C57" s="440" t="s">
        <v>992</v>
      </c>
      <c r="D57" s="440"/>
      <c r="E57" s="440"/>
      <c r="F57" s="70">
        <v>0.1875</v>
      </c>
      <c r="G57" s="70">
        <v>0.20833333333333334</v>
      </c>
      <c r="H57" s="74"/>
    </row>
    <row r="58" spans="1:8" ht="18" customHeight="1">
      <c r="A58" s="70">
        <v>0.45833333333333331</v>
      </c>
      <c r="B58" s="70">
        <v>0.47916666666666669</v>
      </c>
      <c r="C58" s="440"/>
      <c r="D58" s="440"/>
      <c r="E58" s="440"/>
      <c r="F58" s="70">
        <v>0.20833333333333334</v>
      </c>
      <c r="G58" s="70">
        <v>0.22916666666666666</v>
      </c>
      <c r="H58" s="74"/>
    </row>
    <row r="59" spans="1:8" ht="18" customHeight="1">
      <c r="A59" s="70">
        <v>0.47916666666666669</v>
      </c>
      <c r="B59" s="70">
        <v>0.5</v>
      </c>
      <c r="C59" s="440"/>
      <c r="D59" s="440"/>
      <c r="E59" s="440"/>
      <c r="F59" s="70">
        <v>0.22916666666666666</v>
      </c>
      <c r="G59" s="70">
        <v>0.25</v>
      </c>
      <c r="H59" s="74"/>
    </row>
    <row r="60" spans="1:8" ht="18" customHeight="1">
      <c r="A60" s="70">
        <v>0.5</v>
      </c>
      <c r="B60" s="70">
        <v>0.52083333333333337</v>
      </c>
      <c r="C60" s="441" t="s">
        <v>938</v>
      </c>
      <c r="D60" s="441"/>
      <c r="E60" s="441"/>
      <c r="F60" s="70">
        <v>0.25</v>
      </c>
      <c r="G60" s="70">
        <v>0.27083333333333331</v>
      </c>
      <c r="H60" s="74"/>
    </row>
    <row r="61" spans="1:8" ht="18" customHeight="1">
      <c r="A61" s="70">
        <v>0.52083333333333337</v>
      </c>
      <c r="B61" s="70">
        <v>0.54166666666666663</v>
      </c>
      <c r="C61" s="441"/>
      <c r="D61" s="441"/>
      <c r="E61" s="441"/>
      <c r="F61" s="70">
        <v>0.27083333333333331</v>
      </c>
      <c r="G61" s="70">
        <v>0.29166666666666669</v>
      </c>
      <c r="H61" s="74"/>
    </row>
    <row r="62" spans="1:8" ht="18" customHeight="1">
      <c r="A62" s="70">
        <v>0.54166666666666663</v>
      </c>
      <c r="B62" s="70">
        <v>0.5625</v>
      </c>
      <c r="C62" s="440" t="s">
        <v>992</v>
      </c>
      <c r="D62" s="440"/>
      <c r="E62" s="440"/>
      <c r="F62" s="70">
        <v>0.29166666666666669</v>
      </c>
      <c r="G62" s="70">
        <v>0.3125</v>
      </c>
      <c r="H62" s="74"/>
    </row>
    <row r="63" spans="1:8" ht="18" customHeight="1">
      <c r="A63" s="70">
        <v>0.5625</v>
      </c>
      <c r="B63" s="70">
        <v>0.58333333333333337</v>
      </c>
      <c r="C63" s="440"/>
      <c r="D63" s="440"/>
      <c r="E63" s="440"/>
      <c r="F63" s="70">
        <v>0.3125</v>
      </c>
      <c r="G63" s="70">
        <v>0.33333333333333331</v>
      </c>
      <c r="H63" s="74"/>
    </row>
    <row r="64" spans="1:8" ht="18" customHeight="1">
      <c r="A64" s="70">
        <v>0.58333333333333337</v>
      </c>
      <c r="B64" s="70">
        <v>0.60416666666666663</v>
      </c>
      <c r="C64" s="440"/>
      <c r="D64" s="440"/>
      <c r="E64" s="440"/>
      <c r="F64" s="70">
        <v>0.33333333333333331</v>
      </c>
      <c r="G64" s="70">
        <v>0.35416666666666669</v>
      </c>
      <c r="H64" s="74"/>
    </row>
    <row r="65" spans="1:8" ht="18" customHeight="1">
      <c r="A65" s="70">
        <v>0.60416666666666663</v>
      </c>
      <c r="B65" s="70">
        <v>0.625</v>
      </c>
      <c r="C65" s="440"/>
      <c r="D65" s="440"/>
      <c r="E65" s="440"/>
      <c r="F65" s="70">
        <v>0.35416666666666669</v>
      </c>
      <c r="G65" s="70">
        <v>0.375</v>
      </c>
      <c r="H65" s="74"/>
    </row>
    <row r="66" spans="1:8" ht="18" customHeight="1">
      <c r="A66" s="70">
        <v>0.625</v>
      </c>
      <c r="B66" s="70">
        <v>0.64583333333333337</v>
      </c>
      <c r="C66" s="440"/>
      <c r="D66" s="440"/>
      <c r="E66" s="440"/>
      <c r="F66" s="70">
        <v>0.375</v>
      </c>
      <c r="G66" s="70">
        <v>0.39583333333333331</v>
      </c>
      <c r="H66" s="74"/>
    </row>
    <row r="67" spans="1:8" ht="18" customHeight="1">
      <c r="A67" s="70">
        <v>0.64583333333333337</v>
      </c>
      <c r="B67" s="70">
        <v>0.66666666666666663</v>
      </c>
      <c r="C67" s="440"/>
      <c r="D67" s="440"/>
      <c r="E67" s="440"/>
      <c r="F67" s="70">
        <v>0.39583333333333331</v>
      </c>
      <c r="G67" s="70">
        <v>0.41666666666666669</v>
      </c>
      <c r="H67" s="74"/>
    </row>
    <row r="68" spans="1:8" ht="18" customHeight="1">
      <c r="A68" s="70">
        <v>0.66666666666666663</v>
      </c>
      <c r="B68" s="70">
        <v>0.6875</v>
      </c>
      <c r="C68" s="441" t="s">
        <v>939</v>
      </c>
      <c r="D68" s="441"/>
      <c r="E68" s="441"/>
      <c r="F68" s="70">
        <v>0.41666666666666669</v>
      </c>
      <c r="G68" s="70">
        <v>0.4375</v>
      </c>
      <c r="H68" s="74"/>
    </row>
    <row r="69" spans="1:8" ht="18" customHeight="1">
      <c r="A69" s="70">
        <v>0.6875</v>
      </c>
      <c r="B69" s="70">
        <v>0.70833333333333337</v>
      </c>
      <c r="C69" s="440" t="s">
        <v>993</v>
      </c>
      <c r="D69" s="440"/>
      <c r="E69" s="440"/>
      <c r="F69" s="70">
        <v>0.4375</v>
      </c>
      <c r="G69" s="70">
        <v>0.45833333333333331</v>
      </c>
      <c r="H69" s="74"/>
    </row>
    <row r="70" spans="1:8" ht="18" customHeight="1">
      <c r="A70" s="70">
        <v>0.70833333333333337</v>
      </c>
      <c r="B70" s="70">
        <v>0.72916666666666663</v>
      </c>
      <c r="C70" s="440"/>
      <c r="D70" s="440"/>
      <c r="E70" s="440"/>
      <c r="F70" s="70">
        <v>0.45833333333333331</v>
      </c>
      <c r="G70" s="70">
        <v>0.47916666666666669</v>
      </c>
      <c r="H70" s="74"/>
    </row>
    <row r="71" spans="1:8" ht="18" customHeight="1">
      <c r="A71" s="70">
        <v>0.72916666666666663</v>
      </c>
      <c r="B71" s="70">
        <v>0.75</v>
      </c>
      <c r="C71" s="471" t="s">
        <v>1127</v>
      </c>
      <c r="D71" s="472"/>
      <c r="E71" s="473"/>
      <c r="F71" s="70">
        <v>0.47916666666666669</v>
      </c>
      <c r="G71" s="70">
        <v>0.5</v>
      </c>
      <c r="H71" s="74"/>
    </row>
    <row r="72" spans="1:8" ht="18" customHeight="1">
      <c r="A72" s="70">
        <v>0.75</v>
      </c>
      <c r="B72" s="70">
        <v>0.83333333333333337</v>
      </c>
      <c r="C72" s="474"/>
      <c r="D72" s="475"/>
      <c r="E72" s="476"/>
      <c r="F72" s="70">
        <v>0.5</v>
      </c>
      <c r="G72" s="70">
        <v>0.58333333333333337</v>
      </c>
      <c r="H72" s="74"/>
    </row>
    <row r="73" spans="1:8">
      <c r="A73" s="436" t="str">
        <f>J7</f>
        <v>Day 6</v>
      </c>
      <c r="B73" s="436"/>
      <c r="C73" s="439">
        <f>I7</f>
        <v>44301</v>
      </c>
      <c r="D73" s="439"/>
      <c r="E73" s="439"/>
      <c r="F73" s="436" t="str">
        <f>A73</f>
        <v>Day 6</v>
      </c>
      <c r="G73" s="436"/>
      <c r="H73" s="74"/>
    </row>
    <row r="74" spans="1:8" ht="29">
      <c r="A74" s="436" t="s">
        <v>931</v>
      </c>
      <c r="B74" s="436"/>
      <c r="C74" s="231" t="str">
        <f>C55</f>
        <v>Mini team 1:ATM-5 / ATM-6 / ATM-7</v>
      </c>
      <c r="D74" s="231" t="str">
        <f>D55</f>
        <v>Full team: ATM-1 / ATM-2 / ATM-3 / ATM-4 /ATM-5 / ATM-6 / ATM-7 / ATM-8</v>
      </c>
      <c r="E74" s="231" t="str">
        <f>E55</f>
        <v>LA team: van Zyl, Pieter and ATMs if applicable</v>
      </c>
      <c r="F74" s="436" t="s">
        <v>932</v>
      </c>
      <c r="G74" s="436"/>
      <c r="H74" s="74"/>
    </row>
    <row r="75" spans="1:8" ht="18" customHeight="1">
      <c r="A75" s="70">
        <v>0.41666666666666669</v>
      </c>
      <c r="B75" s="70">
        <v>0.4375</v>
      </c>
      <c r="C75" s="441" t="s">
        <v>939</v>
      </c>
      <c r="D75" s="441"/>
      <c r="E75" s="441"/>
      <c r="F75" s="70">
        <v>0.16666666666666666</v>
      </c>
      <c r="G75" s="70">
        <v>0.1875</v>
      </c>
      <c r="H75" s="74"/>
    </row>
    <row r="76" spans="1:8" ht="18" customHeight="1">
      <c r="A76" s="70">
        <v>0.4375</v>
      </c>
      <c r="B76" s="70">
        <v>0.45833333333333331</v>
      </c>
      <c r="C76" s="440" t="s">
        <v>994</v>
      </c>
      <c r="D76" s="440"/>
      <c r="E76" s="440"/>
      <c r="F76" s="70">
        <v>0.1875</v>
      </c>
      <c r="G76" s="70">
        <v>0.20833333333333334</v>
      </c>
      <c r="H76" s="74"/>
    </row>
    <row r="77" spans="1:8" ht="18" customHeight="1">
      <c r="A77" s="70">
        <v>0.45833333333333331</v>
      </c>
      <c r="B77" s="70">
        <v>0.47916666666666669</v>
      </c>
      <c r="C77" s="440"/>
      <c r="D77" s="440"/>
      <c r="E77" s="440"/>
      <c r="F77" s="70">
        <v>0.20833333333333334</v>
      </c>
      <c r="G77" s="70">
        <v>0.22916666666666666</v>
      </c>
      <c r="H77" s="74"/>
    </row>
    <row r="78" spans="1:8" ht="18" customHeight="1">
      <c r="A78" s="70">
        <v>0.47916666666666669</v>
      </c>
      <c r="B78" s="70">
        <v>0.5</v>
      </c>
      <c r="C78" s="441" t="s">
        <v>939</v>
      </c>
      <c r="D78" s="441"/>
      <c r="E78" s="441"/>
      <c r="F78" s="70">
        <v>0.22916666666666666</v>
      </c>
      <c r="G78" s="70">
        <v>0.25</v>
      </c>
      <c r="H78" s="74"/>
    </row>
    <row r="79" spans="1:8" ht="18" customHeight="1">
      <c r="A79" s="70">
        <v>0.5</v>
      </c>
      <c r="B79" s="70">
        <v>0.52083333333333337</v>
      </c>
      <c r="C79" s="441" t="s">
        <v>938</v>
      </c>
      <c r="D79" s="441"/>
      <c r="E79" s="441"/>
      <c r="F79" s="70">
        <v>0.25</v>
      </c>
      <c r="G79" s="70">
        <v>0.27083333333333331</v>
      </c>
      <c r="H79" s="74"/>
    </row>
    <row r="80" spans="1:8" ht="18" customHeight="1">
      <c r="A80" s="70">
        <v>0.52083333333333337</v>
      </c>
      <c r="B80" s="70">
        <v>0.54166666666666663</v>
      </c>
      <c r="C80" s="441"/>
      <c r="D80" s="441"/>
      <c r="E80" s="441"/>
      <c r="F80" s="70">
        <v>0.27083333333333331</v>
      </c>
      <c r="G80" s="70">
        <v>0.29166666666666669</v>
      </c>
      <c r="H80" s="74"/>
    </row>
    <row r="81" spans="1:8" ht="18" customHeight="1">
      <c r="A81" s="70">
        <v>0.54166666666666663</v>
      </c>
      <c r="B81" s="70">
        <v>0.5625</v>
      </c>
      <c r="C81" s="471" t="s">
        <v>1127</v>
      </c>
      <c r="D81" s="472"/>
      <c r="E81" s="473"/>
      <c r="F81" s="70">
        <v>0.29166666666666669</v>
      </c>
      <c r="G81" s="70">
        <v>0.3125</v>
      </c>
      <c r="H81" s="74"/>
    </row>
    <row r="82" spans="1:8" ht="18" customHeight="1">
      <c r="A82" s="70">
        <v>0.5625</v>
      </c>
      <c r="B82" s="70">
        <v>0.58333333333333337</v>
      </c>
      <c r="C82" s="474"/>
      <c r="D82" s="475"/>
      <c r="E82" s="476"/>
      <c r="F82" s="70">
        <v>0.3125</v>
      </c>
      <c r="G82" s="70">
        <v>0.33333333333333331</v>
      </c>
      <c r="H82" s="74"/>
    </row>
    <row r="83" spans="1:8" ht="18" customHeight="1">
      <c r="A83" s="70">
        <v>0.58333333333333337</v>
      </c>
      <c r="B83" s="70">
        <v>0.60416666666666663</v>
      </c>
      <c r="C83" s="465" t="s">
        <v>942</v>
      </c>
      <c r="D83" s="466"/>
      <c r="E83" s="467"/>
      <c r="F83" s="70">
        <v>0.33333333333333331</v>
      </c>
      <c r="G83" s="70">
        <v>0.35416666666666669</v>
      </c>
      <c r="H83" s="74"/>
    </row>
    <row r="84" spans="1:8" ht="18" customHeight="1">
      <c r="A84" s="70">
        <v>0.60416666666666663</v>
      </c>
      <c r="B84" s="70">
        <v>0.625</v>
      </c>
      <c r="C84" s="468"/>
      <c r="D84" s="469"/>
      <c r="E84" s="470"/>
      <c r="F84" s="70">
        <v>0.35416666666666669</v>
      </c>
      <c r="G84" s="70">
        <v>0.375</v>
      </c>
      <c r="H84" s="74"/>
    </row>
    <row r="85" spans="1:8" ht="18" customHeight="1">
      <c r="A85" s="70">
        <v>0.625</v>
      </c>
      <c r="B85" s="70">
        <v>0.64583333333333337</v>
      </c>
      <c r="C85" s="440" t="s">
        <v>995</v>
      </c>
      <c r="D85" s="440"/>
      <c r="E85" s="440"/>
      <c r="F85" s="70">
        <v>0.375</v>
      </c>
      <c r="G85" s="70">
        <v>0.39583333333333331</v>
      </c>
      <c r="H85" s="74"/>
    </row>
    <row r="86" spans="1:8" ht="18" customHeight="1">
      <c r="A86" s="70">
        <v>0.64583333333333337</v>
      </c>
      <c r="B86" s="70">
        <v>0.66666666666666663</v>
      </c>
      <c r="C86" s="440"/>
      <c r="D86" s="440"/>
      <c r="E86" s="440"/>
      <c r="F86" s="70">
        <v>0.39583333333333331</v>
      </c>
      <c r="G86" s="70">
        <v>0.41666666666666669</v>
      </c>
      <c r="H86" s="74"/>
    </row>
    <row r="87" spans="1:8" ht="18" customHeight="1">
      <c r="A87" s="70">
        <v>0.66666666666666663</v>
      </c>
      <c r="B87" s="70">
        <v>0.6875</v>
      </c>
      <c r="C87" s="441" t="s">
        <v>939</v>
      </c>
      <c r="D87" s="441"/>
      <c r="E87" s="441"/>
      <c r="F87" s="70">
        <v>0.41666666666666669</v>
      </c>
      <c r="G87" s="70">
        <v>0.4375</v>
      </c>
      <c r="H87" s="74"/>
    </row>
    <row r="88" spans="1:8" ht="18" customHeight="1">
      <c r="A88" s="70">
        <v>0.6875</v>
      </c>
      <c r="B88" s="70">
        <v>0.70833333333333337</v>
      </c>
      <c r="C88" s="441"/>
      <c r="D88" s="441"/>
      <c r="E88" s="441"/>
      <c r="F88" s="70">
        <v>0.4375</v>
      </c>
      <c r="G88" s="70">
        <v>0.45833333333333331</v>
      </c>
      <c r="H88" s="74"/>
    </row>
    <row r="89" spans="1:8" ht="18" customHeight="1">
      <c r="A89" s="70">
        <v>0.70833333333333337</v>
      </c>
      <c r="B89" s="70">
        <v>0.72916666666666663</v>
      </c>
      <c r="C89" s="441"/>
      <c r="D89" s="441"/>
      <c r="E89" s="441"/>
      <c r="F89" s="70">
        <v>0.45833333333333331</v>
      </c>
      <c r="G89" s="70">
        <v>0.47916666666666669</v>
      </c>
      <c r="H89" s="74"/>
    </row>
    <row r="90" spans="1:8" ht="18" customHeight="1">
      <c r="A90" s="70">
        <v>0.72916666666666663</v>
      </c>
      <c r="B90" s="70">
        <v>0.75</v>
      </c>
      <c r="C90" s="441"/>
      <c r="D90" s="441"/>
      <c r="E90" s="441"/>
      <c r="F90" s="70">
        <v>0.47916666666666669</v>
      </c>
      <c r="G90" s="70">
        <v>0.5</v>
      </c>
      <c r="H90" s="74"/>
    </row>
    <row r="91" spans="1:8" ht="18" customHeight="1">
      <c r="A91" s="70">
        <v>0.75</v>
      </c>
      <c r="B91" s="70">
        <v>0.83333333333333337</v>
      </c>
      <c r="C91" s="441" t="s">
        <v>940</v>
      </c>
      <c r="D91" s="441"/>
      <c r="E91" s="441"/>
      <c r="F91" s="70">
        <v>0.5</v>
      </c>
      <c r="G91" s="70">
        <v>0.58333333333333337</v>
      </c>
      <c r="H91" s="74"/>
    </row>
    <row r="92" spans="1:8">
      <c r="A92" s="436" t="str">
        <f>J8</f>
        <v>Day 7</v>
      </c>
      <c r="B92" s="436"/>
      <c r="C92" s="439">
        <f>I8</f>
        <v>44302</v>
      </c>
      <c r="D92" s="439"/>
      <c r="E92" s="439"/>
      <c r="F92" s="436" t="str">
        <f>A92</f>
        <v>Day 7</v>
      </c>
      <c r="G92" s="436"/>
      <c r="H92" s="74"/>
    </row>
    <row r="93" spans="1:8" ht="29">
      <c r="A93" s="436" t="s">
        <v>931</v>
      </c>
      <c r="B93" s="436"/>
      <c r="C93" s="231" t="str">
        <f>C74</f>
        <v>Mini team 1:ATM-5 / ATM-6 / ATM-7</v>
      </c>
      <c r="D93" s="231" t="str">
        <f>D74</f>
        <v>Full team: ATM-1 / ATM-2 / ATM-3 / ATM-4 /ATM-5 / ATM-6 / ATM-7 / ATM-8</v>
      </c>
      <c r="E93" s="231" t="str">
        <f>E74</f>
        <v>LA team: van Zyl, Pieter and ATMs if applicable</v>
      </c>
      <c r="F93" s="436" t="s">
        <v>932</v>
      </c>
      <c r="G93" s="436"/>
      <c r="H93" s="74"/>
    </row>
    <row r="94" spans="1:8" ht="18" customHeight="1">
      <c r="A94" s="70">
        <v>0.41666666666666669</v>
      </c>
      <c r="B94" s="70">
        <v>0.4375</v>
      </c>
      <c r="C94" s="441" t="s">
        <v>939</v>
      </c>
      <c r="D94" s="441"/>
      <c r="E94" s="441"/>
      <c r="F94" s="70">
        <v>0.16666666666666666</v>
      </c>
      <c r="G94" s="70">
        <v>0.1875</v>
      </c>
      <c r="H94" s="74"/>
    </row>
    <row r="95" spans="1:8" ht="18" customHeight="1">
      <c r="A95" s="70">
        <v>0.4375</v>
      </c>
      <c r="B95" s="70">
        <v>0.45833333333333331</v>
      </c>
      <c r="C95" s="450" t="s">
        <v>996</v>
      </c>
      <c r="D95" s="451"/>
      <c r="E95" s="452"/>
      <c r="F95" s="70">
        <v>0.1875</v>
      </c>
      <c r="G95" s="70">
        <v>0.20833333333333334</v>
      </c>
      <c r="H95" s="74"/>
    </row>
    <row r="96" spans="1:8" ht="18" customHeight="1">
      <c r="A96" s="70">
        <v>0.45833333333333331</v>
      </c>
      <c r="B96" s="70">
        <v>0.47916666666666669</v>
      </c>
      <c r="C96" s="453"/>
      <c r="D96" s="454"/>
      <c r="E96" s="455"/>
      <c r="F96" s="70">
        <v>0.20833333333333334</v>
      </c>
      <c r="G96" s="70">
        <v>0.22916666666666666</v>
      </c>
      <c r="H96" s="74"/>
    </row>
    <row r="97" spans="1:8" ht="18" customHeight="1">
      <c r="A97" s="70">
        <v>0.47916666666666669</v>
      </c>
      <c r="B97" s="70">
        <v>0.5</v>
      </c>
      <c r="C97" s="450" t="s">
        <v>997</v>
      </c>
      <c r="D97" s="451"/>
      <c r="E97" s="452"/>
      <c r="F97" s="70">
        <v>0.22916666666666666</v>
      </c>
      <c r="G97" s="70">
        <v>0.25</v>
      </c>
      <c r="H97" s="74"/>
    </row>
    <row r="98" spans="1:8" ht="18" customHeight="1">
      <c r="A98" s="70">
        <v>0.5</v>
      </c>
      <c r="B98" s="70">
        <v>0.52083333333333337</v>
      </c>
      <c r="C98" s="453"/>
      <c r="D98" s="454"/>
      <c r="E98" s="455"/>
      <c r="F98" s="70">
        <v>0.25</v>
      </c>
      <c r="G98" s="70">
        <v>0.27083333333333331</v>
      </c>
      <c r="H98" s="74"/>
    </row>
    <row r="99" spans="1:8" ht="18" customHeight="1">
      <c r="A99" s="70">
        <v>0.52083333333333337</v>
      </c>
      <c r="B99" s="70">
        <v>0.54166666666666663</v>
      </c>
      <c r="C99" s="456" t="s">
        <v>938</v>
      </c>
      <c r="D99" s="457"/>
      <c r="E99" s="458"/>
      <c r="F99" s="70">
        <v>0.27083333333333331</v>
      </c>
      <c r="G99" s="70">
        <v>0.29166666666666669</v>
      </c>
      <c r="H99" s="74"/>
    </row>
    <row r="100" spans="1:8" ht="18" customHeight="1">
      <c r="A100" s="70">
        <v>0.54166666666666663</v>
      </c>
      <c r="B100" s="70">
        <v>0.5625</v>
      </c>
      <c r="C100" s="462"/>
      <c r="D100" s="463"/>
      <c r="E100" s="464"/>
      <c r="F100" s="70">
        <v>0.29166666666666669</v>
      </c>
      <c r="G100" s="70">
        <v>0.3125</v>
      </c>
      <c r="H100" s="74"/>
    </row>
    <row r="101" spans="1:8" ht="18" customHeight="1">
      <c r="A101" s="70">
        <v>0.5625</v>
      </c>
      <c r="B101" s="70">
        <v>0.58333333333333337</v>
      </c>
      <c r="C101" s="456" t="s">
        <v>943</v>
      </c>
      <c r="D101" s="457"/>
      <c r="E101" s="458"/>
      <c r="F101" s="70">
        <v>0.3125</v>
      </c>
      <c r="G101" s="70">
        <v>0.33333333333333331</v>
      </c>
      <c r="H101" s="74"/>
    </row>
    <row r="102" spans="1:8" ht="18" customHeight="1">
      <c r="A102" s="70">
        <v>0.58333333333333337</v>
      </c>
      <c r="B102" s="70">
        <v>0.60416666666666663</v>
      </c>
      <c r="C102" s="459"/>
      <c r="D102" s="460"/>
      <c r="E102" s="461"/>
      <c r="F102" s="70">
        <v>0.33333333333333331</v>
      </c>
      <c r="G102" s="70">
        <v>0.35416666666666669</v>
      </c>
      <c r="H102" s="74"/>
    </row>
    <row r="103" spans="1:8" ht="18" customHeight="1">
      <c r="A103" s="70">
        <v>0.60416666666666663</v>
      </c>
      <c r="B103" s="70">
        <v>0.625</v>
      </c>
      <c r="C103" s="462"/>
      <c r="D103" s="463"/>
      <c r="E103" s="464"/>
      <c r="F103" s="70">
        <v>0.35416666666666669</v>
      </c>
      <c r="G103" s="70">
        <v>0.375</v>
      </c>
      <c r="H103" s="74"/>
    </row>
    <row r="104" spans="1:8" ht="18" customHeight="1">
      <c r="A104" s="70">
        <v>0.625</v>
      </c>
      <c r="B104" s="70">
        <v>0.64583333333333337</v>
      </c>
      <c r="C104" s="448" t="s">
        <v>998</v>
      </c>
      <c r="D104" s="448"/>
      <c r="E104" s="448"/>
      <c r="F104" s="70">
        <v>0.375</v>
      </c>
      <c r="G104" s="70">
        <v>0.39583333333333331</v>
      </c>
      <c r="H104" s="74"/>
    </row>
    <row r="105" spans="1:8" ht="18" customHeight="1">
      <c r="A105" s="70">
        <v>0.64583333333333337</v>
      </c>
      <c r="B105" s="70">
        <v>0.66666666666666663</v>
      </c>
      <c r="C105" s="448"/>
      <c r="D105" s="448"/>
      <c r="E105" s="448"/>
      <c r="F105" s="70">
        <v>0.39583333333333331</v>
      </c>
      <c r="G105" s="70">
        <v>0.41666666666666669</v>
      </c>
      <c r="H105" s="74"/>
    </row>
    <row r="106" spans="1:8" ht="18" customHeight="1">
      <c r="A106" s="70">
        <v>0.66666666666666663</v>
      </c>
      <c r="B106" s="70">
        <v>0.6875</v>
      </c>
      <c r="C106" s="441" t="s">
        <v>944</v>
      </c>
      <c r="D106" s="441"/>
      <c r="E106" s="441"/>
      <c r="F106" s="70">
        <v>0.41666666666666669</v>
      </c>
      <c r="G106" s="70">
        <v>0.4375</v>
      </c>
      <c r="H106" s="74"/>
    </row>
    <row r="107" spans="1:8" ht="18" customHeight="1">
      <c r="A107" s="70">
        <v>0.6875</v>
      </c>
      <c r="B107" s="70">
        <v>0.70833333333333337</v>
      </c>
      <c r="C107" s="441"/>
      <c r="D107" s="441"/>
      <c r="E107" s="441"/>
      <c r="F107" s="70">
        <v>0.4375</v>
      </c>
      <c r="G107" s="70">
        <v>0.45833333333333331</v>
      </c>
      <c r="H107" s="74"/>
    </row>
    <row r="108" spans="1:8" ht="18" customHeight="1">
      <c r="A108" s="70">
        <v>0.70833333333333337</v>
      </c>
      <c r="B108" s="70">
        <v>0.72916666666666663</v>
      </c>
      <c r="C108" s="441" t="s">
        <v>945</v>
      </c>
      <c r="D108" s="441"/>
      <c r="E108" s="441"/>
      <c r="F108" s="70">
        <v>0.45833333333333331</v>
      </c>
      <c r="G108" s="70">
        <v>0.47916666666666669</v>
      </c>
      <c r="H108" s="74"/>
    </row>
    <row r="109" spans="1:8" ht="18" customHeight="1">
      <c r="A109" s="70">
        <v>0.72916666666666663</v>
      </c>
      <c r="B109" s="70">
        <v>0.75</v>
      </c>
      <c r="C109" s="441"/>
      <c r="D109" s="441"/>
      <c r="E109" s="441"/>
      <c r="F109" s="70">
        <v>0.47916666666666669</v>
      </c>
      <c r="G109" s="70">
        <v>0.5</v>
      </c>
      <c r="H109" s="74"/>
    </row>
    <row r="110" spans="1:8" ht="18" customHeight="1">
      <c r="A110" s="70">
        <v>0.75</v>
      </c>
      <c r="B110" s="70">
        <v>0.83333333333333337</v>
      </c>
      <c r="C110" s="441"/>
      <c r="D110" s="441"/>
      <c r="E110" s="441"/>
      <c r="F110" s="70">
        <v>0.5</v>
      </c>
      <c r="G110" s="70">
        <v>0.58333333333333337</v>
      </c>
      <c r="H110" s="74"/>
    </row>
  </sheetData>
  <mergeCells count="77">
    <mergeCell ref="C5:C13"/>
    <mergeCell ref="D5:D13"/>
    <mergeCell ref="E5:E13"/>
    <mergeCell ref="A15:G15"/>
    <mergeCell ref="A16:B16"/>
    <mergeCell ref="C16:E16"/>
    <mergeCell ref="F16:G16"/>
    <mergeCell ref="A4:B4"/>
    <mergeCell ref="F4:G4"/>
    <mergeCell ref="A1:G1"/>
    <mergeCell ref="A2:G2"/>
    <mergeCell ref="A3:B3"/>
    <mergeCell ref="C3:E3"/>
    <mergeCell ref="F3:G3"/>
    <mergeCell ref="A17:B17"/>
    <mergeCell ref="F17:G17"/>
    <mergeCell ref="C19:E19"/>
    <mergeCell ref="C20:E21"/>
    <mergeCell ref="C22:E23"/>
    <mergeCell ref="C28:E28"/>
    <mergeCell ref="C29:E32"/>
    <mergeCell ref="C33:E33"/>
    <mergeCell ref="C34:E34"/>
    <mergeCell ref="C24:E27"/>
    <mergeCell ref="A35:B35"/>
    <mergeCell ref="C35:E35"/>
    <mergeCell ref="C53:E53"/>
    <mergeCell ref="F35:G35"/>
    <mergeCell ref="A36:B36"/>
    <mergeCell ref="F36:G36"/>
    <mergeCell ref="C37:D37"/>
    <mergeCell ref="C38:E40"/>
    <mergeCell ref="C41:E42"/>
    <mergeCell ref="C43:E47"/>
    <mergeCell ref="C48:D49"/>
    <mergeCell ref="E48:E49"/>
    <mergeCell ref="C50:E51"/>
    <mergeCell ref="C52:E52"/>
    <mergeCell ref="A54:B54"/>
    <mergeCell ref="C54:E54"/>
    <mergeCell ref="F54:G54"/>
    <mergeCell ref="A55:B55"/>
    <mergeCell ref="F55:G55"/>
    <mergeCell ref="C56:D56"/>
    <mergeCell ref="C57:E59"/>
    <mergeCell ref="C60:E61"/>
    <mergeCell ref="C62:E67"/>
    <mergeCell ref="C68:E68"/>
    <mergeCell ref="C69:E70"/>
    <mergeCell ref="C71:E72"/>
    <mergeCell ref="A73:B73"/>
    <mergeCell ref="C73:E73"/>
    <mergeCell ref="F73:G73"/>
    <mergeCell ref="A74:B74"/>
    <mergeCell ref="F74:G74"/>
    <mergeCell ref="C75:E75"/>
    <mergeCell ref="C76:E77"/>
    <mergeCell ref="C78:E78"/>
    <mergeCell ref="C79:E80"/>
    <mergeCell ref="C85:E86"/>
    <mergeCell ref="A92:B92"/>
    <mergeCell ref="C92:E92"/>
    <mergeCell ref="F92:G92"/>
    <mergeCell ref="A93:B93"/>
    <mergeCell ref="F93:G93"/>
    <mergeCell ref="C108:E110"/>
    <mergeCell ref="C83:E84"/>
    <mergeCell ref="C81:E82"/>
    <mergeCell ref="C104:E105"/>
    <mergeCell ref="C106:E107"/>
    <mergeCell ref="C87:E90"/>
    <mergeCell ref="C91:E91"/>
    <mergeCell ref="C94:E94"/>
    <mergeCell ref="C95:E96"/>
    <mergeCell ref="C97:E98"/>
    <mergeCell ref="C99:E100"/>
    <mergeCell ref="C101:E103"/>
  </mergeCells>
  <phoneticPr fontId="54" type="noConversion"/>
  <pageMargins left="0.7" right="0.7" top="0.75" bottom="0.75" header="0.3" footer="0.3"/>
  <pageSetup paperSize="9" scale="65" fitToHeight="0" orientation="portrait" r:id="rId1"/>
  <rowBreaks count="5" manualBreakCount="5">
    <brk id="15" max="16383" man="1"/>
    <brk id="34" max="16383" man="1"/>
    <brk id="53" max="16383" man="1"/>
    <brk id="72" max="16383" man="1"/>
    <brk id="91" max="16383" man="1"/>
  </rowBreak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AE508C-F10B-4B99-AF6D-922841CE60AB}">
  <sheetPr>
    <tabColor theme="5" tint="0.79998168889431442"/>
  </sheetPr>
  <dimension ref="A1:H39"/>
  <sheetViews>
    <sheetView workbookViewId="0">
      <selection activeCell="L13" sqref="L13"/>
    </sheetView>
  </sheetViews>
  <sheetFormatPr defaultRowHeight="14.5"/>
  <cols>
    <col min="1" max="16384" width="8.7265625" style="8"/>
  </cols>
  <sheetData>
    <row r="1" spans="1:8" ht="15" thickBot="1">
      <c r="A1" s="8" t="s">
        <v>1452</v>
      </c>
    </row>
    <row r="2" spans="1:8">
      <c r="A2" s="332" t="s">
        <v>1453</v>
      </c>
      <c r="B2" s="333">
        <f>Planning!B27</f>
        <v>44296</v>
      </c>
      <c r="C2" s="334">
        <f>B2+1</f>
        <v>44297</v>
      </c>
      <c r="D2" s="334">
        <f t="shared" ref="D2:G2" si="0">C2+1</f>
        <v>44298</v>
      </c>
      <c r="E2" s="334">
        <f t="shared" si="0"/>
        <v>44299</v>
      </c>
      <c r="F2" s="334">
        <f t="shared" si="0"/>
        <v>44300</v>
      </c>
      <c r="G2" s="334">
        <f t="shared" si="0"/>
        <v>44301</v>
      </c>
      <c r="H2" s="335" t="s">
        <v>1454</v>
      </c>
    </row>
    <row r="3" spans="1:8" ht="29">
      <c r="A3" s="336">
        <v>0.41666666666666702</v>
      </c>
      <c r="B3" s="477" t="s">
        <v>1455</v>
      </c>
      <c r="C3" s="337" t="s">
        <v>1456</v>
      </c>
      <c r="D3" s="338" t="s">
        <v>1457</v>
      </c>
      <c r="E3" s="338" t="s">
        <v>1457</v>
      </c>
      <c r="F3" s="478" t="s">
        <v>1458</v>
      </c>
      <c r="G3" s="478" t="s">
        <v>1459</v>
      </c>
      <c r="H3" s="339">
        <f t="shared" ref="H3:H19" si="1">+A3-0.25</f>
        <v>0.16666666666666702</v>
      </c>
    </row>
    <row r="4" spans="1:8">
      <c r="A4" s="336">
        <v>0.4375</v>
      </c>
      <c r="B4" s="477"/>
      <c r="C4" s="340" t="s">
        <v>1460</v>
      </c>
      <c r="D4" s="479" t="s">
        <v>1461</v>
      </c>
      <c r="E4" s="479" t="s">
        <v>1462</v>
      </c>
      <c r="F4" s="478"/>
      <c r="G4" s="478"/>
      <c r="H4" s="339">
        <f t="shared" si="1"/>
        <v>0.1875</v>
      </c>
    </row>
    <row r="5" spans="1:8">
      <c r="A5" s="336">
        <v>0.45833333333333398</v>
      </c>
      <c r="B5" s="480" t="s">
        <v>1463</v>
      </c>
      <c r="C5" s="481" t="s">
        <v>1464</v>
      </c>
      <c r="D5" s="479"/>
      <c r="E5" s="479"/>
      <c r="F5" s="478"/>
      <c r="G5" s="478"/>
      <c r="H5" s="339">
        <f t="shared" si="1"/>
        <v>0.20833333333333398</v>
      </c>
    </row>
    <row r="6" spans="1:8">
      <c r="A6" s="336">
        <v>0.47916666666666702</v>
      </c>
      <c r="B6" s="480"/>
      <c r="C6" s="481"/>
      <c r="D6" s="479"/>
      <c r="E6" s="479"/>
      <c r="F6" s="478"/>
      <c r="G6" s="337" t="s">
        <v>1460</v>
      </c>
      <c r="H6" s="339">
        <f t="shared" si="1"/>
        <v>0.22916666666666702</v>
      </c>
    </row>
    <row r="7" spans="1:8">
      <c r="A7" s="336">
        <v>0.5</v>
      </c>
      <c r="B7" s="480"/>
      <c r="C7" s="479" t="s">
        <v>1465</v>
      </c>
      <c r="D7" s="479"/>
      <c r="E7" s="479"/>
      <c r="F7" s="482" t="s">
        <v>938</v>
      </c>
      <c r="G7" s="482" t="s">
        <v>938</v>
      </c>
      <c r="H7" s="339">
        <f t="shared" si="1"/>
        <v>0.25</v>
      </c>
    </row>
    <row r="8" spans="1:8" ht="29">
      <c r="A8" s="336">
        <v>0.52083333333333404</v>
      </c>
      <c r="B8" s="341" t="s">
        <v>1455</v>
      </c>
      <c r="C8" s="479"/>
      <c r="D8" s="479"/>
      <c r="E8" s="479"/>
      <c r="F8" s="482"/>
      <c r="G8" s="482"/>
      <c r="H8" s="339">
        <f t="shared" si="1"/>
        <v>0.27083333333333404</v>
      </c>
    </row>
    <row r="9" spans="1:8">
      <c r="A9" s="336">
        <v>0.54166666666666696</v>
      </c>
      <c r="B9" s="483" t="s">
        <v>938</v>
      </c>
      <c r="C9" s="482" t="s">
        <v>938</v>
      </c>
      <c r="D9" s="482" t="s">
        <v>938</v>
      </c>
      <c r="E9" s="482" t="s">
        <v>938</v>
      </c>
      <c r="F9" s="337" t="s">
        <v>1460</v>
      </c>
      <c r="G9" s="481" t="s">
        <v>795</v>
      </c>
      <c r="H9" s="339">
        <f t="shared" si="1"/>
        <v>0.29166666666666696</v>
      </c>
    </row>
    <row r="10" spans="1:8">
      <c r="A10" s="336">
        <v>0.5625</v>
      </c>
      <c r="B10" s="483"/>
      <c r="C10" s="482"/>
      <c r="D10" s="482"/>
      <c r="E10" s="482"/>
      <c r="F10" s="481" t="s">
        <v>1466</v>
      </c>
      <c r="G10" s="481"/>
      <c r="H10" s="339">
        <f t="shared" si="1"/>
        <v>0.3125</v>
      </c>
    </row>
    <row r="11" spans="1:8">
      <c r="A11" s="336">
        <v>0.58333333333333304</v>
      </c>
      <c r="B11" s="477" t="s">
        <v>1467</v>
      </c>
      <c r="C11" s="479" t="s">
        <v>1468</v>
      </c>
      <c r="D11" s="479" t="s">
        <v>1469</v>
      </c>
      <c r="E11" s="479" t="s">
        <v>1470</v>
      </c>
      <c r="F11" s="481"/>
      <c r="G11" s="478" t="s">
        <v>1471</v>
      </c>
      <c r="H11" s="339">
        <f t="shared" si="1"/>
        <v>0.33333333333333304</v>
      </c>
    </row>
    <row r="12" spans="1:8">
      <c r="A12" s="336">
        <v>0.60416666666666696</v>
      </c>
      <c r="B12" s="477"/>
      <c r="C12" s="479"/>
      <c r="D12" s="479"/>
      <c r="E12" s="479"/>
      <c r="F12" s="481" t="s">
        <v>1472</v>
      </c>
      <c r="G12" s="478"/>
      <c r="H12" s="339">
        <f t="shared" si="1"/>
        <v>0.35416666666666696</v>
      </c>
    </row>
    <row r="13" spans="1:8">
      <c r="A13" s="336">
        <v>0.625</v>
      </c>
      <c r="B13" s="477"/>
      <c r="C13" s="479"/>
      <c r="D13" s="479" t="s">
        <v>1473</v>
      </c>
      <c r="E13" s="479"/>
      <c r="F13" s="481"/>
      <c r="G13" s="478"/>
      <c r="H13" s="339">
        <f t="shared" si="1"/>
        <v>0.375</v>
      </c>
    </row>
    <row r="14" spans="1:8">
      <c r="A14" s="336">
        <v>0.64583333333333304</v>
      </c>
      <c r="B14" s="477"/>
      <c r="C14" s="479"/>
      <c r="D14" s="479"/>
      <c r="E14" s="479"/>
      <c r="F14" s="478" t="s">
        <v>1459</v>
      </c>
      <c r="G14" s="484" t="s">
        <v>1474</v>
      </c>
      <c r="H14" s="339">
        <f t="shared" si="1"/>
        <v>0.39583333333333304</v>
      </c>
    </row>
    <row r="15" spans="1:8">
      <c r="A15" s="336">
        <v>0.66666666666666696</v>
      </c>
      <c r="B15" s="477"/>
      <c r="C15" s="340" t="s">
        <v>1460</v>
      </c>
      <c r="D15" s="479"/>
      <c r="E15" s="478" t="s">
        <v>1458</v>
      </c>
      <c r="F15" s="478"/>
      <c r="G15" s="484"/>
      <c r="H15" s="339">
        <f t="shared" si="1"/>
        <v>0.41666666666666696</v>
      </c>
    </row>
    <row r="16" spans="1:8">
      <c r="A16" s="336">
        <v>0.6875</v>
      </c>
      <c r="B16" s="477"/>
      <c r="C16" s="479" t="s">
        <v>1475</v>
      </c>
      <c r="D16" s="479" t="s">
        <v>1476</v>
      </c>
      <c r="E16" s="478"/>
      <c r="F16" s="478"/>
      <c r="G16" s="484"/>
      <c r="H16" s="339">
        <f t="shared" si="1"/>
        <v>0.4375</v>
      </c>
    </row>
    <row r="17" spans="1:8">
      <c r="A17" s="336">
        <v>0.70833333333333304</v>
      </c>
      <c r="B17" s="342" t="s">
        <v>1477</v>
      </c>
      <c r="C17" s="479"/>
      <c r="D17" s="479"/>
      <c r="E17" s="478"/>
      <c r="F17" s="478"/>
      <c r="G17" s="484"/>
      <c r="H17" s="339">
        <f t="shared" si="1"/>
        <v>0.45833333333333304</v>
      </c>
    </row>
    <row r="18" spans="1:8">
      <c r="A18" s="336">
        <v>0.72916666666666663</v>
      </c>
      <c r="B18" s="343" t="s">
        <v>1457</v>
      </c>
      <c r="C18" s="338" t="s">
        <v>1457</v>
      </c>
      <c r="D18" s="338" t="s">
        <v>1457</v>
      </c>
      <c r="E18" s="338" t="s">
        <v>1457</v>
      </c>
      <c r="F18" s="338" t="s">
        <v>1457</v>
      </c>
      <c r="G18" s="484"/>
      <c r="H18" s="339">
        <f t="shared" si="1"/>
        <v>0.47916666666666663</v>
      </c>
    </row>
    <row r="19" spans="1:8" ht="15" thickBot="1">
      <c r="A19" s="344">
        <v>0.75</v>
      </c>
      <c r="B19" s="485" t="s">
        <v>940</v>
      </c>
      <c r="C19" s="486"/>
      <c r="D19" s="486"/>
      <c r="E19" s="486"/>
      <c r="F19" s="486"/>
      <c r="G19" s="486"/>
      <c r="H19" s="345">
        <f t="shared" si="1"/>
        <v>0.5</v>
      </c>
    </row>
    <row r="21" spans="1:8" ht="15" thickBot="1">
      <c r="A21" s="8" t="s">
        <v>1478</v>
      </c>
    </row>
    <row r="22" spans="1:8">
      <c r="A22" s="332" t="s">
        <v>1453</v>
      </c>
      <c r="B22" s="333">
        <f>Planning!B27</f>
        <v>44296</v>
      </c>
      <c r="C22" s="333">
        <f>B22+1</f>
        <v>44297</v>
      </c>
      <c r="D22" s="333">
        <f t="shared" ref="D22:F22" si="2">C22+1</f>
        <v>44298</v>
      </c>
      <c r="E22" s="333">
        <f t="shared" si="2"/>
        <v>44299</v>
      </c>
      <c r="F22" s="333">
        <f t="shared" si="2"/>
        <v>44300</v>
      </c>
      <c r="G22" s="333">
        <f>F22+1</f>
        <v>44301</v>
      </c>
      <c r="H22" s="335" t="s">
        <v>1454</v>
      </c>
    </row>
    <row r="23" spans="1:8" ht="29">
      <c r="A23" s="336">
        <v>0.41666666666666702</v>
      </c>
      <c r="B23" s="477" t="s">
        <v>1455</v>
      </c>
      <c r="C23" s="337" t="s">
        <v>1456</v>
      </c>
      <c r="D23" s="338" t="s">
        <v>1457</v>
      </c>
      <c r="E23" s="338" t="s">
        <v>1457</v>
      </c>
      <c r="F23" s="487" t="s">
        <v>1458</v>
      </c>
      <c r="G23" s="487" t="s">
        <v>1459</v>
      </c>
      <c r="H23" s="339">
        <f t="shared" ref="H23:H39" si="3">+A23-0.25</f>
        <v>0.16666666666666702</v>
      </c>
    </row>
    <row r="24" spans="1:8">
      <c r="A24" s="336">
        <v>0.4375</v>
      </c>
      <c r="B24" s="477"/>
      <c r="C24" s="340" t="s">
        <v>1460</v>
      </c>
      <c r="D24" s="479" t="s">
        <v>1461</v>
      </c>
      <c r="E24" s="479" t="s">
        <v>1462</v>
      </c>
      <c r="F24" s="488"/>
      <c r="G24" s="488"/>
      <c r="H24" s="339">
        <f t="shared" si="3"/>
        <v>0.1875</v>
      </c>
    </row>
    <row r="25" spans="1:8">
      <c r="A25" s="336">
        <v>0.45833333333333398</v>
      </c>
      <c r="B25" s="480" t="s">
        <v>1463</v>
      </c>
      <c r="C25" s="481" t="s">
        <v>1464</v>
      </c>
      <c r="D25" s="479"/>
      <c r="E25" s="479"/>
      <c r="F25" s="488"/>
      <c r="G25" s="488"/>
      <c r="H25" s="339">
        <f t="shared" si="3"/>
        <v>0.20833333333333398</v>
      </c>
    </row>
    <row r="26" spans="1:8">
      <c r="A26" s="336">
        <v>0.47916666666666702</v>
      </c>
      <c r="B26" s="480"/>
      <c r="C26" s="481"/>
      <c r="D26" s="479"/>
      <c r="E26" s="479"/>
      <c r="F26" s="488"/>
      <c r="G26" s="488"/>
      <c r="H26" s="339">
        <f t="shared" si="3"/>
        <v>0.22916666666666702</v>
      </c>
    </row>
    <row r="27" spans="1:8">
      <c r="A27" s="336">
        <v>0.5</v>
      </c>
      <c r="B27" s="480"/>
      <c r="C27" s="479" t="s">
        <v>1465</v>
      </c>
      <c r="D27" s="479"/>
      <c r="E27" s="479"/>
      <c r="F27" s="488"/>
      <c r="G27" s="488"/>
      <c r="H27" s="339">
        <f t="shared" si="3"/>
        <v>0.25</v>
      </c>
    </row>
    <row r="28" spans="1:8" ht="29">
      <c r="A28" s="336">
        <v>0.52083333333333404</v>
      </c>
      <c r="B28" s="341" t="s">
        <v>1455</v>
      </c>
      <c r="C28" s="479"/>
      <c r="D28" s="479"/>
      <c r="E28" s="479"/>
      <c r="F28" s="489"/>
      <c r="G28" s="489"/>
      <c r="H28" s="339">
        <f t="shared" si="3"/>
        <v>0.27083333333333404</v>
      </c>
    </row>
    <row r="29" spans="1:8">
      <c r="A29" s="336">
        <v>0.54166666666666696</v>
      </c>
      <c r="B29" s="483" t="s">
        <v>938</v>
      </c>
      <c r="C29" s="482" t="s">
        <v>938</v>
      </c>
      <c r="D29" s="482" t="s">
        <v>938</v>
      </c>
      <c r="E29" s="482" t="s">
        <v>938</v>
      </c>
      <c r="F29" s="482" t="s">
        <v>938</v>
      </c>
      <c r="G29" s="482" t="s">
        <v>938</v>
      </c>
      <c r="H29" s="339">
        <f t="shared" si="3"/>
        <v>0.29166666666666696</v>
      </c>
    </row>
    <row r="30" spans="1:8">
      <c r="A30" s="336">
        <v>0.5625</v>
      </c>
      <c r="B30" s="483"/>
      <c r="C30" s="482"/>
      <c r="D30" s="482"/>
      <c r="E30" s="482"/>
      <c r="F30" s="482"/>
      <c r="G30" s="482"/>
      <c r="H30" s="339">
        <f t="shared" si="3"/>
        <v>0.3125</v>
      </c>
    </row>
    <row r="31" spans="1:8">
      <c r="A31" s="336">
        <v>0.58333333333333304</v>
      </c>
      <c r="B31" s="487" t="s">
        <v>1467</v>
      </c>
      <c r="C31" s="479" t="s">
        <v>1468</v>
      </c>
      <c r="D31" s="479" t="s">
        <v>1469</v>
      </c>
      <c r="E31" s="479" t="s">
        <v>1470</v>
      </c>
      <c r="F31" s="338" t="s">
        <v>1460</v>
      </c>
      <c r="G31" s="338" t="s">
        <v>1460</v>
      </c>
      <c r="H31" s="339">
        <f t="shared" si="3"/>
        <v>0.33333333333333304</v>
      </c>
    </row>
    <row r="32" spans="1:8">
      <c r="A32" s="336">
        <v>0.60416666666666696</v>
      </c>
      <c r="B32" s="488"/>
      <c r="C32" s="479"/>
      <c r="D32" s="479"/>
      <c r="E32" s="479"/>
      <c r="F32" s="481" t="s">
        <v>1466</v>
      </c>
      <c r="G32" s="481" t="s">
        <v>795</v>
      </c>
      <c r="H32" s="339">
        <f t="shared" si="3"/>
        <v>0.35416666666666696</v>
      </c>
    </row>
    <row r="33" spans="1:8">
      <c r="A33" s="336">
        <v>0.625</v>
      </c>
      <c r="B33" s="488"/>
      <c r="C33" s="479"/>
      <c r="D33" s="479" t="s">
        <v>1473</v>
      </c>
      <c r="E33" s="479"/>
      <c r="F33" s="481"/>
      <c r="G33" s="481"/>
      <c r="H33" s="339">
        <f t="shared" si="3"/>
        <v>0.375</v>
      </c>
    </row>
    <row r="34" spans="1:8">
      <c r="A34" s="336">
        <v>0.64583333333333304</v>
      </c>
      <c r="B34" s="488"/>
      <c r="C34" s="479"/>
      <c r="D34" s="479"/>
      <c r="E34" s="479"/>
      <c r="F34" s="481" t="s">
        <v>1472</v>
      </c>
      <c r="G34" s="490" t="s">
        <v>1479</v>
      </c>
      <c r="H34" s="339">
        <f t="shared" si="3"/>
        <v>0.39583333333333304</v>
      </c>
    </row>
    <row r="35" spans="1:8">
      <c r="A35" s="336">
        <v>0.66666666666666696</v>
      </c>
      <c r="B35" s="489"/>
      <c r="C35" s="340" t="s">
        <v>1460</v>
      </c>
      <c r="D35" s="479"/>
      <c r="E35" s="478" t="s">
        <v>1458</v>
      </c>
      <c r="F35" s="481"/>
      <c r="G35" s="491"/>
      <c r="H35" s="339">
        <f t="shared" si="3"/>
        <v>0.41666666666666696</v>
      </c>
    </row>
    <row r="36" spans="1:8">
      <c r="A36" s="336">
        <v>0.6875</v>
      </c>
      <c r="B36" s="346" t="s">
        <v>1480</v>
      </c>
      <c r="C36" s="479" t="s">
        <v>1475</v>
      </c>
      <c r="D36" s="479" t="s">
        <v>1476</v>
      </c>
      <c r="E36" s="478"/>
      <c r="F36" s="487" t="s">
        <v>1459</v>
      </c>
      <c r="G36" s="490" t="s">
        <v>1481</v>
      </c>
      <c r="H36" s="339">
        <f t="shared" si="3"/>
        <v>0.4375</v>
      </c>
    </row>
    <row r="37" spans="1:8">
      <c r="A37" s="336">
        <v>0.70833333333333304</v>
      </c>
      <c r="B37" s="342" t="s">
        <v>1477</v>
      </c>
      <c r="C37" s="479"/>
      <c r="D37" s="479"/>
      <c r="E37" s="478"/>
      <c r="F37" s="489"/>
      <c r="G37" s="491"/>
      <c r="H37" s="339">
        <f t="shared" si="3"/>
        <v>0.45833333333333304</v>
      </c>
    </row>
    <row r="38" spans="1:8">
      <c r="A38" s="336">
        <v>0.72916666666666663</v>
      </c>
      <c r="B38" s="343" t="s">
        <v>1457</v>
      </c>
      <c r="C38" s="338" t="s">
        <v>1457</v>
      </c>
      <c r="D38" s="338" t="s">
        <v>1457</v>
      </c>
      <c r="E38" s="338" t="s">
        <v>1457</v>
      </c>
      <c r="F38" s="338" t="s">
        <v>1457</v>
      </c>
      <c r="G38" s="492"/>
      <c r="H38" s="339">
        <f t="shared" si="3"/>
        <v>0.47916666666666663</v>
      </c>
    </row>
    <row r="39" spans="1:8" ht="15" thickBot="1">
      <c r="A39" s="344">
        <v>0.75</v>
      </c>
      <c r="B39" s="485" t="s">
        <v>940</v>
      </c>
      <c r="C39" s="486"/>
      <c r="D39" s="486"/>
      <c r="E39" s="486"/>
      <c r="F39" s="486"/>
      <c r="G39" s="486"/>
      <c r="H39" s="345">
        <f t="shared" si="3"/>
        <v>0.5</v>
      </c>
    </row>
  </sheetData>
  <mergeCells count="58">
    <mergeCell ref="E35:E37"/>
    <mergeCell ref="C36:C37"/>
    <mergeCell ref="D36:D37"/>
    <mergeCell ref="F36:F37"/>
    <mergeCell ref="G36:G38"/>
    <mergeCell ref="B29:B30"/>
    <mergeCell ref="C29:C30"/>
    <mergeCell ref="D29:D30"/>
    <mergeCell ref="E29:E30"/>
    <mergeCell ref="B39:G39"/>
    <mergeCell ref="G29:G30"/>
    <mergeCell ref="B31:B35"/>
    <mergeCell ref="C31:C34"/>
    <mergeCell ref="D31:D32"/>
    <mergeCell ref="E31:E34"/>
    <mergeCell ref="F32:F33"/>
    <mergeCell ref="G32:G33"/>
    <mergeCell ref="D33:D35"/>
    <mergeCell ref="F34:F35"/>
    <mergeCell ref="G34:G35"/>
    <mergeCell ref="F29:F30"/>
    <mergeCell ref="C16:C17"/>
    <mergeCell ref="D16:D17"/>
    <mergeCell ref="B19:G19"/>
    <mergeCell ref="B23:B24"/>
    <mergeCell ref="F23:F28"/>
    <mergeCell ref="G23:G28"/>
    <mergeCell ref="D24:D28"/>
    <mergeCell ref="E24:E28"/>
    <mergeCell ref="B25:B27"/>
    <mergeCell ref="C25:C26"/>
    <mergeCell ref="C27:C28"/>
    <mergeCell ref="B9:B10"/>
    <mergeCell ref="C9:C10"/>
    <mergeCell ref="D9:D10"/>
    <mergeCell ref="E9:E10"/>
    <mergeCell ref="G9:G10"/>
    <mergeCell ref="F10:F11"/>
    <mergeCell ref="B11:B16"/>
    <mergeCell ref="C11:C14"/>
    <mergeCell ref="D11:D12"/>
    <mergeCell ref="E11:E14"/>
    <mergeCell ref="G11:G13"/>
    <mergeCell ref="F12:F13"/>
    <mergeCell ref="D13:D15"/>
    <mergeCell ref="F14:F17"/>
    <mergeCell ref="G14:G18"/>
    <mergeCell ref="E15:E17"/>
    <mergeCell ref="B3:B4"/>
    <mergeCell ref="F3:F6"/>
    <mergeCell ref="G3:G5"/>
    <mergeCell ref="D4:D8"/>
    <mergeCell ref="E4:E8"/>
    <mergeCell ref="B5:B7"/>
    <mergeCell ref="C5:C6"/>
    <mergeCell ref="C7:C8"/>
    <mergeCell ref="F7:F8"/>
    <mergeCell ref="G7:G8"/>
  </mergeCells>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0326D4-2E54-4656-8594-0BFCE3BD25B3}">
  <sheetPr codeName="Sheet3">
    <tabColor theme="7" tint="0.79998168889431442"/>
    <pageSetUpPr fitToPage="1"/>
  </sheetPr>
  <dimension ref="A1:X24"/>
  <sheetViews>
    <sheetView workbookViewId="0">
      <selection activeCell="I13" sqref="I13"/>
    </sheetView>
  </sheetViews>
  <sheetFormatPr defaultRowHeight="14.5"/>
  <cols>
    <col min="1" max="1" width="26.7265625" customWidth="1"/>
    <col min="2" max="2" width="19.1796875" style="129" customWidth="1"/>
    <col min="3" max="3" width="29.1796875" customWidth="1"/>
    <col min="4" max="4" width="4.453125" style="128" customWidth="1"/>
    <col min="5" max="24" width="4.1796875" style="128" customWidth="1"/>
  </cols>
  <sheetData>
    <row r="1" spans="1:24" ht="50.5" customHeight="1">
      <c r="A1" t="s">
        <v>1020</v>
      </c>
      <c r="C1" t="s">
        <v>1021</v>
      </c>
      <c r="E1" s="148" t="s">
        <v>883</v>
      </c>
      <c r="F1" s="148" t="s">
        <v>884</v>
      </c>
      <c r="G1" s="148" t="s">
        <v>836</v>
      </c>
      <c r="H1" s="148" t="s">
        <v>885</v>
      </c>
      <c r="I1" s="148" t="s">
        <v>886</v>
      </c>
      <c r="J1" s="148" t="s">
        <v>887</v>
      </c>
      <c r="K1" s="148" t="s">
        <v>888</v>
      </c>
      <c r="L1" s="148" t="s">
        <v>889</v>
      </c>
      <c r="M1" s="148" t="s">
        <v>890</v>
      </c>
      <c r="N1" s="148" t="s">
        <v>891</v>
      </c>
      <c r="O1" s="148" t="s">
        <v>753</v>
      </c>
      <c r="P1" s="148" t="s">
        <v>892</v>
      </c>
      <c r="Q1" s="148" t="s">
        <v>893</v>
      </c>
      <c r="R1" s="148" t="s">
        <v>894</v>
      </c>
      <c r="S1" s="148" t="s">
        <v>895</v>
      </c>
      <c r="T1" s="148" t="s">
        <v>751</v>
      </c>
      <c r="U1" s="148" t="s">
        <v>896</v>
      </c>
      <c r="V1" s="148" t="s">
        <v>897</v>
      </c>
      <c r="W1" s="148" t="s">
        <v>910</v>
      </c>
      <c r="X1" s="148" t="s">
        <v>911</v>
      </c>
    </row>
    <row r="2" spans="1:24">
      <c r="A2" t="str">
        <f>'P1PA-SS'!A86</f>
        <v>OU Coordinator</v>
      </c>
      <c r="B2" s="131" t="str">
        <f>'P1PA-SS'!B86</f>
        <v>Miss Lake, Nathalie</v>
      </c>
      <c r="C2" s="129" t="str">
        <f>'P1PA-SS'!V86</f>
        <v>nathalie.lake@email.com</v>
      </c>
      <c r="D2" s="128">
        <f>COUNTA(E2:X2)</f>
        <v>0</v>
      </c>
      <c r="E2" s="186"/>
      <c r="F2" s="186"/>
      <c r="G2" s="186"/>
      <c r="H2" s="186"/>
      <c r="I2" s="186"/>
      <c r="J2" s="186"/>
      <c r="K2" s="186"/>
      <c r="L2" s="186"/>
      <c r="M2" s="186"/>
      <c r="N2" s="186"/>
      <c r="O2" s="186"/>
      <c r="P2" s="186"/>
      <c r="Q2" s="186"/>
      <c r="R2" s="186"/>
      <c r="S2" s="186"/>
      <c r="T2" s="186"/>
      <c r="U2" s="186"/>
      <c r="V2" s="186"/>
      <c r="W2" s="186"/>
      <c r="X2" s="186"/>
    </row>
    <row r="3" spans="1:24">
      <c r="A3" s="129" t="str">
        <f>'P1PA-SS'!A87</f>
        <v>Registered Interpreter</v>
      </c>
      <c r="B3" s="131" t="str">
        <f>'P1PA-SS'!B87</f>
        <v>Miss Land, Barbara</v>
      </c>
      <c r="C3" s="129" t="str">
        <f>'P1PA-SS'!V87</f>
        <v>barbara.land@email.com</v>
      </c>
      <c r="D3" s="128">
        <f t="shared" ref="D3:D16" si="0">COUNTA(E3:X3)</f>
        <v>0</v>
      </c>
      <c r="E3" s="186"/>
      <c r="F3" s="186"/>
      <c r="G3" s="186"/>
      <c r="H3" s="186"/>
      <c r="I3" s="186"/>
      <c r="J3" s="186"/>
      <c r="K3" s="186"/>
      <c r="L3" s="186"/>
      <c r="M3" s="186"/>
      <c r="N3" s="186"/>
      <c r="O3" s="186"/>
      <c r="P3" s="186"/>
      <c r="Q3" s="186"/>
      <c r="R3" s="186"/>
      <c r="S3" s="186"/>
      <c r="T3" s="186"/>
      <c r="U3" s="186"/>
      <c r="V3" s="186"/>
      <c r="W3" s="186"/>
      <c r="X3" s="186"/>
    </row>
    <row r="4" spans="1:24" s="129" customFormat="1">
      <c r="B4" s="131"/>
      <c r="D4" s="128"/>
      <c r="E4" s="186"/>
      <c r="F4" s="186"/>
      <c r="G4" s="186"/>
      <c r="H4" s="186"/>
      <c r="I4" s="186"/>
      <c r="J4" s="186"/>
      <c r="K4" s="186"/>
      <c r="L4" s="186"/>
      <c r="M4" s="186"/>
      <c r="N4" s="186"/>
      <c r="O4" s="186"/>
      <c r="P4" s="186"/>
      <c r="Q4" s="186"/>
      <c r="R4" s="186"/>
      <c r="S4" s="186"/>
      <c r="T4" s="186"/>
      <c r="U4" s="186"/>
      <c r="V4" s="186"/>
      <c r="W4" s="186"/>
      <c r="X4" s="186"/>
    </row>
    <row r="5" spans="1:24">
      <c r="A5" s="129" t="str">
        <f>'P1PA-SS'!A91</f>
        <v>Appraisal team member</v>
      </c>
      <c r="B5" s="131" t="str">
        <f>'P1PA-SS'!B91</f>
        <v>ATM-1</v>
      </c>
      <c r="C5" s="129" t="str">
        <f>'P1PA-SS'!V91</f>
        <v>atm1.email@gmail.com</v>
      </c>
      <c r="D5" s="128">
        <f>COUNTIF(E5:Y5,"x")</f>
        <v>4</v>
      </c>
      <c r="K5" s="420" t="s">
        <v>411</v>
      </c>
      <c r="S5" s="420" t="s">
        <v>411</v>
      </c>
      <c r="W5" s="282" t="s">
        <v>411</v>
      </c>
      <c r="X5" s="282" t="s">
        <v>411</v>
      </c>
    </row>
    <row r="6" spans="1:24">
      <c r="A6" s="129" t="str">
        <f>'P1PA-SS'!A92</f>
        <v>Appraisal team member</v>
      </c>
      <c r="B6" s="131" t="str">
        <f>'P1PA-SS'!B92</f>
        <v>ATM-2</v>
      </c>
      <c r="C6" s="129" t="str">
        <f>'P1PA-SS'!V92</f>
        <v>atm2.email@gmail.com</v>
      </c>
      <c r="D6" s="128">
        <f t="shared" ref="D6:D13" si="1">COUNTIF(E6:Y6,"x")</f>
        <v>2</v>
      </c>
      <c r="G6" s="282" t="s">
        <v>411</v>
      </c>
      <c r="J6" s="420" t="s">
        <v>411</v>
      </c>
    </row>
    <row r="7" spans="1:24">
      <c r="A7" s="129" t="str">
        <f>'P1PA-SS'!A93</f>
        <v>Appraisal team member</v>
      </c>
      <c r="B7" s="131" t="str">
        <f>'P1PA-SS'!B93</f>
        <v>ATM-3</v>
      </c>
      <c r="C7" s="129" t="str">
        <f>'P1PA-SS'!V93</f>
        <v>atm3.email@gmail.com</v>
      </c>
      <c r="D7" s="128">
        <f t="shared" si="1"/>
        <v>3</v>
      </c>
      <c r="H7" s="420" t="s">
        <v>411</v>
      </c>
      <c r="T7" s="420" t="s">
        <v>411</v>
      </c>
      <c r="U7" s="420" t="s">
        <v>411</v>
      </c>
    </row>
    <row r="8" spans="1:24" s="129" customFormat="1">
      <c r="A8" s="129" t="str">
        <f>'P1PA-SS'!A94</f>
        <v>Appraisal team member</v>
      </c>
      <c r="B8" s="131" t="str">
        <f>'P1PA-SS'!B94</f>
        <v>ATM-4</v>
      </c>
      <c r="C8" s="129" t="str">
        <f>'P1PA-SS'!V94</f>
        <v>atm4.email@gmail.com</v>
      </c>
      <c r="D8" s="128">
        <f t="shared" si="1"/>
        <v>5</v>
      </c>
      <c r="E8" s="420" t="s">
        <v>411</v>
      </c>
      <c r="F8" s="420" t="s">
        <v>411</v>
      </c>
      <c r="G8" s="128"/>
      <c r="H8" s="128"/>
      <c r="I8" s="420" t="s">
        <v>411</v>
      </c>
      <c r="J8" s="128"/>
      <c r="K8" s="128"/>
      <c r="L8" s="128"/>
      <c r="M8" s="128"/>
      <c r="N8" s="420" t="s">
        <v>411</v>
      </c>
      <c r="O8" s="420" t="s">
        <v>411</v>
      </c>
      <c r="P8" s="128"/>
      <c r="Q8" s="128"/>
      <c r="R8" s="128"/>
      <c r="S8" s="128"/>
      <c r="T8" s="128"/>
      <c r="U8" s="128"/>
      <c r="V8" s="128"/>
      <c r="W8" s="128"/>
      <c r="X8" s="128"/>
    </row>
    <row r="9" spans="1:24" s="129" customFormat="1">
      <c r="A9" s="129" t="str">
        <f>'P1PA-SS'!A95</f>
        <v>Appraisal team member</v>
      </c>
      <c r="B9" s="131" t="str">
        <f>'P1PA-SS'!B95</f>
        <v>ATM-5</v>
      </c>
      <c r="C9" s="129" t="str">
        <f>'P1PA-SS'!V95</f>
        <v>atm5.email@gmail.com</v>
      </c>
      <c r="D9" s="128">
        <f t="shared" si="1"/>
        <v>5</v>
      </c>
      <c r="E9" s="128"/>
      <c r="F9" s="128"/>
      <c r="G9" s="128"/>
      <c r="H9" s="128"/>
      <c r="I9" s="128"/>
      <c r="J9" s="128"/>
      <c r="K9" s="128"/>
      <c r="L9" s="420" t="s">
        <v>411</v>
      </c>
      <c r="M9" s="420" t="s">
        <v>411</v>
      </c>
      <c r="N9" s="128"/>
      <c r="O9" s="128"/>
      <c r="P9" s="420" t="s">
        <v>411</v>
      </c>
      <c r="Q9" s="420" t="s">
        <v>411</v>
      </c>
      <c r="R9" s="420" t="s">
        <v>411</v>
      </c>
      <c r="S9" s="128"/>
      <c r="T9" s="128"/>
      <c r="U9" s="128"/>
      <c r="V9" s="128"/>
      <c r="W9" s="128"/>
      <c r="X9" s="128"/>
    </row>
    <row r="10" spans="1:24" s="129" customFormat="1">
      <c r="A10" s="129" t="str">
        <f>'P1PA-SS'!A96</f>
        <v>Appraisal team member</v>
      </c>
      <c r="B10" s="131" t="str">
        <f>'P1PA-SS'!B96</f>
        <v>ATM-6</v>
      </c>
      <c r="C10" s="129" t="str">
        <f>'P1PA-SS'!V96</f>
        <v>atm6.email@gmail.com</v>
      </c>
      <c r="D10" s="128">
        <f t="shared" si="1"/>
        <v>5</v>
      </c>
      <c r="E10" s="128"/>
      <c r="F10" s="128"/>
      <c r="G10" s="128"/>
      <c r="H10" s="128"/>
      <c r="I10" s="128"/>
      <c r="J10" s="128"/>
      <c r="K10" s="128"/>
      <c r="L10" s="420" t="s">
        <v>411</v>
      </c>
      <c r="M10" s="420" t="s">
        <v>411</v>
      </c>
      <c r="N10" s="128"/>
      <c r="O10" s="128"/>
      <c r="P10" s="420" t="s">
        <v>411</v>
      </c>
      <c r="Q10" s="420" t="s">
        <v>411</v>
      </c>
      <c r="R10" s="420" t="s">
        <v>411</v>
      </c>
      <c r="S10" s="128"/>
      <c r="T10" s="128"/>
      <c r="U10" s="128"/>
      <c r="V10" s="128"/>
      <c r="W10" s="128"/>
      <c r="X10" s="128"/>
    </row>
    <row r="11" spans="1:24" s="129" customFormat="1">
      <c r="A11" s="129" t="str">
        <f>'P1PA-SS'!A97</f>
        <v>Appraisal team member</v>
      </c>
      <c r="B11" s="131" t="str">
        <f>'P1PA-SS'!B97</f>
        <v>ATM-7</v>
      </c>
      <c r="C11" s="129" t="str">
        <f>'P1PA-SS'!V97</f>
        <v>atm7.email@gmail.com</v>
      </c>
      <c r="D11" s="128">
        <f t="shared" si="1"/>
        <v>5</v>
      </c>
      <c r="E11" s="128"/>
      <c r="F11" s="128"/>
      <c r="G11" s="128"/>
      <c r="H11" s="128"/>
      <c r="I11" s="128"/>
      <c r="J11" s="128"/>
      <c r="K11" s="128"/>
      <c r="L11" s="420" t="s">
        <v>411</v>
      </c>
      <c r="M11" s="420" t="s">
        <v>411</v>
      </c>
      <c r="N11" s="128"/>
      <c r="O11" s="128"/>
      <c r="P11" s="420" t="s">
        <v>411</v>
      </c>
      <c r="Q11" s="420" t="s">
        <v>411</v>
      </c>
      <c r="R11" s="420" t="s">
        <v>411</v>
      </c>
      <c r="S11" s="128"/>
      <c r="T11" s="128"/>
      <c r="U11" s="128"/>
      <c r="V11" s="128"/>
      <c r="W11" s="128"/>
      <c r="X11" s="128"/>
    </row>
    <row r="12" spans="1:24" s="319" customFormat="1">
      <c r="A12" s="319" t="str">
        <f>'P1PA-SS'!A98</f>
        <v>Appraisal team member</v>
      </c>
      <c r="B12" s="131" t="str">
        <f>'P1PA-SS'!B98</f>
        <v>ATM-8</v>
      </c>
      <c r="C12" s="319" t="str">
        <f>'P1PA-SS'!V98</f>
        <v>atm8.email@gmail.com</v>
      </c>
      <c r="D12" s="128">
        <f t="shared" si="1"/>
        <v>0</v>
      </c>
      <c r="E12" s="128"/>
      <c r="F12" s="128"/>
      <c r="G12" s="128"/>
      <c r="H12" s="128"/>
      <c r="I12" s="128"/>
      <c r="J12" s="128"/>
      <c r="K12" s="128"/>
      <c r="L12" s="420"/>
      <c r="M12" s="420"/>
      <c r="N12" s="128"/>
      <c r="O12" s="128"/>
      <c r="P12" s="420"/>
      <c r="Q12" s="420"/>
      <c r="R12" s="420"/>
      <c r="S12" s="128"/>
      <c r="T12" s="128"/>
      <c r="U12" s="128"/>
      <c r="V12" s="128"/>
      <c r="W12" s="128"/>
      <c r="X12" s="128"/>
    </row>
    <row r="13" spans="1:24" s="319" customFormat="1">
      <c r="A13" s="319" t="str">
        <f>'P1PA-SS'!A99</f>
        <v>Appraisal team member</v>
      </c>
      <c r="B13" s="131" t="str">
        <f>'P1PA-SS'!B99</f>
        <v>ATM-9</v>
      </c>
      <c r="C13" s="319" t="str">
        <f>'P1PA-SS'!V99</f>
        <v>atm9.email@gmail.com</v>
      </c>
      <c r="D13" s="128">
        <f t="shared" si="1"/>
        <v>0</v>
      </c>
      <c r="E13" s="128"/>
      <c r="F13" s="128"/>
      <c r="G13" s="128"/>
      <c r="H13" s="128"/>
      <c r="I13" s="128"/>
      <c r="J13" s="128"/>
      <c r="K13" s="128"/>
      <c r="L13" s="420"/>
      <c r="M13" s="420"/>
      <c r="N13" s="128"/>
      <c r="O13" s="128"/>
      <c r="P13" s="420"/>
      <c r="Q13" s="420"/>
      <c r="R13" s="420"/>
      <c r="S13" s="128"/>
      <c r="T13" s="128"/>
      <c r="U13" s="128"/>
      <c r="V13" s="128"/>
      <c r="W13" s="128"/>
      <c r="X13" s="128"/>
    </row>
    <row r="14" spans="1:24" s="129" customFormat="1">
      <c r="B14" s="131"/>
      <c r="D14" s="128"/>
      <c r="E14" s="186">
        <f>COUNTIF(E5:E13,"x")</f>
        <v>1</v>
      </c>
      <c r="F14" s="186">
        <f t="shared" ref="F14:X14" si="2">COUNTIF(F5:F13,"x")</f>
        <v>1</v>
      </c>
      <c r="G14" s="186">
        <f t="shared" si="2"/>
        <v>1</v>
      </c>
      <c r="H14" s="186">
        <f t="shared" si="2"/>
        <v>1</v>
      </c>
      <c r="I14" s="186">
        <f t="shared" si="2"/>
        <v>1</v>
      </c>
      <c r="J14" s="186">
        <f t="shared" si="2"/>
        <v>1</v>
      </c>
      <c r="K14" s="186">
        <f t="shared" si="2"/>
        <v>1</v>
      </c>
      <c r="L14" s="186">
        <f t="shared" si="2"/>
        <v>3</v>
      </c>
      <c r="M14" s="186">
        <f t="shared" si="2"/>
        <v>3</v>
      </c>
      <c r="N14" s="186">
        <f t="shared" si="2"/>
        <v>1</v>
      </c>
      <c r="O14" s="186">
        <f t="shared" si="2"/>
        <v>1</v>
      </c>
      <c r="P14" s="186">
        <f t="shared" si="2"/>
        <v>3</v>
      </c>
      <c r="Q14" s="186">
        <f t="shared" si="2"/>
        <v>3</v>
      </c>
      <c r="R14" s="186">
        <f t="shared" si="2"/>
        <v>3</v>
      </c>
      <c r="S14" s="186">
        <f t="shared" si="2"/>
        <v>1</v>
      </c>
      <c r="T14" s="186">
        <f t="shared" si="2"/>
        <v>1</v>
      </c>
      <c r="U14" s="186">
        <f t="shared" si="2"/>
        <v>1</v>
      </c>
      <c r="V14" s="186">
        <f t="shared" si="2"/>
        <v>0</v>
      </c>
      <c r="W14" s="186">
        <f t="shared" si="2"/>
        <v>1</v>
      </c>
      <c r="X14" s="186">
        <f t="shared" si="2"/>
        <v>1</v>
      </c>
    </row>
    <row r="15" spans="1:24" s="129" customFormat="1" hidden="1">
      <c r="A15" s="129" t="str">
        <f>'P1PA-SS'!A99</f>
        <v>Appraisal team member</v>
      </c>
      <c r="B15" s="131" t="str">
        <f>'P1PA-SS'!B99</f>
        <v>ATM-9</v>
      </c>
      <c r="C15" s="129" t="str">
        <f>'P1PA-SS'!V99</f>
        <v>atm9.email@gmail.com</v>
      </c>
      <c r="D15" s="128">
        <f t="shared" si="0"/>
        <v>0</v>
      </c>
      <c r="E15" s="186"/>
      <c r="F15" s="186"/>
      <c r="G15" s="186"/>
      <c r="H15" s="186"/>
      <c r="I15" s="186"/>
      <c r="J15" s="186"/>
      <c r="K15" s="186"/>
      <c r="L15" s="186"/>
      <c r="M15" s="186"/>
      <c r="N15" s="186"/>
      <c r="O15" s="186"/>
      <c r="P15" s="186"/>
      <c r="Q15" s="186"/>
      <c r="R15" s="186"/>
      <c r="S15" s="186"/>
      <c r="T15" s="186"/>
      <c r="U15" s="186"/>
      <c r="V15" s="186"/>
      <c r="W15" s="186"/>
      <c r="X15" s="186"/>
    </row>
    <row r="16" spans="1:24" s="129" customFormat="1" hidden="1">
      <c r="A16" s="129">
        <f>'P1PA-SS'!A100</f>
        <v>0</v>
      </c>
      <c r="B16" s="131">
        <f>'P1PA-SS'!B100</f>
        <v>0</v>
      </c>
      <c r="C16" s="129">
        <f>'P1PA-SS'!V100</f>
        <v>0</v>
      </c>
      <c r="D16" s="128">
        <f t="shared" si="0"/>
        <v>0</v>
      </c>
      <c r="E16" s="186"/>
      <c r="F16" s="186"/>
      <c r="G16" s="186"/>
      <c r="H16" s="186"/>
      <c r="I16" s="186"/>
      <c r="J16" s="186"/>
      <c r="K16" s="186"/>
      <c r="L16" s="186"/>
      <c r="M16" s="186"/>
      <c r="N16" s="186"/>
      <c r="O16" s="186"/>
      <c r="P16" s="186"/>
      <c r="Q16" s="186"/>
      <c r="R16" s="186"/>
      <c r="S16" s="186"/>
      <c r="T16" s="186"/>
      <c r="U16" s="186"/>
      <c r="V16" s="186"/>
      <c r="W16" s="186"/>
      <c r="X16" s="186"/>
    </row>
    <row r="17" spans="1:24" s="129" customFormat="1" hidden="1">
      <c r="D17" s="128"/>
      <c r="E17" s="186"/>
      <c r="F17" s="186"/>
      <c r="G17" s="186"/>
      <c r="H17" s="186"/>
      <c r="I17" s="186"/>
      <c r="J17" s="186"/>
      <c r="K17" s="186"/>
      <c r="L17" s="186"/>
      <c r="M17" s="186"/>
      <c r="N17" s="186"/>
      <c r="O17" s="186"/>
      <c r="P17" s="186"/>
      <c r="Q17" s="186"/>
      <c r="R17" s="186"/>
      <c r="S17" s="186"/>
      <c r="T17" s="186"/>
      <c r="U17" s="186"/>
      <c r="V17" s="186"/>
      <c r="W17" s="186"/>
      <c r="X17" s="186"/>
    </row>
    <row r="18" spans="1:24" s="129" customFormat="1" hidden="1">
      <c r="D18" s="128"/>
      <c r="E18" s="186"/>
      <c r="F18" s="186"/>
      <c r="G18" s="186"/>
      <c r="H18" s="186"/>
      <c r="I18" s="186"/>
      <c r="J18" s="186"/>
      <c r="K18" s="186"/>
      <c r="L18" s="186"/>
      <c r="M18" s="186"/>
      <c r="N18" s="186"/>
      <c r="O18" s="186"/>
      <c r="P18" s="186"/>
      <c r="Q18" s="186"/>
      <c r="R18" s="186"/>
      <c r="S18" s="186"/>
      <c r="T18" s="186"/>
      <c r="U18" s="186"/>
      <c r="V18" s="186"/>
      <c r="W18" s="186"/>
      <c r="X18" s="186"/>
    </row>
    <row r="19" spans="1:24" hidden="1">
      <c r="A19" s="131" t="str">
        <f>'P1PA-SS'!B87</f>
        <v>Miss Land, Barbara</v>
      </c>
      <c r="B19" s="131"/>
      <c r="C19" s="131" t="str">
        <f>'P1PA-SS'!V87</f>
        <v>barbara.land@email.com</v>
      </c>
      <c r="E19" s="186"/>
      <c r="F19" s="186"/>
      <c r="G19" s="186"/>
      <c r="H19" s="186"/>
      <c r="I19" s="186"/>
      <c r="J19" s="186"/>
      <c r="K19" s="186"/>
      <c r="L19" s="186"/>
      <c r="M19" s="186"/>
      <c r="N19" s="186"/>
      <c r="O19" s="186"/>
      <c r="P19" s="186"/>
      <c r="Q19" s="186"/>
      <c r="R19" s="186"/>
      <c r="S19" s="186"/>
      <c r="T19" s="186"/>
      <c r="U19" s="186"/>
      <c r="V19" s="186"/>
      <c r="W19" s="186"/>
      <c r="X19" s="186"/>
    </row>
    <row r="20" spans="1:24">
      <c r="E20" s="186"/>
      <c r="F20" s="186"/>
      <c r="G20" s="186"/>
      <c r="H20" s="186"/>
      <c r="I20" s="186"/>
      <c r="J20" s="186"/>
      <c r="K20" s="186"/>
      <c r="L20" s="186"/>
      <c r="M20" s="186"/>
      <c r="N20" s="186"/>
      <c r="O20" s="186"/>
      <c r="P20" s="186"/>
      <c r="Q20" s="186"/>
      <c r="R20" s="186"/>
      <c r="S20" s="186"/>
      <c r="T20" s="186"/>
      <c r="U20" s="186"/>
      <c r="V20" s="186"/>
      <c r="W20" s="186"/>
      <c r="X20" s="186"/>
    </row>
    <row r="21" spans="1:24">
      <c r="C21" s="282" t="s">
        <v>1657</v>
      </c>
    </row>
    <row r="22" spans="1:24">
      <c r="C22" s="420" t="s">
        <v>1658</v>
      </c>
    </row>
    <row r="23" spans="1:24">
      <c r="C23" s="149" t="s">
        <v>1659</v>
      </c>
    </row>
    <row r="24" spans="1:24">
      <c r="C24" s="284" t="s">
        <v>1660</v>
      </c>
    </row>
  </sheetData>
  <phoneticPr fontId="54" type="noConversion"/>
  <pageMargins left="0.7" right="0.7" top="0.75" bottom="0.75" header="0.3" footer="0.3"/>
  <pageSetup scale="74" fitToHeight="0" orientation="landscape"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C9A042-CE29-4370-A419-CF12CD527749}">
  <dimension ref="A1:V47"/>
  <sheetViews>
    <sheetView workbookViewId="0">
      <selection activeCell="B15" sqref="B15"/>
    </sheetView>
  </sheetViews>
  <sheetFormatPr defaultRowHeight="14.5"/>
  <cols>
    <col min="1" max="1" width="27.36328125" style="125" customWidth="1"/>
    <col min="2" max="2" width="65.6328125" style="125" customWidth="1"/>
    <col min="3" max="4" width="27.36328125" style="125" customWidth="1"/>
    <col min="5" max="16384" width="8.7265625" style="125"/>
  </cols>
  <sheetData>
    <row r="1" spans="1:22" s="117" customFormat="1">
      <c r="A1" s="118" t="s">
        <v>1435</v>
      </c>
      <c r="B1" s="118"/>
      <c r="C1" s="118"/>
      <c r="D1" s="118"/>
    </row>
    <row r="2" spans="1:22" s="117" customFormat="1">
      <c r="A2" s="28" t="s">
        <v>1424</v>
      </c>
      <c r="B2" s="29"/>
      <c r="C2" s="29"/>
      <c r="D2" s="29"/>
      <c r="E2" s="125"/>
      <c r="F2" s="125"/>
      <c r="G2" s="125"/>
      <c r="H2" s="125"/>
      <c r="I2" s="125"/>
      <c r="J2" s="125"/>
      <c r="K2" s="125"/>
      <c r="L2" s="125"/>
      <c r="M2" s="125"/>
      <c r="N2" s="125"/>
      <c r="O2" s="125"/>
      <c r="P2" s="125"/>
      <c r="Q2" s="125"/>
      <c r="R2" s="125"/>
      <c r="S2" s="125"/>
      <c r="T2" s="125"/>
      <c r="U2" s="125"/>
      <c r="V2" s="125"/>
    </row>
    <row r="3" spans="1:22">
      <c r="A3" s="125" t="s">
        <v>908</v>
      </c>
      <c r="B3" s="64" t="s">
        <v>1425</v>
      </c>
      <c r="C3" s="330" t="s">
        <v>1426</v>
      </c>
    </row>
    <row r="4" spans="1:22">
      <c r="A4" s="125" t="s">
        <v>625</v>
      </c>
      <c r="B4" s="64">
        <v>1</v>
      </c>
      <c r="C4" s="330" t="str">
        <f t="shared" ref="C4:C20" si="0">_xlfn.CONCAT(A4, " (",B4,")")</f>
        <v>ATL (1)</v>
      </c>
    </row>
    <row r="5" spans="1:22">
      <c r="A5" s="125" t="s">
        <v>1020</v>
      </c>
      <c r="B5" s="64">
        <v>4</v>
      </c>
      <c r="C5" s="330" t="str">
        <f t="shared" si="0"/>
        <v>ATM (4)</v>
      </c>
    </row>
    <row r="6" spans="1:22">
      <c r="A6" s="125" t="s">
        <v>751</v>
      </c>
      <c r="B6" s="64">
        <v>1</v>
      </c>
      <c r="C6" s="330" t="str">
        <f t="shared" si="0"/>
        <v>CM (1)</v>
      </c>
    </row>
    <row r="7" spans="1:22">
      <c r="A7" s="125" t="s">
        <v>1404</v>
      </c>
      <c r="B7" s="64">
        <v>6</v>
      </c>
      <c r="C7" s="330" t="str">
        <f t="shared" si="0"/>
        <v>Engineers (6)</v>
      </c>
    </row>
    <row r="8" spans="1:22">
      <c r="A8" s="125" t="s">
        <v>1423</v>
      </c>
      <c r="B8" s="64">
        <v>1</v>
      </c>
      <c r="C8" s="330" t="str">
        <f t="shared" si="0"/>
        <v>EPG (1)</v>
      </c>
    </row>
    <row r="9" spans="1:22">
      <c r="A9" s="125" t="s">
        <v>753</v>
      </c>
      <c r="B9" s="64">
        <v>1</v>
      </c>
      <c r="C9" s="330" t="str">
        <f t="shared" si="0"/>
        <v>OT (1)</v>
      </c>
    </row>
    <row r="10" spans="1:22">
      <c r="A10" s="125" t="s">
        <v>1428</v>
      </c>
      <c r="B10" s="64">
        <v>1</v>
      </c>
      <c r="C10" s="330" t="str">
        <f t="shared" si="0"/>
        <v>OUC (1)</v>
      </c>
    </row>
    <row r="11" spans="1:22">
      <c r="A11" s="125" t="s">
        <v>1411</v>
      </c>
      <c r="B11" s="64">
        <v>2</v>
      </c>
      <c r="C11" s="330" t="str">
        <f t="shared" si="0"/>
        <v>PMs (2)</v>
      </c>
    </row>
    <row r="12" spans="1:22">
      <c r="A12" s="125" t="s">
        <v>752</v>
      </c>
      <c r="B12" s="64">
        <v>1</v>
      </c>
      <c r="C12" s="330" t="str">
        <f t="shared" si="0"/>
        <v>PPQA (1)</v>
      </c>
    </row>
    <row r="13" spans="1:22">
      <c r="A13" s="125" t="s">
        <v>1427</v>
      </c>
      <c r="B13" s="64">
        <v>2</v>
      </c>
      <c r="C13" s="330" t="str">
        <f t="shared" si="0"/>
        <v>SM (2)</v>
      </c>
    </row>
    <row r="14" spans="1:22">
      <c r="A14" s="125" t="s">
        <v>593</v>
      </c>
      <c r="B14" s="64">
        <v>1</v>
      </c>
      <c r="C14" s="330" t="str">
        <f t="shared" si="0"/>
        <v>Sponsor (1)</v>
      </c>
    </row>
    <row r="15" spans="1:22">
      <c r="A15" s="125" t="s">
        <v>1429</v>
      </c>
      <c r="B15" s="64">
        <v>1</v>
      </c>
      <c r="C15" s="330" t="str">
        <f t="shared" si="0"/>
        <v>RI (1)</v>
      </c>
    </row>
    <row r="16" spans="1:22">
      <c r="A16" s="125" t="s">
        <v>1430</v>
      </c>
      <c r="B16" s="330">
        <f>B7+B6</f>
        <v>7</v>
      </c>
      <c r="C16" s="330" t="str">
        <f t="shared" si="0"/>
        <v>ParticipantsPrelim1 (7)</v>
      </c>
    </row>
    <row r="17" spans="1:22">
      <c r="A17" s="125" t="s">
        <v>1431</v>
      </c>
      <c r="B17" s="330">
        <f>B8+B9+B11+B12</f>
        <v>5</v>
      </c>
      <c r="C17" s="330" t="str">
        <f t="shared" si="0"/>
        <v>ParticipantsPrelim2 (5)</v>
      </c>
    </row>
    <row r="18" spans="1:22">
      <c r="A18" s="125" t="s">
        <v>1434</v>
      </c>
      <c r="B18" s="64">
        <v>5</v>
      </c>
      <c r="C18" s="330" t="str">
        <f t="shared" si="0"/>
        <v>ParticipantsTechTest (5)</v>
      </c>
    </row>
    <row r="19" spans="1:22">
      <c r="A19" s="125" t="s">
        <v>1432</v>
      </c>
      <c r="B19" s="330">
        <f>B13+B12+B11+B10+B9+B7+B6+B5</f>
        <v>18</v>
      </c>
      <c r="C19" s="330" t="str">
        <f t="shared" si="0"/>
        <v>ParticipantsOpen (18)</v>
      </c>
    </row>
    <row r="20" spans="1:22">
      <c r="A20" s="125" t="s">
        <v>1433</v>
      </c>
      <c r="B20" s="330">
        <f>B14+B13+B12+B11+B10+B8+B7+B6</f>
        <v>15</v>
      </c>
      <c r="C20" s="330" t="str">
        <f t="shared" si="0"/>
        <v>ParticipantsFinal (15)</v>
      </c>
    </row>
    <row r="21" spans="1:22" s="238" customFormat="1">
      <c r="B21" s="331"/>
      <c r="C21" s="331"/>
    </row>
    <row r="22" spans="1:22" s="117" customFormat="1">
      <c r="A22" s="28" t="s">
        <v>1436</v>
      </c>
      <c r="B22" s="29"/>
      <c r="C22" s="29"/>
      <c r="D22" s="29"/>
      <c r="E22" s="125"/>
      <c r="F22" s="125"/>
      <c r="G22" s="125"/>
      <c r="H22" s="125"/>
      <c r="I22" s="125"/>
      <c r="J22" s="125"/>
      <c r="K22" s="125"/>
      <c r="L22" s="125"/>
      <c r="M22" s="125"/>
      <c r="N22" s="125"/>
      <c r="O22" s="125"/>
      <c r="P22" s="125"/>
      <c r="Q22" s="125"/>
      <c r="R22" s="125"/>
      <c r="S22" s="125"/>
      <c r="T22" s="125"/>
      <c r="U22" s="125"/>
      <c r="V22" s="125"/>
    </row>
    <row r="23" spans="1:22" s="117" customFormat="1">
      <c r="A23" s="14" t="s">
        <v>1394</v>
      </c>
      <c r="B23" s="14" t="s">
        <v>1395</v>
      </c>
      <c r="C23" s="14" t="s">
        <v>1396</v>
      </c>
      <c r="D23" s="14" t="s">
        <v>1397</v>
      </c>
    </row>
    <row r="24" spans="1:22">
      <c r="A24" s="125" t="s">
        <v>1398</v>
      </c>
      <c r="B24" s="87" t="str">
        <f>C4</f>
        <v>ATL (1)</v>
      </c>
      <c r="C24" s="125" t="s">
        <v>1399</v>
      </c>
      <c r="D24" s="125">
        <v>120</v>
      </c>
    </row>
    <row r="25" spans="1:22">
      <c r="A25" s="125" t="s">
        <v>1398</v>
      </c>
      <c r="B25" s="87" t="str">
        <f>C5</f>
        <v>ATM (4)</v>
      </c>
      <c r="C25" s="125" t="s">
        <v>1399</v>
      </c>
      <c r="D25" s="125">
        <v>8</v>
      </c>
    </row>
    <row r="26" spans="1:22">
      <c r="A26" s="125" t="s">
        <v>1400</v>
      </c>
      <c r="B26" s="87" t="str">
        <f>_xlfn.CONCAT(C4,", ",C5,", ",C15)</f>
        <v>ATL (1), ATM (4), RI (1)</v>
      </c>
      <c r="C26" s="125" t="s">
        <v>1401</v>
      </c>
      <c r="D26" s="125">
        <v>8</v>
      </c>
    </row>
    <row r="27" spans="1:22">
      <c r="A27" s="125" t="s">
        <v>751</v>
      </c>
      <c r="B27" s="87" t="str">
        <f>_xlfn.CONCAT(B26,", ",C6)</f>
        <v>ATL (1), ATM (4), RI (1), CM (1)</v>
      </c>
      <c r="C27" s="125" t="s">
        <v>615</v>
      </c>
      <c r="D27" s="125">
        <v>1</v>
      </c>
    </row>
    <row r="28" spans="1:22">
      <c r="A28" s="125" t="s">
        <v>1402</v>
      </c>
      <c r="B28" s="87" t="str">
        <f>B26</f>
        <v>ATL (1), ATM (4), RI (1)</v>
      </c>
      <c r="C28" s="125" t="s">
        <v>1403</v>
      </c>
      <c r="D28" s="125">
        <v>12</v>
      </c>
    </row>
    <row r="29" spans="1:22">
      <c r="A29" s="125" t="s">
        <v>1404</v>
      </c>
      <c r="B29" s="87" t="str">
        <f>_xlfn.CONCAT(B26,", ",C7)</f>
        <v>ATL (1), ATM (4), RI (1), Engineers (6)</v>
      </c>
      <c r="C29" s="125" t="s">
        <v>615</v>
      </c>
      <c r="D29" s="125">
        <v>3</v>
      </c>
    </row>
    <row r="30" spans="1:22">
      <c r="A30" s="125" t="s">
        <v>750</v>
      </c>
      <c r="B30" s="87" t="str">
        <f>_xlfn.CONCAT(B26,", ",C8)</f>
        <v>ATL (1), ATM (4), RI (1), EPG (1)</v>
      </c>
      <c r="C30" s="125" t="s">
        <v>615</v>
      </c>
      <c r="D30" s="125">
        <v>3</v>
      </c>
    </row>
    <row r="31" spans="1:22">
      <c r="A31" s="125" t="s">
        <v>756</v>
      </c>
      <c r="B31" s="87" t="str">
        <f>_xlfn.CONCAT(C20,", ",B25)</f>
        <v>ParticipantsFinal (15), ATM (4)</v>
      </c>
      <c r="C31" s="125" t="s">
        <v>756</v>
      </c>
      <c r="D31" s="125">
        <v>1</v>
      </c>
    </row>
    <row r="32" spans="1:22">
      <c r="A32" s="125" t="s">
        <v>1405</v>
      </c>
      <c r="B32" s="87" t="str">
        <f>B26</f>
        <v>ATL (1), ATM (4), RI (1)</v>
      </c>
      <c r="C32" s="125" t="s">
        <v>1406</v>
      </c>
      <c r="D32" s="125">
        <v>24</v>
      </c>
    </row>
    <row r="33" spans="1:4">
      <c r="A33" s="125" t="s">
        <v>1407</v>
      </c>
      <c r="B33" s="87" t="str">
        <f>_xlfn.CONCAT(C4,", ",C15,", ",C10,", ",C8)</f>
        <v>ATL (1), RI (1), OUC (1), EPG (1)</v>
      </c>
      <c r="C33" s="125" t="s">
        <v>1408</v>
      </c>
      <c r="D33" s="125">
        <v>40</v>
      </c>
    </row>
    <row r="34" spans="1:4">
      <c r="A34" s="125" t="s">
        <v>1409</v>
      </c>
      <c r="B34" s="87" t="str">
        <f>_xlfn.CONCAT(C4,", ",C15,", ",C10,", ",C8)</f>
        <v>ATL (1), RI (1), OUC (1), EPG (1)</v>
      </c>
      <c r="C34" s="125" t="s">
        <v>1408</v>
      </c>
      <c r="D34" s="125">
        <v>120</v>
      </c>
    </row>
    <row r="35" spans="1:4">
      <c r="A35" s="125" t="s">
        <v>634</v>
      </c>
      <c r="B35" s="87" t="str">
        <f>_xlfn.CONCAT(B26,", ",C19,", ",C14)</f>
        <v>ATL (1), ATM (4), RI (1), ParticipantsOpen (18), Sponsor (1)</v>
      </c>
      <c r="C35" s="125" t="s">
        <v>1410</v>
      </c>
      <c r="D35" s="125">
        <v>1</v>
      </c>
    </row>
    <row r="36" spans="1:4">
      <c r="A36" s="125" t="s">
        <v>753</v>
      </c>
      <c r="B36" s="87" t="str">
        <f>_xlfn.CONCAT(B26,", ",C9)</f>
        <v>ATL (1), ATM (4), RI (1), OT (1)</v>
      </c>
      <c r="C36" s="125" t="s">
        <v>615</v>
      </c>
      <c r="D36" s="125">
        <v>1</v>
      </c>
    </row>
    <row r="37" spans="1:4">
      <c r="A37" s="125" t="s">
        <v>1411</v>
      </c>
      <c r="B37" s="87" t="str">
        <f>_xlfn.CONCAT(B26,", ",C11)</f>
        <v>ATL (1), ATM (4), RI (1), PMs (2)</v>
      </c>
      <c r="C37" s="125" t="s">
        <v>615</v>
      </c>
      <c r="D37" s="125">
        <v>3</v>
      </c>
    </row>
    <row r="38" spans="1:4">
      <c r="A38" s="125" t="s">
        <v>752</v>
      </c>
      <c r="B38" s="87" t="str">
        <f>_xlfn.CONCAT(B26,", ",C12)</f>
        <v>ATL (1), ATM (4), RI (1), PPQA (1)</v>
      </c>
      <c r="C38" s="125" t="s">
        <v>615</v>
      </c>
      <c r="D38" s="125">
        <v>1</v>
      </c>
    </row>
    <row r="39" spans="1:4">
      <c r="A39" s="125" t="s">
        <v>1412</v>
      </c>
      <c r="B39" s="87" t="str">
        <f>_xlfn.CONCAT(B26,", ",C16)</f>
        <v>ATL (1), ATM (4), RI (1), ParticipantsPrelim1 (7)</v>
      </c>
      <c r="C39" s="125" t="s">
        <v>755</v>
      </c>
      <c r="D39" s="125">
        <v>1</v>
      </c>
    </row>
    <row r="40" spans="1:4">
      <c r="A40" s="125" t="s">
        <v>1413</v>
      </c>
      <c r="B40" s="87" t="str">
        <f>_xlfn.CONCAT(B26,", ",C17)</f>
        <v>ATL (1), ATM (4), RI (1), ParticipantsPrelim2 (5)</v>
      </c>
      <c r="C40" s="125" t="s">
        <v>755</v>
      </c>
      <c r="D40" s="125">
        <v>1</v>
      </c>
    </row>
    <row r="41" spans="1:4">
      <c r="A41" s="125" t="s">
        <v>1414</v>
      </c>
      <c r="B41" s="87" t="str">
        <f>B26</f>
        <v>ATL (1), ATM (4), RI (1)</v>
      </c>
      <c r="C41" s="125" t="s">
        <v>1415</v>
      </c>
      <c r="D41" s="125">
        <v>4</v>
      </c>
    </row>
    <row r="42" spans="1:4">
      <c r="A42" s="125" t="s">
        <v>1416</v>
      </c>
      <c r="B42" s="87" t="str">
        <f>B26</f>
        <v>ATL (1), ATM (4), RI (1)</v>
      </c>
      <c r="C42" s="125" t="s">
        <v>1415</v>
      </c>
      <c r="D42" s="125">
        <v>8</v>
      </c>
    </row>
    <row r="43" spans="1:4">
      <c r="A43" s="125" t="s">
        <v>1417</v>
      </c>
      <c r="B43" s="87" t="str">
        <f>_xlfn.CONCAT(B26,", ",C20,", ",C14)</f>
        <v>ATL (1), ATM (4), RI (1), ParticipantsFinal (15), Sponsor (1)</v>
      </c>
      <c r="C43" s="125" t="s">
        <v>1418</v>
      </c>
      <c r="D43" s="125">
        <v>4</v>
      </c>
    </row>
    <row r="44" spans="1:4">
      <c r="A44" s="125" t="s">
        <v>933</v>
      </c>
      <c r="B44" s="87" t="str">
        <f>B26</f>
        <v>ATL (1), ATM (4), RI (1)</v>
      </c>
      <c r="C44" s="125" t="s">
        <v>1419</v>
      </c>
      <c r="D44" s="125">
        <v>18</v>
      </c>
    </row>
    <row r="45" spans="1:4">
      <c r="A45" s="125" t="s">
        <v>1420</v>
      </c>
      <c r="B45" s="87" t="str">
        <f>_xlfn.CONCAT(B26,", ",C13)</f>
        <v>ATL (1), ATM (4), RI (1), SM (2)</v>
      </c>
      <c r="C45" s="125" t="s">
        <v>615</v>
      </c>
      <c r="D45" s="125">
        <v>1</v>
      </c>
    </row>
    <row r="46" spans="1:4">
      <c r="A46" s="125" t="s">
        <v>1421</v>
      </c>
      <c r="B46" s="87" t="str">
        <f>_xlfn.CONCAT(B26,", ",C14)</f>
        <v>ATL (1), ATM (4), RI (1), Sponsor (1)</v>
      </c>
      <c r="C46" s="125" t="s">
        <v>1399</v>
      </c>
      <c r="D46" s="125">
        <v>5</v>
      </c>
    </row>
    <row r="47" spans="1:4">
      <c r="A47" s="125" t="s">
        <v>1422</v>
      </c>
      <c r="B47" s="87" t="str">
        <f>_xlfn.CONCAT(B26,", ",C18)</f>
        <v>ATL (1), ATM (4), RI (1), ParticipantsTechTest (5)</v>
      </c>
      <c r="C47" s="125" t="s">
        <v>1422</v>
      </c>
      <c r="D47" s="125">
        <v>1</v>
      </c>
    </row>
  </sheetData>
  <sortState xmlns:xlrd2="http://schemas.microsoft.com/office/spreadsheetml/2017/richdata2" ref="A4:D15">
    <sortCondition ref="A4:A15"/>
  </sortState>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4F864F-0949-4B4C-B12C-C627FC3C56B2}">
  <dimension ref="A1:P5"/>
  <sheetViews>
    <sheetView workbookViewId="0">
      <selection activeCell="D18" sqref="D18"/>
    </sheetView>
  </sheetViews>
  <sheetFormatPr defaultRowHeight="14.5"/>
  <cols>
    <col min="1" max="3" width="13.6328125" customWidth="1"/>
    <col min="4" max="4" width="54.453125" customWidth="1"/>
    <col min="5" max="9" width="13.6328125" customWidth="1"/>
    <col min="10" max="10" width="16.90625" customWidth="1"/>
    <col min="11" max="21" width="13.6328125" customWidth="1"/>
  </cols>
  <sheetData>
    <row r="1" spans="1:16" ht="87">
      <c r="A1" t="s">
        <v>1336</v>
      </c>
      <c r="B1" t="s">
        <v>1319</v>
      </c>
      <c r="C1" s="283" t="s">
        <v>1320</v>
      </c>
      <c r="D1" t="s">
        <v>1337</v>
      </c>
      <c r="E1" t="s">
        <v>1338</v>
      </c>
      <c r="F1" s="283" t="s">
        <v>1323</v>
      </c>
      <c r="G1" s="283" t="s">
        <v>1324</v>
      </c>
      <c r="H1" t="s">
        <v>1339</v>
      </c>
      <c r="I1" t="s">
        <v>1340</v>
      </c>
      <c r="J1" t="s">
        <v>1341</v>
      </c>
      <c r="K1" t="s">
        <v>31</v>
      </c>
      <c r="L1" t="s">
        <v>32</v>
      </c>
      <c r="M1" t="s">
        <v>33</v>
      </c>
      <c r="N1" t="s">
        <v>34</v>
      </c>
      <c r="O1" t="s">
        <v>35</v>
      </c>
      <c r="P1" t="s">
        <v>17</v>
      </c>
    </row>
    <row r="2" spans="1:16">
      <c r="A2" t="s">
        <v>1360</v>
      </c>
      <c r="B2" t="s">
        <v>1343</v>
      </c>
      <c r="C2">
        <v>1</v>
      </c>
      <c r="D2" t="s">
        <v>1551</v>
      </c>
      <c r="E2" t="s">
        <v>388</v>
      </c>
      <c r="H2" t="s">
        <v>1358</v>
      </c>
      <c r="I2" t="s">
        <v>388</v>
      </c>
      <c r="J2" t="s">
        <v>1575</v>
      </c>
      <c r="K2" t="s">
        <v>1607</v>
      </c>
      <c r="L2" t="s">
        <v>1606</v>
      </c>
      <c r="M2" t="s">
        <v>1594</v>
      </c>
      <c r="N2" t="s">
        <v>1595</v>
      </c>
      <c r="O2" t="s">
        <v>1611</v>
      </c>
      <c r="P2" t="s">
        <v>18</v>
      </c>
    </row>
    <row r="3" spans="1:16">
      <c r="A3" t="s">
        <v>1361</v>
      </c>
      <c r="B3" t="s">
        <v>1343</v>
      </c>
      <c r="C3">
        <v>2</v>
      </c>
      <c r="D3" t="s">
        <v>1552</v>
      </c>
      <c r="E3" t="s">
        <v>388</v>
      </c>
      <c r="H3" t="s">
        <v>1358</v>
      </c>
      <c r="I3" t="s">
        <v>388</v>
      </c>
      <c r="J3" t="s">
        <v>1576</v>
      </c>
      <c r="K3" t="s">
        <v>1607</v>
      </c>
      <c r="L3" t="s">
        <v>1606</v>
      </c>
      <c r="M3" t="s">
        <v>1594</v>
      </c>
      <c r="N3" t="s">
        <v>1595</v>
      </c>
      <c r="O3" t="s">
        <v>1611</v>
      </c>
      <c r="P3" t="s">
        <v>18</v>
      </c>
    </row>
    <row r="4" spans="1:16">
      <c r="A4" t="s">
        <v>1362</v>
      </c>
      <c r="B4" t="s">
        <v>1343</v>
      </c>
      <c r="C4">
        <v>1</v>
      </c>
      <c r="D4" t="s">
        <v>1553</v>
      </c>
      <c r="E4" t="s">
        <v>388</v>
      </c>
      <c r="H4" t="s">
        <v>1358</v>
      </c>
      <c r="I4" t="s">
        <v>388</v>
      </c>
      <c r="J4" t="s">
        <v>1577</v>
      </c>
      <c r="K4" t="s">
        <v>1607</v>
      </c>
      <c r="L4" t="s">
        <v>1606</v>
      </c>
      <c r="M4" t="s">
        <v>1594</v>
      </c>
      <c r="N4" t="s">
        <v>1595</v>
      </c>
      <c r="O4" t="s">
        <v>1611</v>
      </c>
      <c r="P4" t="s">
        <v>18</v>
      </c>
    </row>
    <row r="5" spans="1:16">
      <c r="A5" t="s">
        <v>1363</v>
      </c>
      <c r="B5" t="s">
        <v>1343</v>
      </c>
      <c r="C5">
        <v>1</v>
      </c>
      <c r="D5" t="s">
        <v>1554</v>
      </c>
      <c r="E5" t="s">
        <v>388</v>
      </c>
      <c r="H5" t="s">
        <v>1358</v>
      </c>
      <c r="I5" t="s">
        <v>388</v>
      </c>
      <c r="J5" t="s">
        <v>1578</v>
      </c>
      <c r="K5" t="s">
        <v>1607</v>
      </c>
      <c r="L5" t="s">
        <v>1606</v>
      </c>
      <c r="M5" t="s">
        <v>1594</v>
      </c>
      <c r="N5" t="s">
        <v>1595</v>
      </c>
      <c r="O5" t="s">
        <v>1611</v>
      </c>
      <c r="P5" t="s">
        <v>18</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8040D-D590-431D-837C-D1C7E9C2A4F8}">
  <dimension ref="A1:T5"/>
  <sheetViews>
    <sheetView workbookViewId="0">
      <selection activeCell="G17" sqref="G17"/>
    </sheetView>
  </sheetViews>
  <sheetFormatPr defaultRowHeight="24" customHeight="1"/>
  <cols>
    <col min="4" max="4" width="34.81640625" customWidth="1"/>
    <col min="11" max="11" width="12.81640625" bestFit="1" customWidth="1"/>
    <col min="12" max="12" width="15.54296875" bestFit="1" customWidth="1"/>
  </cols>
  <sheetData>
    <row r="1" spans="1:20" ht="24" customHeight="1">
      <c r="A1" t="s">
        <v>1318</v>
      </c>
      <c r="B1" t="s">
        <v>1319</v>
      </c>
      <c r="C1" s="283" t="s">
        <v>1320</v>
      </c>
      <c r="D1" t="s">
        <v>1321</v>
      </c>
      <c r="E1" t="s">
        <v>1322</v>
      </c>
      <c r="F1" s="283" t="s">
        <v>1323</v>
      </c>
      <c r="G1" s="283" t="s">
        <v>1324</v>
      </c>
      <c r="H1" t="s">
        <v>1325</v>
      </c>
      <c r="I1" s="283" t="s">
        <v>1326</v>
      </c>
      <c r="J1" s="283" t="s">
        <v>1327</v>
      </c>
      <c r="K1" s="283" t="s">
        <v>1328</v>
      </c>
      <c r="L1" s="283" t="s">
        <v>1329</v>
      </c>
      <c r="M1" t="s">
        <v>1330</v>
      </c>
      <c r="N1" s="283" t="s">
        <v>1331</v>
      </c>
      <c r="O1" t="s">
        <v>1332</v>
      </c>
      <c r="P1" t="s">
        <v>32</v>
      </c>
      <c r="Q1" t="s">
        <v>1333</v>
      </c>
      <c r="R1" t="s">
        <v>34</v>
      </c>
      <c r="S1" t="s">
        <v>35</v>
      </c>
      <c r="T1" t="s">
        <v>1334</v>
      </c>
    </row>
    <row r="2" spans="1:20" ht="24" customHeight="1">
      <c r="A2" t="s">
        <v>1544</v>
      </c>
      <c r="C2">
        <v>5</v>
      </c>
      <c r="D2" t="s">
        <v>1543</v>
      </c>
      <c r="E2" t="s">
        <v>388</v>
      </c>
      <c r="H2" t="s">
        <v>1358</v>
      </c>
      <c r="I2" t="s">
        <v>1346</v>
      </c>
      <c r="J2" t="s">
        <v>1150</v>
      </c>
      <c r="K2" s="323">
        <v>44021</v>
      </c>
      <c r="L2" s="323">
        <v>44260</v>
      </c>
      <c r="M2" t="s">
        <v>388</v>
      </c>
      <c r="N2" t="s">
        <v>1559</v>
      </c>
      <c r="O2" t="s">
        <v>1607</v>
      </c>
      <c r="P2" t="s">
        <v>1606</v>
      </c>
      <c r="Q2" t="s">
        <v>1594</v>
      </c>
      <c r="R2" t="s">
        <v>1595</v>
      </c>
      <c r="S2" t="s">
        <v>1611</v>
      </c>
      <c r="T2" t="s">
        <v>18</v>
      </c>
    </row>
    <row r="3" spans="1:20" ht="24" customHeight="1">
      <c r="A3" t="s">
        <v>1545</v>
      </c>
      <c r="C3">
        <v>5</v>
      </c>
      <c r="D3" t="s">
        <v>1546</v>
      </c>
      <c r="E3" t="s">
        <v>388</v>
      </c>
      <c r="H3" t="s">
        <v>1358</v>
      </c>
      <c r="I3" t="s">
        <v>1346</v>
      </c>
      <c r="J3" t="s">
        <v>1150</v>
      </c>
      <c r="K3" s="323">
        <v>44086</v>
      </c>
      <c r="L3" s="323">
        <v>44258</v>
      </c>
      <c r="M3" t="s">
        <v>388</v>
      </c>
      <c r="N3" t="s">
        <v>1564</v>
      </c>
      <c r="O3" t="s">
        <v>1607</v>
      </c>
      <c r="P3" t="s">
        <v>1606</v>
      </c>
      <c r="Q3" t="s">
        <v>1594</v>
      </c>
      <c r="R3" t="s">
        <v>1595</v>
      </c>
      <c r="S3" t="s">
        <v>1611</v>
      </c>
      <c r="T3" t="s">
        <v>18</v>
      </c>
    </row>
    <row r="4" spans="1:20" ht="24" customHeight="1">
      <c r="A4" t="s">
        <v>1547</v>
      </c>
      <c r="C4">
        <v>5</v>
      </c>
      <c r="D4" t="s">
        <v>1548</v>
      </c>
      <c r="E4" t="s">
        <v>388</v>
      </c>
      <c r="H4" t="s">
        <v>1358</v>
      </c>
      <c r="I4" t="s">
        <v>1346</v>
      </c>
      <c r="J4" t="s">
        <v>1150</v>
      </c>
      <c r="K4" s="323">
        <v>44062</v>
      </c>
      <c r="L4" s="323">
        <v>44247</v>
      </c>
      <c r="M4" t="s">
        <v>388</v>
      </c>
      <c r="N4" t="s">
        <v>1569</v>
      </c>
      <c r="O4" t="s">
        <v>1607</v>
      </c>
      <c r="P4" t="s">
        <v>1606</v>
      </c>
      <c r="Q4" t="s">
        <v>1594</v>
      </c>
      <c r="R4" t="s">
        <v>1595</v>
      </c>
      <c r="S4" t="s">
        <v>1611</v>
      </c>
      <c r="T4" t="s">
        <v>18</v>
      </c>
    </row>
    <row r="5" spans="1:20" ht="24" customHeight="1">
      <c r="A5" t="s">
        <v>1549</v>
      </c>
      <c r="C5">
        <v>5</v>
      </c>
      <c r="D5" t="s">
        <v>1550</v>
      </c>
      <c r="E5" t="s">
        <v>388</v>
      </c>
      <c r="H5" t="s">
        <v>1358</v>
      </c>
      <c r="I5" t="s">
        <v>1346</v>
      </c>
      <c r="J5" t="s">
        <v>1150</v>
      </c>
      <c r="K5" s="323">
        <v>44116</v>
      </c>
      <c r="L5" s="323">
        <v>44265</v>
      </c>
      <c r="M5" t="s">
        <v>388</v>
      </c>
      <c r="N5" t="s">
        <v>1574</v>
      </c>
      <c r="O5" t="s">
        <v>1607</v>
      </c>
      <c r="P5" t="s">
        <v>1606</v>
      </c>
      <c r="Q5" t="s">
        <v>1594</v>
      </c>
      <c r="R5" t="s">
        <v>1595</v>
      </c>
      <c r="S5" t="s">
        <v>1611</v>
      </c>
      <c r="T5" t="s">
        <v>18</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3010A-FBC7-4D28-8DE1-FC307AD86FBC}">
  <dimension ref="A1:C11"/>
  <sheetViews>
    <sheetView workbookViewId="0">
      <selection activeCell="B21" sqref="B21"/>
    </sheetView>
  </sheetViews>
  <sheetFormatPr defaultRowHeight="14.5"/>
  <cols>
    <col min="1" max="3" width="35.26953125" customWidth="1"/>
  </cols>
  <sheetData>
    <row r="1" spans="1:3">
      <c r="A1" t="s">
        <v>1296</v>
      </c>
      <c r="B1" t="s">
        <v>1297</v>
      </c>
      <c r="C1" t="s">
        <v>1298</v>
      </c>
    </row>
    <row r="2" spans="1:3">
      <c r="A2" t="s">
        <v>1557</v>
      </c>
      <c r="B2" t="s">
        <v>1155</v>
      </c>
      <c r="C2" t="s">
        <v>1358</v>
      </c>
    </row>
    <row r="3" spans="1:3">
      <c r="A3" t="s">
        <v>1556</v>
      </c>
      <c r="B3" t="s">
        <v>913</v>
      </c>
      <c r="C3" t="s">
        <v>1358</v>
      </c>
    </row>
    <row r="4" spans="1:3">
      <c r="A4" t="s">
        <v>1560</v>
      </c>
      <c r="B4" t="s">
        <v>912</v>
      </c>
      <c r="C4" t="s">
        <v>1358</v>
      </c>
    </row>
    <row r="5" spans="1:3">
      <c r="A5" t="s">
        <v>1562</v>
      </c>
      <c r="B5" t="s">
        <v>1155</v>
      </c>
      <c r="C5" t="s">
        <v>1358</v>
      </c>
    </row>
    <row r="6" spans="1:3">
      <c r="A6" t="s">
        <v>1569</v>
      </c>
      <c r="B6" t="s">
        <v>1369</v>
      </c>
      <c r="C6" t="s">
        <v>1358</v>
      </c>
    </row>
    <row r="7" spans="1:3">
      <c r="A7" t="s">
        <v>1574</v>
      </c>
      <c r="B7" t="s">
        <v>1369</v>
      </c>
      <c r="C7" t="s">
        <v>1358</v>
      </c>
    </row>
    <row r="8" spans="1:3">
      <c r="A8" t="s">
        <v>1575</v>
      </c>
      <c r="B8" t="s">
        <v>1368</v>
      </c>
      <c r="C8" t="s">
        <v>1358</v>
      </c>
    </row>
    <row r="9" spans="1:3">
      <c r="A9" t="s">
        <v>1576</v>
      </c>
      <c r="B9" t="s">
        <v>1370</v>
      </c>
      <c r="C9" t="s">
        <v>1358</v>
      </c>
    </row>
    <row r="10" spans="1:3">
      <c r="A10" t="s">
        <v>1577</v>
      </c>
      <c r="B10" t="s">
        <v>1367</v>
      </c>
      <c r="C10" t="s">
        <v>1358</v>
      </c>
    </row>
    <row r="11" spans="1:3">
      <c r="A11" t="s">
        <v>1578</v>
      </c>
      <c r="B11" t="s">
        <v>1250</v>
      </c>
      <c r="C11" t="s">
        <v>1358</v>
      </c>
    </row>
  </sheetData>
  <sortState xmlns:xlrd2="http://schemas.microsoft.com/office/spreadsheetml/2017/richdata2" ref="A2:C12">
    <sortCondition ref="A2:A12"/>
  </sortState>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FB60C2-02FE-4132-B41A-21EF9FB400DD}">
  <dimension ref="A1:I11"/>
  <sheetViews>
    <sheetView workbookViewId="0">
      <selection activeCell="K34" sqref="K34"/>
    </sheetView>
  </sheetViews>
  <sheetFormatPr defaultRowHeight="14.5"/>
  <cols>
    <col min="1" max="1" width="35.81640625" customWidth="1"/>
    <col min="2" max="10" width="8.08984375" customWidth="1"/>
  </cols>
  <sheetData>
    <row r="1" spans="1:9">
      <c r="A1" t="s">
        <v>922</v>
      </c>
      <c r="B1" t="s">
        <v>1544</v>
      </c>
      <c r="C1" t="s">
        <v>1545</v>
      </c>
      <c r="D1" t="s">
        <v>1547</v>
      </c>
      <c r="E1" t="s">
        <v>1549</v>
      </c>
      <c r="F1" t="s">
        <v>1360</v>
      </c>
      <c r="G1" t="s">
        <v>1361</v>
      </c>
      <c r="H1" t="s">
        <v>1362</v>
      </c>
      <c r="I1" t="s">
        <v>1363</v>
      </c>
    </row>
    <row r="2" spans="1:9">
      <c r="A2" t="s">
        <v>1557</v>
      </c>
      <c r="B2" t="s">
        <v>1315</v>
      </c>
    </row>
    <row r="3" spans="1:9">
      <c r="A3" t="s">
        <v>1556</v>
      </c>
      <c r="B3" t="s">
        <v>1315</v>
      </c>
    </row>
    <row r="4" spans="1:9">
      <c r="A4" t="s">
        <v>1560</v>
      </c>
      <c r="C4" t="s">
        <v>1315</v>
      </c>
    </row>
    <row r="5" spans="1:9">
      <c r="A5" t="s">
        <v>1562</v>
      </c>
      <c r="C5" t="s">
        <v>1315</v>
      </c>
    </row>
    <row r="6" spans="1:9">
      <c r="A6" t="s">
        <v>1569</v>
      </c>
      <c r="D6" t="s">
        <v>1315</v>
      </c>
    </row>
    <row r="7" spans="1:9">
      <c r="A7" t="s">
        <v>1574</v>
      </c>
      <c r="E7" t="s">
        <v>1315</v>
      </c>
    </row>
    <row r="8" spans="1:9">
      <c r="A8" t="s">
        <v>1575</v>
      </c>
      <c r="F8" t="s">
        <v>1315</v>
      </c>
    </row>
    <row r="9" spans="1:9">
      <c r="A9" t="s">
        <v>1576</v>
      </c>
      <c r="G9" t="s">
        <v>1315</v>
      </c>
    </row>
    <row r="10" spans="1:9">
      <c r="A10" t="s">
        <v>1577</v>
      </c>
      <c r="H10" t="s">
        <v>1315</v>
      </c>
    </row>
    <row r="11" spans="1:9">
      <c r="A11" t="s">
        <v>1578</v>
      </c>
      <c r="I11" t="s">
        <v>1315</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C6FBA6-9CEE-429C-83EB-7F4224CD7FE6}">
  <dimension ref="A1:T11"/>
  <sheetViews>
    <sheetView workbookViewId="0">
      <selection activeCell="G25" sqref="G25"/>
    </sheetView>
  </sheetViews>
  <sheetFormatPr defaultRowHeight="14.5"/>
  <cols>
    <col min="1" max="1" width="33.1796875" customWidth="1"/>
    <col min="2" max="20" width="6.36328125" customWidth="1"/>
  </cols>
  <sheetData>
    <row r="1" spans="1:20">
      <c r="A1" t="s">
        <v>922</v>
      </c>
      <c r="B1" t="s">
        <v>886</v>
      </c>
      <c r="C1" t="s">
        <v>836</v>
      </c>
      <c r="D1" t="s">
        <v>887</v>
      </c>
      <c r="E1" t="s">
        <v>885</v>
      </c>
      <c r="F1" t="s">
        <v>884</v>
      </c>
      <c r="G1" t="s">
        <v>883</v>
      </c>
      <c r="H1" t="s">
        <v>892</v>
      </c>
      <c r="I1" t="s">
        <v>894</v>
      </c>
      <c r="J1" t="s">
        <v>893</v>
      </c>
      <c r="K1" t="s">
        <v>891</v>
      </c>
      <c r="L1" t="s">
        <v>753</v>
      </c>
      <c r="M1" t="s">
        <v>895</v>
      </c>
      <c r="N1" t="s">
        <v>896</v>
      </c>
      <c r="O1" t="s">
        <v>751</v>
      </c>
      <c r="P1" t="s">
        <v>890</v>
      </c>
      <c r="Q1" t="s">
        <v>889</v>
      </c>
      <c r="R1" t="s">
        <v>888</v>
      </c>
      <c r="S1" t="s">
        <v>910</v>
      </c>
      <c r="T1" t="s">
        <v>911</v>
      </c>
    </row>
    <row r="2" spans="1:20">
      <c r="A2" t="s">
        <v>1557</v>
      </c>
      <c r="D2" t="s">
        <v>1315</v>
      </c>
      <c r="E2" t="s">
        <v>1315</v>
      </c>
      <c r="F2" t="s">
        <v>1315</v>
      </c>
      <c r="G2" t="s">
        <v>1315</v>
      </c>
    </row>
    <row r="3" spans="1:20">
      <c r="A3" t="s">
        <v>1556</v>
      </c>
      <c r="E3" t="s">
        <v>1315</v>
      </c>
      <c r="F3" t="s">
        <v>1315</v>
      </c>
    </row>
    <row r="4" spans="1:20">
      <c r="A4" t="s">
        <v>1560</v>
      </c>
      <c r="B4" t="s">
        <v>1315</v>
      </c>
      <c r="E4" t="s">
        <v>1315</v>
      </c>
    </row>
    <row r="5" spans="1:20">
      <c r="A5" t="s">
        <v>1562</v>
      </c>
      <c r="D5" t="s">
        <v>1315</v>
      </c>
      <c r="E5" t="s">
        <v>1315</v>
      </c>
      <c r="F5" t="s">
        <v>1315</v>
      </c>
      <c r="G5" t="s">
        <v>1315</v>
      </c>
    </row>
    <row r="6" spans="1:20">
      <c r="A6" t="s">
        <v>1569</v>
      </c>
      <c r="E6" t="s">
        <v>1315</v>
      </c>
      <c r="H6" t="s">
        <v>1315</v>
      </c>
      <c r="I6" t="s">
        <v>1315</v>
      </c>
      <c r="J6" t="s">
        <v>1315</v>
      </c>
      <c r="K6" t="s">
        <v>1315</v>
      </c>
      <c r="M6" t="s">
        <v>1315</v>
      </c>
      <c r="N6" t="s">
        <v>1315</v>
      </c>
    </row>
    <row r="7" spans="1:20">
      <c r="A7" t="s">
        <v>1574</v>
      </c>
      <c r="E7" t="s">
        <v>1315</v>
      </c>
      <c r="H7" t="s">
        <v>1315</v>
      </c>
      <c r="I7" t="s">
        <v>1315</v>
      </c>
      <c r="J7" t="s">
        <v>1315</v>
      </c>
      <c r="K7" t="s">
        <v>1315</v>
      </c>
      <c r="M7" t="s">
        <v>1315</v>
      </c>
      <c r="N7" t="s">
        <v>1315</v>
      </c>
    </row>
    <row r="8" spans="1:20">
      <c r="A8" t="s">
        <v>1575</v>
      </c>
      <c r="O8" t="s">
        <v>1315</v>
      </c>
    </row>
    <row r="9" spans="1:20">
      <c r="A9" t="s">
        <v>1576</v>
      </c>
      <c r="M9" t="s">
        <v>1315</v>
      </c>
      <c r="N9" t="s">
        <v>1315</v>
      </c>
      <c r="P9" t="s">
        <v>1315</v>
      </c>
      <c r="Q9" t="s">
        <v>1315</v>
      </c>
      <c r="R9" t="s">
        <v>1315</v>
      </c>
    </row>
    <row r="10" spans="1:20">
      <c r="A10" t="s">
        <v>1577</v>
      </c>
      <c r="L10" t="s">
        <v>1315</v>
      </c>
    </row>
    <row r="11" spans="1:20">
      <c r="A11" t="s">
        <v>1578</v>
      </c>
      <c r="C11" t="s">
        <v>1315</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9653C2-4B0E-40F2-B228-A10F42D6D88B}">
  <sheetPr codeName="Sheet34"/>
  <dimension ref="B2:AB89"/>
  <sheetViews>
    <sheetView topLeftCell="B1" workbookViewId="0">
      <selection activeCell="K15" sqref="K15"/>
    </sheetView>
  </sheetViews>
  <sheetFormatPr defaultColWidth="8.7265625" defaultRowHeight="14.5"/>
  <cols>
    <col min="1" max="22" width="8.7265625" style="196"/>
    <col min="23" max="23" width="8.7265625" style="196" hidden="1" customWidth="1"/>
    <col min="24" max="16384" width="8.7265625" style="196"/>
  </cols>
  <sheetData>
    <row r="2" spans="2:28" ht="93">
      <c r="B2" s="506" t="s">
        <v>1086</v>
      </c>
      <c r="C2" s="506" t="s">
        <v>1087</v>
      </c>
      <c r="D2" s="497" t="s">
        <v>1088</v>
      </c>
      <c r="E2" s="499"/>
      <c r="F2" s="500" t="s">
        <v>1089</v>
      </c>
      <c r="G2" s="502"/>
      <c r="H2" s="497" t="s">
        <v>1090</v>
      </c>
      <c r="I2" s="498"/>
      <c r="J2" s="498"/>
      <c r="K2" s="499"/>
      <c r="L2" s="500" t="s">
        <v>1091</v>
      </c>
      <c r="M2" s="501"/>
      <c r="N2" s="502"/>
      <c r="O2" s="210" t="s">
        <v>1092</v>
      </c>
      <c r="P2" s="211" t="s">
        <v>1093</v>
      </c>
      <c r="Q2" s="497" t="s">
        <v>1094</v>
      </c>
      <c r="R2" s="498"/>
      <c r="S2" s="499"/>
      <c r="T2" s="500" t="s">
        <v>1095</v>
      </c>
      <c r="U2" s="501"/>
      <c r="V2" s="502"/>
      <c r="W2" s="207" t="s">
        <v>1096</v>
      </c>
    </row>
    <row r="3" spans="2:28" ht="15.5">
      <c r="B3" s="507"/>
      <c r="C3" s="507"/>
      <c r="D3" s="285" t="s">
        <v>910</v>
      </c>
      <c r="E3" s="285" t="s">
        <v>911</v>
      </c>
      <c r="F3" s="286" t="s">
        <v>884</v>
      </c>
      <c r="G3" s="286" t="s">
        <v>883</v>
      </c>
      <c r="H3" s="285" t="s">
        <v>885</v>
      </c>
      <c r="I3" s="285" t="s">
        <v>887</v>
      </c>
      <c r="J3" s="285" t="s">
        <v>836</v>
      </c>
      <c r="K3" s="285" t="s">
        <v>886</v>
      </c>
      <c r="L3" s="286" t="s">
        <v>890</v>
      </c>
      <c r="M3" s="286" t="s">
        <v>889</v>
      </c>
      <c r="N3" s="286" t="s">
        <v>888</v>
      </c>
      <c r="O3" s="285" t="s">
        <v>891</v>
      </c>
      <c r="P3" s="286" t="s">
        <v>753</v>
      </c>
      <c r="Q3" s="285" t="s">
        <v>893</v>
      </c>
      <c r="R3" s="285" t="s">
        <v>894</v>
      </c>
      <c r="S3" s="285" t="s">
        <v>892</v>
      </c>
      <c r="T3" s="286" t="s">
        <v>895</v>
      </c>
      <c r="U3" s="286" t="s">
        <v>896</v>
      </c>
      <c r="V3" s="286" t="s">
        <v>751</v>
      </c>
      <c r="W3" s="207" t="s">
        <v>897</v>
      </c>
    </row>
    <row r="4" spans="2:28" ht="12" customHeight="1">
      <c r="B4" s="203"/>
      <c r="C4" s="203"/>
      <c r="D4" s="203"/>
      <c r="E4" s="203"/>
      <c r="F4" s="203"/>
      <c r="G4" s="203"/>
      <c r="H4" s="203"/>
      <c r="I4" s="203"/>
      <c r="J4" s="203"/>
      <c r="K4" s="203"/>
      <c r="L4" s="203"/>
      <c r="M4" s="203"/>
      <c r="N4" s="203"/>
      <c r="O4" s="203"/>
      <c r="P4" s="203"/>
      <c r="Q4" s="203"/>
      <c r="R4" s="203"/>
      <c r="S4" s="203"/>
      <c r="T4" s="203"/>
      <c r="U4" s="203"/>
      <c r="V4" s="203"/>
      <c r="W4" s="197"/>
    </row>
    <row r="5" spans="2:28" ht="15.5">
      <c r="B5" s="503" t="s">
        <v>1097</v>
      </c>
      <c r="C5" s="214"/>
      <c r="D5" s="288"/>
      <c r="E5" s="288"/>
      <c r="F5" s="288"/>
      <c r="G5" s="288"/>
      <c r="H5" s="288"/>
      <c r="I5" s="288"/>
      <c r="J5" s="288"/>
      <c r="K5" s="288"/>
      <c r="L5" s="288"/>
      <c r="M5" s="288"/>
      <c r="N5" s="288"/>
      <c r="O5" s="288"/>
      <c r="P5" s="288"/>
      <c r="Q5" s="288"/>
      <c r="R5" s="288"/>
      <c r="S5" s="288"/>
      <c r="T5" s="288"/>
      <c r="U5" s="288"/>
      <c r="V5" s="288"/>
      <c r="W5" s="197" t="s">
        <v>1102</v>
      </c>
    </row>
    <row r="6" spans="2:28" ht="15.5">
      <c r="B6" s="504"/>
      <c r="C6" s="286">
        <v>1.1000000000000001</v>
      </c>
      <c r="D6" s="289"/>
      <c r="E6" s="289"/>
      <c r="F6" s="289"/>
      <c r="G6" s="289"/>
      <c r="H6" s="289"/>
      <c r="I6" s="289"/>
      <c r="J6" s="289"/>
      <c r="K6" s="289"/>
      <c r="L6" s="289"/>
      <c r="M6" s="289"/>
      <c r="N6" s="289"/>
      <c r="O6" s="289"/>
      <c r="P6" s="289"/>
      <c r="Q6" s="289"/>
      <c r="R6" s="289"/>
      <c r="S6" s="289"/>
      <c r="T6" s="289"/>
      <c r="U6" s="289"/>
      <c r="V6" s="289"/>
      <c r="W6" s="197" t="s">
        <v>1100</v>
      </c>
      <c r="Z6" s="196" t="s">
        <v>1098</v>
      </c>
      <c r="AB6" s="196" t="s">
        <v>1101</v>
      </c>
    </row>
    <row r="7" spans="2:28" ht="15.5">
      <c r="B7" s="504"/>
      <c r="C7" s="286">
        <v>1.2</v>
      </c>
      <c r="D7" s="289"/>
      <c r="E7" s="289"/>
      <c r="F7" s="289"/>
      <c r="G7" s="289"/>
      <c r="H7" s="289"/>
      <c r="I7" s="289"/>
      <c r="J7" s="289"/>
      <c r="K7" s="289"/>
      <c r="L7" s="289"/>
      <c r="M7" s="289"/>
      <c r="N7" s="289"/>
      <c r="O7" s="289"/>
      <c r="P7" s="289"/>
      <c r="Q7" s="289"/>
      <c r="R7" s="289"/>
      <c r="S7" s="289"/>
      <c r="T7" s="289"/>
      <c r="U7" s="289"/>
      <c r="V7" s="289"/>
      <c r="W7" s="197" t="s">
        <v>914</v>
      </c>
      <c r="Z7" s="196" t="s">
        <v>1099</v>
      </c>
      <c r="AB7" s="196" t="s">
        <v>1102</v>
      </c>
    </row>
    <row r="8" spans="2:28" ht="15.5">
      <c r="B8" s="504"/>
      <c r="C8" s="286">
        <v>1.3</v>
      </c>
      <c r="D8" s="289"/>
      <c r="E8" s="289"/>
      <c r="F8" s="289"/>
      <c r="G8" s="289"/>
      <c r="H8" s="289"/>
      <c r="I8" s="289"/>
      <c r="J8" s="289"/>
      <c r="K8" s="289"/>
      <c r="L8" s="289"/>
      <c r="M8" s="289"/>
      <c r="N8" s="289"/>
      <c r="O8" s="289"/>
      <c r="P8" s="289"/>
      <c r="Q8" s="289"/>
      <c r="R8" s="289"/>
      <c r="S8" s="289"/>
      <c r="T8" s="289"/>
      <c r="U8" s="289"/>
      <c r="V8" s="289"/>
      <c r="W8" s="197" t="s">
        <v>1099</v>
      </c>
      <c r="Z8" s="196" t="s">
        <v>914</v>
      </c>
    </row>
    <row r="9" spans="2:28" ht="15.5">
      <c r="B9" s="505"/>
      <c r="C9" s="286">
        <v>1.4</v>
      </c>
      <c r="D9" s="289"/>
      <c r="E9" s="289"/>
      <c r="F9" s="289"/>
      <c r="G9" s="289"/>
      <c r="H9" s="289"/>
      <c r="I9" s="289"/>
      <c r="J9" s="289"/>
      <c r="K9" s="289"/>
      <c r="L9" s="289"/>
      <c r="M9" s="289"/>
      <c r="N9" s="289"/>
      <c r="O9" s="289"/>
      <c r="P9" s="289"/>
      <c r="Q9" s="289"/>
      <c r="R9" s="289"/>
      <c r="S9" s="289"/>
      <c r="T9" s="289"/>
      <c r="U9" s="289"/>
      <c r="V9" s="289"/>
      <c r="W9" s="197" t="s">
        <v>1099</v>
      </c>
      <c r="Z9" s="196" t="s">
        <v>914</v>
      </c>
    </row>
    <row r="10" spans="2:28" ht="12" customHeight="1">
      <c r="B10" s="203"/>
      <c r="C10" s="203"/>
      <c r="D10" s="203"/>
      <c r="E10" s="203"/>
      <c r="F10" s="203"/>
      <c r="G10" s="203"/>
      <c r="H10" s="203"/>
      <c r="I10" s="203"/>
      <c r="J10" s="203"/>
      <c r="K10" s="203"/>
      <c r="L10" s="203"/>
      <c r="M10" s="203"/>
      <c r="N10" s="203"/>
      <c r="O10" s="203"/>
      <c r="P10" s="203"/>
      <c r="Q10" s="203"/>
      <c r="R10" s="203"/>
      <c r="S10" s="203"/>
      <c r="T10" s="203"/>
      <c r="U10" s="203"/>
      <c r="V10" s="203"/>
      <c r="W10" s="208"/>
      <c r="Z10" s="196" t="s">
        <v>1100</v>
      </c>
    </row>
    <row r="11" spans="2:28" ht="15.5">
      <c r="B11" s="503" t="s">
        <v>1103</v>
      </c>
      <c r="C11" s="214"/>
      <c r="D11" s="287"/>
      <c r="E11" s="287"/>
      <c r="F11" s="287"/>
      <c r="G11" s="287"/>
      <c r="H11" s="287"/>
      <c r="I11" s="287"/>
      <c r="J11" s="287"/>
      <c r="K11" s="287"/>
      <c r="L11" s="287"/>
      <c r="M11" s="287"/>
      <c r="N11" s="287"/>
      <c r="O11" s="287"/>
      <c r="P11" s="287"/>
      <c r="Q11" s="287"/>
      <c r="R11" s="287"/>
      <c r="S11" s="287"/>
      <c r="T11" s="287"/>
      <c r="U11" s="287"/>
      <c r="V11" s="287"/>
      <c r="W11" s="197"/>
      <c r="Z11" s="196" t="s">
        <v>1104</v>
      </c>
    </row>
    <row r="12" spans="2:28" ht="15.5">
      <c r="B12" s="504"/>
      <c r="C12" s="286">
        <v>2.1</v>
      </c>
      <c r="D12" s="214"/>
      <c r="E12" s="214"/>
      <c r="F12" s="214"/>
      <c r="G12" s="214"/>
      <c r="H12" s="214"/>
      <c r="I12" s="426" t="s">
        <v>1665</v>
      </c>
      <c r="J12" s="214"/>
      <c r="K12" s="214"/>
      <c r="L12" s="214"/>
      <c r="M12" s="214"/>
      <c r="N12" s="214"/>
      <c r="O12" s="214"/>
      <c r="P12" s="214"/>
      <c r="Q12" s="214"/>
      <c r="R12" s="214"/>
      <c r="S12" s="214"/>
      <c r="T12" s="214"/>
      <c r="U12" s="214"/>
      <c r="V12" s="214"/>
      <c r="W12" s="197" t="s">
        <v>1100</v>
      </c>
    </row>
    <row r="13" spans="2:28" ht="15.5">
      <c r="B13" s="504"/>
      <c r="C13" s="286">
        <v>2.2000000000000002</v>
      </c>
      <c r="D13" s="214"/>
      <c r="E13" s="214"/>
      <c r="F13" s="214"/>
      <c r="G13" s="214"/>
      <c r="H13" s="214"/>
      <c r="I13" s="214"/>
      <c r="J13" s="214"/>
      <c r="K13" s="214"/>
      <c r="L13" s="214"/>
      <c r="M13" s="214"/>
      <c r="N13" s="214"/>
      <c r="O13" s="214"/>
      <c r="P13" s="214"/>
      <c r="Q13" s="214"/>
      <c r="R13" s="214"/>
      <c r="S13" s="214"/>
      <c r="T13" s="214"/>
      <c r="U13" s="214"/>
      <c r="V13" s="214"/>
      <c r="W13" s="197" t="s">
        <v>1100</v>
      </c>
    </row>
    <row r="14" spans="2:28" ht="15.5" customHeight="1">
      <c r="B14" s="504"/>
      <c r="C14" s="286">
        <v>2.2999999999999998</v>
      </c>
      <c r="D14" s="214"/>
      <c r="E14" s="214"/>
      <c r="F14" s="214"/>
      <c r="G14" s="214"/>
      <c r="H14" s="214"/>
      <c r="I14" s="214"/>
      <c r="J14" s="214"/>
      <c r="K14" s="214"/>
      <c r="L14" s="214"/>
      <c r="M14" s="214"/>
      <c r="N14" s="214"/>
      <c r="O14" s="214"/>
      <c r="P14" s="214"/>
      <c r="Q14" s="214"/>
      <c r="R14" s="214"/>
      <c r="S14" s="214"/>
      <c r="T14" s="214"/>
      <c r="U14" s="214"/>
      <c r="V14" s="214"/>
      <c r="W14" s="197" t="s">
        <v>1098</v>
      </c>
    </row>
    <row r="15" spans="2:28" ht="15.5">
      <c r="B15" s="504"/>
      <c r="C15" s="286">
        <v>2.4</v>
      </c>
      <c r="D15" s="214"/>
      <c r="E15" s="214"/>
      <c r="F15" s="214"/>
      <c r="G15" s="214"/>
      <c r="H15" s="214"/>
      <c r="I15" s="214"/>
      <c r="J15" s="214"/>
      <c r="K15" s="214"/>
      <c r="L15" s="214"/>
      <c r="M15" s="214"/>
      <c r="N15" s="214"/>
      <c r="O15" s="214"/>
      <c r="P15" s="214"/>
      <c r="Q15" s="214"/>
      <c r="R15" s="214"/>
      <c r="S15" s="214"/>
      <c r="T15" s="214"/>
      <c r="U15" s="214"/>
      <c r="V15" s="214"/>
      <c r="W15" s="197" t="s">
        <v>1099</v>
      </c>
    </row>
    <row r="16" spans="2:28" ht="15.5">
      <c r="B16" s="504"/>
      <c r="C16" s="286">
        <v>2.5</v>
      </c>
      <c r="D16" s="214"/>
      <c r="E16" s="214"/>
      <c r="F16" s="214"/>
      <c r="G16" s="214"/>
      <c r="H16" s="214"/>
      <c r="I16" s="214"/>
      <c r="J16" s="214"/>
      <c r="K16" s="214"/>
      <c r="L16" s="214"/>
      <c r="M16" s="214"/>
      <c r="N16" s="214"/>
      <c r="O16" s="214"/>
      <c r="P16" s="214"/>
      <c r="Q16" s="214"/>
      <c r="R16" s="214"/>
      <c r="S16" s="214"/>
      <c r="T16" s="214"/>
      <c r="U16" s="214"/>
      <c r="V16" s="214"/>
      <c r="W16" s="197"/>
    </row>
    <row r="17" spans="2:23" ht="15.5">
      <c r="B17" s="504"/>
      <c r="C17" s="286">
        <v>2.6</v>
      </c>
      <c r="D17" s="214"/>
      <c r="E17" s="214"/>
      <c r="F17" s="214"/>
      <c r="G17" s="214"/>
      <c r="H17" s="214"/>
      <c r="I17" s="214"/>
      <c r="J17" s="214"/>
      <c r="K17" s="214"/>
      <c r="L17" s="214"/>
      <c r="M17" s="214"/>
      <c r="N17" s="214"/>
      <c r="O17" s="214"/>
      <c r="P17" s="214"/>
      <c r="Q17" s="214"/>
      <c r="R17" s="214"/>
      <c r="S17" s="214"/>
      <c r="T17" s="214"/>
      <c r="U17" s="214"/>
      <c r="V17" s="214"/>
      <c r="W17" s="197"/>
    </row>
    <row r="18" spans="2:23" ht="15.5">
      <c r="B18" s="504"/>
      <c r="C18" s="286">
        <v>2.7</v>
      </c>
      <c r="D18" s="214"/>
      <c r="E18" s="214"/>
      <c r="F18" s="214"/>
      <c r="G18" s="214"/>
      <c r="H18" s="214"/>
      <c r="I18" s="214"/>
      <c r="J18" s="214"/>
      <c r="K18" s="214"/>
      <c r="L18" s="214"/>
      <c r="M18" s="214"/>
      <c r="N18" s="214"/>
      <c r="O18" s="214"/>
      <c r="P18" s="214"/>
      <c r="Q18" s="214"/>
      <c r="R18" s="214"/>
      <c r="S18" s="214"/>
      <c r="T18" s="214"/>
      <c r="U18" s="214"/>
      <c r="V18" s="214"/>
      <c r="W18" s="197"/>
    </row>
    <row r="19" spans="2:23" ht="15.5">
      <c r="B19" s="505"/>
      <c r="C19" s="286">
        <v>2.8</v>
      </c>
      <c r="D19" s="214"/>
      <c r="E19" s="214"/>
      <c r="F19" s="214"/>
      <c r="G19" s="214"/>
      <c r="H19" s="214"/>
      <c r="I19" s="214"/>
      <c r="J19" s="214"/>
      <c r="K19" s="214"/>
      <c r="L19" s="214"/>
      <c r="M19" s="214"/>
      <c r="N19" s="214"/>
      <c r="O19" s="214"/>
      <c r="P19" s="214"/>
      <c r="Q19" s="214"/>
      <c r="R19" s="214"/>
      <c r="S19" s="214"/>
      <c r="T19" s="214"/>
      <c r="U19" s="214"/>
      <c r="V19" s="214"/>
      <c r="W19" s="197"/>
    </row>
    <row r="20" spans="2:23" ht="12" customHeight="1">
      <c r="B20" s="203"/>
      <c r="C20" s="203"/>
      <c r="D20" s="203"/>
      <c r="E20" s="203"/>
      <c r="F20" s="203"/>
      <c r="G20" s="203"/>
      <c r="H20" s="203"/>
      <c r="I20" s="203"/>
      <c r="J20" s="203"/>
      <c r="K20" s="203"/>
      <c r="L20" s="203"/>
      <c r="M20" s="203"/>
      <c r="N20" s="203"/>
      <c r="O20" s="203"/>
      <c r="P20" s="203"/>
      <c r="Q20" s="203"/>
      <c r="R20" s="203"/>
      <c r="S20" s="203"/>
      <c r="T20" s="203"/>
      <c r="U20" s="203"/>
      <c r="V20" s="203"/>
      <c r="W20" s="208"/>
    </row>
    <row r="21" spans="2:23" ht="15.5">
      <c r="B21" s="503" t="s">
        <v>1105</v>
      </c>
      <c r="C21" s="214"/>
      <c r="D21" s="287"/>
      <c r="E21" s="287"/>
      <c r="F21" s="287"/>
      <c r="G21" s="287"/>
      <c r="H21" s="287"/>
      <c r="I21" s="287"/>
      <c r="J21" s="287"/>
      <c r="K21" s="287"/>
      <c r="L21" s="287"/>
      <c r="M21" s="287"/>
      <c r="N21" s="287"/>
      <c r="O21" s="287"/>
      <c r="P21" s="287"/>
      <c r="Q21" s="287"/>
      <c r="R21" s="287"/>
      <c r="S21" s="287"/>
      <c r="T21" s="287"/>
      <c r="U21" s="287"/>
      <c r="V21" s="214"/>
      <c r="W21" s="197"/>
    </row>
    <row r="22" spans="2:23" ht="15.5">
      <c r="B22" s="504"/>
      <c r="C22" s="286">
        <v>3.1</v>
      </c>
      <c r="D22" s="214"/>
      <c r="E22" s="214"/>
      <c r="F22" s="214"/>
      <c r="G22" s="214"/>
      <c r="H22" s="214"/>
      <c r="I22" s="214"/>
      <c r="J22" s="214"/>
      <c r="K22" s="214"/>
      <c r="L22" s="214"/>
      <c r="M22" s="214"/>
      <c r="N22" s="214"/>
      <c r="O22" s="214"/>
      <c r="P22" s="214"/>
      <c r="Q22" s="214"/>
      <c r="R22" s="214"/>
      <c r="S22" s="214"/>
      <c r="T22" s="214"/>
      <c r="U22" s="214"/>
      <c r="V22" s="214"/>
      <c r="W22" s="197" t="s">
        <v>1100</v>
      </c>
    </row>
    <row r="23" spans="2:23" ht="15.5">
      <c r="B23" s="504"/>
      <c r="C23" s="286">
        <v>3.2</v>
      </c>
      <c r="D23" s="214"/>
      <c r="E23" s="214"/>
      <c r="F23" s="214"/>
      <c r="G23" s="214"/>
      <c r="H23" s="214"/>
      <c r="I23" s="214"/>
      <c r="J23" s="214"/>
      <c r="K23" s="214"/>
      <c r="L23" s="214"/>
      <c r="M23" s="214"/>
      <c r="N23" s="214"/>
      <c r="O23" s="214"/>
      <c r="P23" s="214"/>
      <c r="Q23" s="214"/>
      <c r="R23" s="214"/>
      <c r="S23" s="214"/>
      <c r="T23" s="214"/>
      <c r="U23" s="214"/>
      <c r="V23" s="214"/>
      <c r="W23" s="197" t="s">
        <v>1100</v>
      </c>
    </row>
    <row r="24" spans="2:23" ht="15.5">
      <c r="B24" s="504"/>
      <c r="C24" s="286">
        <v>3.3</v>
      </c>
      <c r="D24" s="214"/>
      <c r="E24" s="214"/>
      <c r="F24" s="214"/>
      <c r="G24" s="214"/>
      <c r="H24" s="214"/>
      <c r="I24" s="214"/>
      <c r="J24" s="214"/>
      <c r="K24" s="214"/>
      <c r="L24" s="214"/>
      <c r="M24" s="214"/>
      <c r="N24" s="214"/>
      <c r="O24" s="214"/>
      <c r="P24" s="214"/>
      <c r="Q24" s="214"/>
      <c r="R24" s="214"/>
      <c r="S24" s="214"/>
      <c r="T24" s="214"/>
      <c r="U24" s="214"/>
      <c r="V24" s="214"/>
      <c r="W24" s="197"/>
    </row>
    <row r="25" spans="2:23" ht="15.5">
      <c r="B25" s="504"/>
      <c r="C25" s="286">
        <v>3.4</v>
      </c>
      <c r="D25" s="214"/>
      <c r="E25" s="214"/>
      <c r="F25" s="214"/>
      <c r="G25" s="214"/>
      <c r="H25" s="214"/>
      <c r="I25" s="214"/>
      <c r="J25" s="214"/>
      <c r="K25" s="214"/>
      <c r="L25" s="214"/>
      <c r="M25" s="214"/>
      <c r="N25" s="214"/>
      <c r="O25" s="214"/>
      <c r="P25" s="214"/>
      <c r="Q25" s="214"/>
      <c r="R25" s="214"/>
      <c r="S25" s="214"/>
      <c r="T25" s="214"/>
      <c r="U25" s="214"/>
      <c r="V25" s="214"/>
      <c r="W25" s="197"/>
    </row>
    <row r="26" spans="2:23" ht="15.5">
      <c r="B26" s="504"/>
      <c r="C26" s="286">
        <v>3.5</v>
      </c>
      <c r="D26" s="214"/>
      <c r="E26" s="214"/>
      <c r="F26" s="214"/>
      <c r="G26" s="214"/>
      <c r="H26" s="214"/>
      <c r="I26" s="214"/>
      <c r="J26" s="214"/>
      <c r="K26" s="214"/>
      <c r="L26" s="214"/>
      <c r="M26" s="214"/>
      <c r="N26" s="214"/>
      <c r="O26" s="214"/>
      <c r="P26" s="214"/>
      <c r="Q26" s="214"/>
      <c r="R26" s="214"/>
      <c r="S26" s="214"/>
      <c r="T26" s="214"/>
      <c r="U26" s="214"/>
      <c r="V26" s="214"/>
      <c r="W26" s="197"/>
    </row>
    <row r="27" spans="2:23" ht="15.5">
      <c r="B27" s="504"/>
      <c r="C27" s="286">
        <v>3.6</v>
      </c>
      <c r="D27" s="214"/>
      <c r="E27" s="214"/>
      <c r="F27" s="214"/>
      <c r="G27" s="214"/>
      <c r="H27" s="214"/>
      <c r="I27" s="214"/>
      <c r="J27" s="214"/>
      <c r="K27" s="214"/>
      <c r="L27" s="214"/>
      <c r="M27" s="214"/>
      <c r="N27" s="214"/>
      <c r="O27" s="214"/>
      <c r="P27" s="214"/>
      <c r="Q27" s="214"/>
      <c r="R27" s="214"/>
      <c r="S27" s="214"/>
      <c r="T27" s="214"/>
      <c r="U27" s="214"/>
      <c r="V27" s="214"/>
      <c r="W27" s="197"/>
    </row>
    <row r="28" spans="2:23" ht="15.5">
      <c r="B28" s="505"/>
      <c r="C28" s="286">
        <v>3.7</v>
      </c>
      <c r="D28" s="214"/>
      <c r="E28" s="214"/>
      <c r="F28" s="214"/>
      <c r="G28" s="214"/>
      <c r="H28" s="214"/>
      <c r="I28" s="214"/>
      <c r="J28" s="214"/>
      <c r="K28" s="214"/>
      <c r="L28" s="214"/>
      <c r="M28" s="214"/>
      <c r="N28" s="214"/>
      <c r="O28" s="214"/>
      <c r="P28" s="214"/>
      <c r="Q28" s="214"/>
      <c r="R28" s="214"/>
      <c r="S28" s="214"/>
      <c r="T28" s="214"/>
      <c r="U28" s="214"/>
      <c r="V28" s="214"/>
      <c r="W28" s="197"/>
    </row>
    <row r="29" spans="2:23" ht="12" customHeight="1">
      <c r="B29" s="203"/>
      <c r="C29" s="203"/>
      <c r="D29" s="203"/>
      <c r="E29" s="203"/>
      <c r="F29" s="203"/>
      <c r="G29" s="203"/>
      <c r="H29" s="203"/>
      <c r="I29" s="203"/>
      <c r="J29" s="203"/>
      <c r="K29" s="203"/>
      <c r="L29" s="203"/>
      <c r="M29" s="203"/>
      <c r="N29" s="203"/>
      <c r="O29" s="203"/>
      <c r="P29" s="203"/>
      <c r="Q29" s="203"/>
      <c r="R29" s="203"/>
      <c r="S29" s="203"/>
      <c r="T29" s="203"/>
      <c r="U29" s="203"/>
      <c r="V29" s="203"/>
      <c r="W29" s="208"/>
    </row>
    <row r="30" spans="2:23" ht="15.5">
      <c r="B30" s="503" t="s">
        <v>1106</v>
      </c>
      <c r="C30" s="214"/>
      <c r="D30" s="287"/>
      <c r="E30" s="214"/>
      <c r="F30" s="214"/>
      <c r="G30" s="214"/>
      <c r="H30" s="214"/>
      <c r="I30" s="214"/>
      <c r="J30" s="214"/>
      <c r="K30" s="214"/>
      <c r="L30" s="287"/>
      <c r="M30" s="214"/>
      <c r="N30" s="287"/>
      <c r="O30" s="214"/>
      <c r="P30" s="214"/>
      <c r="Q30" s="214"/>
      <c r="R30" s="287"/>
      <c r="S30" s="214"/>
      <c r="T30" s="287"/>
      <c r="U30" s="214"/>
      <c r="V30" s="214"/>
      <c r="W30" s="197"/>
    </row>
    <row r="31" spans="2:23" ht="15.5">
      <c r="B31" s="504"/>
      <c r="C31" s="286">
        <v>4.0999999999999996</v>
      </c>
      <c r="D31" s="214"/>
      <c r="E31" s="214"/>
      <c r="F31" s="214"/>
      <c r="G31" s="214"/>
      <c r="H31" s="214"/>
      <c r="I31" s="214"/>
      <c r="J31" s="214"/>
      <c r="K31" s="214"/>
      <c r="L31" s="214"/>
      <c r="M31" s="214"/>
      <c r="N31" s="214"/>
      <c r="O31" s="214"/>
      <c r="P31" s="214"/>
      <c r="Q31" s="214"/>
      <c r="R31" s="214"/>
      <c r="S31" s="214"/>
      <c r="T31" s="214"/>
      <c r="U31" s="214"/>
      <c r="V31" s="214"/>
      <c r="W31" s="197" t="s">
        <v>1100</v>
      </c>
    </row>
    <row r="32" spans="2:23" ht="15.5">
      <c r="B32" s="504"/>
      <c r="C32" s="286">
        <v>4.2</v>
      </c>
      <c r="D32" s="214"/>
      <c r="E32" s="214"/>
      <c r="F32" s="214"/>
      <c r="G32" s="214"/>
      <c r="H32" s="214"/>
      <c r="I32" s="214"/>
      <c r="J32" s="214"/>
      <c r="K32" s="214"/>
      <c r="L32" s="214"/>
      <c r="M32" s="214"/>
      <c r="N32" s="214"/>
      <c r="O32" s="214"/>
      <c r="P32" s="214"/>
      <c r="Q32" s="214"/>
      <c r="R32" s="214"/>
      <c r="S32" s="214"/>
      <c r="T32" s="214"/>
      <c r="U32" s="214"/>
      <c r="V32" s="214"/>
      <c r="W32" s="197"/>
    </row>
    <row r="33" spans="2:23" ht="15.5">
      <c r="B33" s="504"/>
      <c r="C33" s="286">
        <v>4.3</v>
      </c>
      <c r="D33" s="214"/>
      <c r="E33" s="214"/>
      <c r="F33" s="214"/>
      <c r="G33" s="214"/>
      <c r="H33" s="214"/>
      <c r="I33" s="214"/>
      <c r="J33" s="214"/>
      <c r="K33" s="214"/>
      <c r="L33" s="214"/>
      <c r="M33" s="214"/>
      <c r="N33" s="214"/>
      <c r="O33" s="214"/>
      <c r="P33" s="214"/>
      <c r="Q33" s="214"/>
      <c r="R33" s="214"/>
      <c r="S33" s="214"/>
      <c r="T33" s="214"/>
      <c r="U33" s="214"/>
      <c r="V33" s="214"/>
      <c r="W33" s="197"/>
    </row>
    <row r="34" spans="2:23" ht="15.5">
      <c r="B34" s="504"/>
      <c r="C34" s="286">
        <v>4.4000000000000004</v>
      </c>
      <c r="D34" s="214"/>
      <c r="E34" s="214"/>
      <c r="F34" s="214"/>
      <c r="G34" s="214"/>
      <c r="H34" s="214"/>
      <c r="I34" s="214"/>
      <c r="J34" s="214"/>
      <c r="K34" s="214"/>
      <c r="L34" s="214"/>
      <c r="M34" s="214"/>
      <c r="N34" s="214"/>
      <c r="O34" s="214"/>
      <c r="P34" s="214"/>
      <c r="Q34" s="214"/>
      <c r="R34" s="214"/>
      <c r="S34" s="214"/>
      <c r="T34" s="214"/>
      <c r="U34" s="214"/>
      <c r="V34" s="214"/>
      <c r="W34" s="197"/>
    </row>
    <row r="35" spans="2:23" ht="15.5">
      <c r="B35" s="505"/>
      <c r="C35" s="286">
        <v>4.5</v>
      </c>
      <c r="D35" s="214"/>
      <c r="E35" s="214"/>
      <c r="F35" s="214"/>
      <c r="G35" s="214"/>
      <c r="H35" s="214"/>
      <c r="I35" s="214"/>
      <c r="J35" s="214"/>
      <c r="K35" s="214"/>
      <c r="L35" s="214"/>
      <c r="M35" s="214"/>
      <c r="N35" s="214"/>
      <c r="O35" s="214"/>
      <c r="P35" s="214"/>
      <c r="Q35" s="214"/>
      <c r="R35" s="214"/>
      <c r="S35" s="214"/>
      <c r="T35" s="214"/>
      <c r="U35" s="214"/>
      <c r="V35" s="214"/>
      <c r="W35" s="197"/>
    </row>
    <row r="36" spans="2:23" ht="12" customHeight="1">
      <c r="B36" s="203"/>
      <c r="C36" s="203"/>
      <c r="D36" s="203"/>
      <c r="E36" s="203"/>
      <c r="F36" s="203"/>
      <c r="G36" s="203"/>
      <c r="H36" s="203"/>
      <c r="I36" s="203"/>
      <c r="J36" s="203"/>
      <c r="K36" s="203"/>
      <c r="L36" s="203"/>
      <c r="M36" s="203"/>
      <c r="N36" s="203"/>
      <c r="O36" s="203"/>
      <c r="P36" s="203"/>
      <c r="Q36" s="203"/>
      <c r="R36" s="203"/>
      <c r="S36" s="203"/>
      <c r="T36" s="203"/>
      <c r="U36" s="203"/>
      <c r="V36" s="203"/>
      <c r="W36" s="208"/>
    </row>
    <row r="37" spans="2:23" ht="15.5">
      <c r="B37" s="493" t="s">
        <v>1107</v>
      </c>
      <c r="C37" s="214"/>
      <c r="D37" s="214"/>
      <c r="E37" s="214"/>
      <c r="F37" s="214"/>
      <c r="G37" s="214"/>
      <c r="H37" s="214"/>
      <c r="I37" s="214"/>
      <c r="J37" s="214"/>
      <c r="K37" s="214"/>
      <c r="L37" s="214"/>
      <c r="M37" s="214"/>
      <c r="N37" s="287"/>
      <c r="O37" s="214"/>
      <c r="P37" s="214"/>
      <c r="Q37" s="214"/>
      <c r="R37" s="214"/>
      <c r="S37" s="214"/>
      <c r="T37" s="287"/>
      <c r="U37" s="214"/>
      <c r="V37" s="214"/>
      <c r="W37" s="197"/>
    </row>
    <row r="38" spans="2:23" ht="15.5">
      <c r="B38" s="493"/>
      <c r="C38" s="213">
        <v>5.0999999999999996</v>
      </c>
      <c r="D38" s="214"/>
      <c r="E38" s="214"/>
      <c r="F38" s="214"/>
      <c r="G38" s="214"/>
      <c r="H38" s="214"/>
      <c r="I38" s="214"/>
      <c r="J38" s="214"/>
      <c r="K38" s="214"/>
      <c r="L38" s="214"/>
      <c r="M38" s="214"/>
      <c r="N38" s="214"/>
      <c r="O38" s="214"/>
      <c r="P38" s="214"/>
      <c r="Q38" s="214"/>
      <c r="R38" s="214"/>
      <c r="S38" s="214"/>
      <c r="T38" s="214"/>
      <c r="U38" s="214"/>
      <c r="V38" s="214"/>
      <c r="W38" s="197"/>
    </row>
    <row r="39" spans="2:23" ht="15.5">
      <c r="B39" s="493"/>
      <c r="C39" s="213">
        <v>5.2</v>
      </c>
      <c r="D39" s="214"/>
      <c r="E39" s="214"/>
      <c r="F39" s="214"/>
      <c r="G39" s="214"/>
      <c r="H39" s="214"/>
      <c r="I39" s="214"/>
      <c r="J39" s="214"/>
      <c r="K39" s="214"/>
      <c r="L39" s="214"/>
      <c r="M39" s="214"/>
      <c r="N39" s="214"/>
      <c r="O39" s="214"/>
      <c r="P39" s="214"/>
      <c r="Q39" s="214"/>
      <c r="R39" s="214"/>
      <c r="S39" s="214"/>
      <c r="T39" s="214"/>
      <c r="U39" s="214"/>
      <c r="V39" s="214"/>
      <c r="W39" s="197"/>
    </row>
    <row r="40" spans="2:23" ht="15.5">
      <c r="B40" s="493"/>
      <c r="C40" s="213">
        <v>5.3</v>
      </c>
      <c r="D40" s="214"/>
      <c r="E40" s="214"/>
      <c r="F40" s="214"/>
      <c r="G40" s="214"/>
      <c r="H40" s="214"/>
      <c r="I40" s="214"/>
      <c r="J40" s="214"/>
      <c r="K40" s="214"/>
      <c r="L40" s="214"/>
      <c r="M40" s="214"/>
      <c r="N40" s="214"/>
      <c r="O40" s="214"/>
      <c r="P40" s="214"/>
      <c r="Q40" s="214"/>
      <c r="R40" s="214"/>
      <c r="S40" s="214"/>
      <c r="T40" s="214"/>
      <c r="U40" s="214"/>
      <c r="V40" s="214"/>
      <c r="W40" s="197"/>
    </row>
    <row r="41" spans="2:23" ht="12" customHeight="1">
      <c r="B41" s="203"/>
      <c r="C41" s="203"/>
      <c r="D41" s="203"/>
      <c r="E41" s="203"/>
      <c r="F41" s="203"/>
      <c r="G41" s="203"/>
      <c r="H41" s="203"/>
      <c r="I41" s="203"/>
      <c r="J41" s="203"/>
      <c r="K41" s="203"/>
      <c r="L41" s="203"/>
      <c r="M41" s="203"/>
      <c r="N41" s="203"/>
      <c r="O41" s="203"/>
      <c r="P41" s="203"/>
      <c r="Q41" s="203"/>
      <c r="R41" s="203"/>
      <c r="S41" s="203"/>
      <c r="T41" s="203"/>
      <c r="U41" s="203"/>
      <c r="V41" s="203"/>
      <c r="W41" s="209"/>
    </row>
    <row r="48" spans="2:23">
      <c r="B48" s="196" t="s">
        <v>1113</v>
      </c>
      <c r="C48" s="196" t="s">
        <v>1113</v>
      </c>
      <c r="D48" s="196" t="s">
        <v>1113</v>
      </c>
      <c r="E48" s="196" t="s">
        <v>1113</v>
      </c>
      <c r="F48" s="196" t="s">
        <v>1113</v>
      </c>
      <c r="G48" s="196" t="s">
        <v>1113</v>
      </c>
      <c r="H48" s="196" t="s">
        <v>1113</v>
      </c>
      <c r="I48" s="196" t="s">
        <v>1113</v>
      </c>
      <c r="J48" s="196" t="s">
        <v>1113</v>
      </c>
      <c r="K48" s="196" t="s">
        <v>1113</v>
      </c>
      <c r="L48" s="196" t="s">
        <v>1113</v>
      </c>
      <c r="M48" s="196" t="s">
        <v>1113</v>
      </c>
      <c r="N48" s="196" t="s">
        <v>1113</v>
      </c>
      <c r="O48" s="196" t="s">
        <v>1113</v>
      </c>
      <c r="P48" s="196" t="s">
        <v>1113</v>
      </c>
      <c r="Q48" s="196" t="s">
        <v>1113</v>
      </c>
      <c r="R48" s="196" t="s">
        <v>1113</v>
      </c>
      <c r="S48" s="196" t="s">
        <v>1113</v>
      </c>
      <c r="T48" s="196" t="s">
        <v>1113</v>
      </c>
      <c r="U48" s="196" t="s">
        <v>1113</v>
      </c>
      <c r="V48" s="196" t="s">
        <v>1113</v>
      </c>
      <c r="W48" s="196" t="s">
        <v>1113</v>
      </c>
    </row>
    <row r="50" spans="2:28" ht="93">
      <c r="B50" s="496" t="s">
        <v>1086</v>
      </c>
      <c r="C50" s="496" t="s">
        <v>1087</v>
      </c>
      <c r="D50" s="494" t="s">
        <v>1088</v>
      </c>
      <c r="E50" s="494"/>
      <c r="F50" s="495" t="s">
        <v>1089</v>
      </c>
      <c r="G50" s="495"/>
      <c r="H50" s="494" t="s">
        <v>1090</v>
      </c>
      <c r="I50" s="494"/>
      <c r="J50" s="494"/>
      <c r="K50" s="494"/>
      <c r="L50" s="495" t="s">
        <v>1091</v>
      </c>
      <c r="M50" s="495"/>
      <c r="N50" s="495"/>
      <c r="O50" s="210" t="s">
        <v>1092</v>
      </c>
      <c r="P50" s="211" t="s">
        <v>1093</v>
      </c>
      <c r="Q50" s="494" t="s">
        <v>1094</v>
      </c>
      <c r="R50" s="494"/>
      <c r="S50" s="494"/>
      <c r="T50" s="495" t="s">
        <v>1095</v>
      </c>
      <c r="U50" s="495"/>
      <c r="V50" s="495"/>
      <c r="W50" s="207" t="s">
        <v>1096</v>
      </c>
    </row>
    <row r="51" spans="2:28" ht="15.5">
      <c r="B51" s="496"/>
      <c r="C51" s="496"/>
      <c r="D51" s="212" t="s">
        <v>910</v>
      </c>
      <c r="E51" s="212" t="s">
        <v>911</v>
      </c>
      <c r="F51" s="213" t="s">
        <v>884</v>
      </c>
      <c r="G51" s="213" t="s">
        <v>883</v>
      </c>
      <c r="H51" s="212" t="s">
        <v>885</v>
      </c>
      <c r="I51" s="212" t="s">
        <v>887</v>
      </c>
      <c r="J51" s="212" t="s">
        <v>836</v>
      </c>
      <c r="K51" s="212" t="s">
        <v>886</v>
      </c>
      <c r="L51" s="213" t="s">
        <v>890</v>
      </c>
      <c r="M51" s="213" t="s">
        <v>889</v>
      </c>
      <c r="N51" s="213" t="s">
        <v>888</v>
      </c>
      <c r="O51" s="212" t="s">
        <v>891</v>
      </c>
      <c r="P51" s="213" t="s">
        <v>753</v>
      </c>
      <c r="Q51" s="212" t="s">
        <v>893</v>
      </c>
      <c r="R51" s="212" t="s">
        <v>894</v>
      </c>
      <c r="S51" s="212" t="s">
        <v>892</v>
      </c>
      <c r="T51" s="213" t="s">
        <v>895</v>
      </c>
      <c r="U51" s="213" t="s">
        <v>896</v>
      </c>
      <c r="V51" s="213" t="s">
        <v>751</v>
      </c>
      <c r="W51" s="207" t="s">
        <v>897</v>
      </c>
    </row>
    <row r="52" spans="2:28" ht="12" customHeight="1">
      <c r="B52" s="203"/>
      <c r="C52" s="203"/>
      <c r="D52" s="203"/>
      <c r="E52" s="203"/>
      <c r="F52" s="203"/>
      <c r="G52" s="203"/>
      <c r="H52" s="203"/>
      <c r="I52" s="203"/>
      <c r="J52" s="203"/>
      <c r="K52" s="203"/>
      <c r="L52" s="203"/>
      <c r="M52" s="203"/>
      <c r="N52" s="203"/>
      <c r="O52" s="203"/>
      <c r="P52" s="203"/>
      <c r="Q52" s="203"/>
      <c r="R52" s="203"/>
      <c r="S52" s="203"/>
      <c r="T52" s="203"/>
      <c r="U52" s="203"/>
      <c r="V52" s="203"/>
      <c r="W52" s="197"/>
    </row>
    <row r="53" spans="2:28" ht="15.5">
      <c r="B53" s="493" t="s">
        <v>1097</v>
      </c>
      <c r="C53" s="214"/>
      <c r="D53" s="214" t="s">
        <v>1101</v>
      </c>
      <c r="E53" s="214" t="s">
        <v>1101</v>
      </c>
      <c r="F53" s="214" t="s">
        <v>1101</v>
      </c>
      <c r="G53" s="214" t="s">
        <v>1101</v>
      </c>
      <c r="H53" s="214" t="s">
        <v>1101</v>
      </c>
      <c r="I53" s="214" t="s">
        <v>1101</v>
      </c>
      <c r="J53" s="214" t="s">
        <v>1101</v>
      </c>
      <c r="K53" s="214" t="s">
        <v>1101</v>
      </c>
      <c r="L53" s="214" t="s">
        <v>1101</v>
      </c>
      <c r="M53" s="214" t="s">
        <v>1101</v>
      </c>
      <c r="N53" s="214" t="s">
        <v>1101</v>
      </c>
      <c r="O53" s="214" t="s">
        <v>1101</v>
      </c>
      <c r="P53" s="214" t="s">
        <v>1101</v>
      </c>
      <c r="Q53" s="214" t="s">
        <v>1101</v>
      </c>
      <c r="R53" s="214" t="s">
        <v>1101</v>
      </c>
      <c r="S53" s="214" t="s">
        <v>1101</v>
      </c>
      <c r="T53" s="214" t="s">
        <v>1101</v>
      </c>
      <c r="U53" s="214" t="s">
        <v>1101</v>
      </c>
      <c r="V53" s="214" t="s">
        <v>1101</v>
      </c>
      <c r="W53" s="197" t="s">
        <v>1102</v>
      </c>
    </row>
    <row r="54" spans="2:28" ht="15.5">
      <c r="B54" s="493"/>
      <c r="C54" s="213">
        <v>1.1000000000000001</v>
      </c>
      <c r="D54" s="214" t="s">
        <v>1098</v>
      </c>
      <c r="E54" s="214" t="s">
        <v>1098</v>
      </c>
      <c r="F54" s="214" t="s">
        <v>1098</v>
      </c>
      <c r="G54" s="214" t="s">
        <v>1098</v>
      </c>
      <c r="H54" s="214" t="s">
        <v>1098</v>
      </c>
      <c r="I54" s="214" t="s">
        <v>1098</v>
      </c>
      <c r="J54" s="214" t="s">
        <v>1098</v>
      </c>
      <c r="K54" s="214" t="s">
        <v>1098</v>
      </c>
      <c r="L54" s="214" t="s">
        <v>1098</v>
      </c>
      <c r="M54" s="214" t="s">
        <v>1098</v>
      </c>
      <c r="N54" s="214" t="s">
        <v>1098</v>
      </c>
      <c r="O54" s="214" t="s">
        <v>1098</v>
      </c>
      <c r="P54" s="214" t="s">
        <v>1098</v>
      </c>
      <c r="Q54" s="214" t="s">
        <v>1098</v>
      </c>
      <c r="R54" s="214" t="s">
        <v>1098</v>
      </c>
      <c r="S54" s="214" t="s">
        <v>1098</v>
      </c>
      <c r="T54" s="214" t="s">
        <v>1098</v>
      </c>
      <c r="U54" s="214" t="s">
        <v>1098</v>
      </c>
      <c r="V54" s="214" t="s">
        <v>1098</v>
      </c>
      <c r="W54" s="197" t="s">
        <v>1100</v>
      </c>
      <c r="Z54" s="196" t="s">
        <v>1098</v>
      </c>
      <c r="AB54" s="196" t="s">
        <v>1101</v>
      </c>
    </row>
    <row r="55" spans="2:28" ht="15.5">
      <c r="B55" s="493"/>
      <c r="C55" s="213">
        <v>1.2</v>
      </c>
      <c r="D55" s="214"/>
      <c r="E55" s="214"/>
      <c r="F55" s="214"/>
      <c r="G55" s="214"/>
      <c r="H55" s="214"/>
      <c r="I55" s="214" t="s">
        <v>1098</v>
      </c>
      <c r="J55" s="214"/>
      <c r="K55" s="214"/>
      <c r="L55" s="214" t="s">
        <v>1098</v>
      </c>
      <c r="M55" s="214"/>
      <c r="N55" s="214" t="s">
        <v>1098</v>
      </c>
      <c r="O55" s="214"/>
      <c r="P55" s="214"/>
      <c r="Q55" s="214" t="s">
        <v>1098</v>
      </c>
      <c r="R55" s="214" t="s">
        <v>1098</v>
      </c>
      <c r="S55" s="214"/>
      <c r="T55" s="214"/>
      <c r="U55" s="214" t="s">
        <v>1098</v>
      </c>
      <c r="V55" s="214"/>
      <c r="W55" s="197" t="s">
        <v>914</v>
      </c>
      <c r="Z55" s="196" t="s">
        <v>1099</v>
      </c>
      <c r="AB55" s="196" t="s">
        <v>1102</v>
      </c>
    </row>
    <row r="56" spans="2:28" ht="15.5">
      <c r="B56" s="493"/>
      <c r="C56" s="213">
        <v>1.3</v>
      </c>
      <c r="D56" s="214"/>
      <c r="E56" s="214"/>
      <c r="F56" s="214"/>
      <c r="G56" s="214"/>
      <c r="H56" s="214"/>
      <c r="I56" s="214"/>
      <c r="J56" s="214"/>
      <c r="K56" s="214"/>
      <c r="L56" s="214" t="s">
        <v>1098</v>
      </c>
      <c r="M56" s="214"/>
      <c r="N56" s="214"/>
      <c r="O56" s="214"/>
      <c r="P56" s="214"/>
      <c r="Q56" s="214"/>
      <c r="R56" s="214"/>
      <c r="S56" s="214"/>
      <c r="T56" s="214"/>
      <c r="U56" s="214"/>
      <c r="V56" s="214"/>
      <c r="W56" s="197" t="s">
        <v>1099</v>
      </c>
      <c r="Z56" s="196" t="s">
        <v>914</v>
      </c>
    </row>
    <row r="57" spans="2:28" ht="15.5">
      <c r="B57" s="493"/>
      <c r="C57" s="213">
        <v>1.4</v>
      </c>
      <c r="D57" s="214"/>
      <c r="E57" s="214"/>
      <c r="F57" s="214"/>
      <c r="G57" s="214"/>
      <c r="H57" s="214"/>
      <c r="I57" s="214"/>
      <c r="J57" s="214"/>
      <c r="K57" s="214"/>
      <c r="L57" s="214" t="s">
        <v>1098</v>
      </c>
      <c r="M57" s="214"/>
      <c r="N57" s="214"/>
      <c r="O57" s="214"/>
      <c r="P57" s="214"/>
      <c r="Q57" s="214"/>
      <c r="R57" s="214"/>
      <c r="S57" s="214"/>
      <c r="T57" s="214"/>
      <c r="U57" s="214"/>
      <c r="V57" s="214"/>
      <c r="W57" s="197" t="s">
        <v>1099</v>
      </c>
      <c r="Z57" s="196" t="s">
        <v>914</v>
      </c>
    </row>
    <row r="58" spans="2:28" ht="12" customHeight="1">
      <c r="B58" s="203"/>
      <c r="C58" s="203"/>
      <c r="D58" s="203"/>
      <c r="E58" s="203"/>
      <c r="F58" s="203"/>
      <c r="G58" s="203"/>
      <c r="H58" s="203"/>
      <c r="I58" s="203"/>
      <c r="J58" s="203"/>
      <c r="K58" s="203"/>
      <c r="L58" s="203"/>
      <c r="M58" s="203"/>
      <c r="N58" s="203"/>
      <c r="O58" s="203"/>
      <c r="P58" s="203"/>
      <c r="Q58" s="203"/>
      <c r="R58" s="203"/>
      <c r="S58" s="203"/>
      <c r="T58" s="203"/>
      <c r="U58" s="203"/>
      <c r="V58" s="203"/>
      <c r="W58" s="208"/>
      <c r="Z58" s="196" t="s">
        <v>1100</v>
      </c>
    </row>
    <row r="59" spans="2:28" ht="15.5">
      <c r="B59" s="493" t="s">
        <v>1103</v>
      </c>
      <c r="C59" s="214"/>
      <c r="D59" s="214" t="s">
        <v>1101</v>
      </c>
      <c r="E59" s="214" t="s">
        <v>1101</v>
      </c>
      <c r="F59" s="214" t="s">
        <v>1101</v>
      </c>
      <c r="G59" s="214" t="s">
        <v>1101</v>
      </c>
      <c r="H59" s="214" t="s">
        <v>1101</v>
      </c>
      <c r="I59" s="214" t="s">
        <v>1101</v>
      </c>
      <c r="J59" s="214" t="s">
        <v>1101</v>
      </c>
      <c r="K59" s="214" t="s">
        <v>1101</v>
      </c>
      <c r="L59" s="214" t="s">
        <v>1101</v>
      </c>
      <c r="M59" s="214" t="s">
        <v>1101</v>
      </c>
      <c r="N59" s="214" t="s">
        <v>1101</v>
      </c>
      <c r="O59" s="214" t="s">
        <v>1101</v>
      </c>
      <c r="P59" s="214" t="s">
        <v>1101</v>
      </c>
      <c r="Q59" s="214" t="s">
        <v>1101</v>
      </c>
      <c r="R59" s="214" t="s">
        <v>1101</v>
      </c>
      <c r="S59" s="214" t="s">
        <v>1101</v>
      </c>
      <c r="T59" s="214" t="s">
        <v>1101</v>
      </c>
      <c r="U59" s="214" t="s">
        <v>1101</v>
      </c>
      <c r="V59" s="214" t="s">
        <v>1101</v>
      </c>
      <c r="W59" s="197"/>
      <c r="Z59" s="196" t="s">
        <v>1104</v>
      </c>
    </row>
    <row r="60" spans="2:28" ht="15.5">
      <c r="B60" s="493"/>
      <c r="C60" s="213">
        <v>2.1</v>
      </c>
      <c r="D60" s="214" t="s">
        <v>1098</v>
      </c>
      <c r="E60" s="214" t="s">
        <v>1099</v>
      </c>
      <c r="F60" s="214" t="s">
        <v>1098</v>
      </c>
      <c r="G60" s="214" t="s">
        <v>1098</v>
      </c>
      <c r="H60" s="214" t="s">
        <v>1098</v>
      </c>
      <c r="I60" s="214" t="s">
        <v>1098</v>
      </c>
      <c r="J60" s="214" t="s">
        <v>1098</v>
      </c>
      <c r="K60" s="214" t="s">
        <v>1098</v>
      </c>
      <c r="L60" s="214" t="s">
        <v>1098</v>
      </c>
      <c r="M60" s="214" t="s">
        <v>1098</v>
      </c>
      <c r="N60" s="214" t="s">
        <v>1098</v>
      </c>
      <c r="O60" s="214" t="s">
        <v>1099</v>
      </c>
      <c r="P60" s="214" t="s">
        <v>1098</v>
      </c>
      <c r="Q60" s="214" t="s">
        <v>1098</v>
      </c>
      <c r="R60" s="214" t="s">
        <v>1098</v>
      </c>
      <c r="S60" s="214" t="s">
        <v>1098</v>
      </c>
      <c r="T60" s="214" t="s">
        <v>1098</v>
      </c>
      <c r="U60" s="214" t="s">
        <v>1098</v>
      </c>
      <c r="V60" s="214" t="s">
        <v>1098</v>
      </c>
      <c r="W60" s="197" t="s">
        <v>1100</v>
      </c>
    </row>
    <row r="61" spans="2:28" ht="15.5">
      <c r="B61" s="493"/>
      <c r="C61" s="213">
        <v>2.2000000000000002</v>
      </c>
      <c r="D61" s="214" t="s">
        <v>1098</v>
      </c>
      <c r="E61" s="214" t="s">
        <v>1098</v>
      </c>
      <c r="F61" s="214" t="s">
        <v>1098</v>
      </c>
      <c r="G61" s="214" t="s">
        <v>1098</v>
      </c>
      <c r="H61" s="214" t="s">
        <v>1098</v>
      </c>
      <c r="I61" s="214" t="s">
        <v>1098</v>
      </c>
      <c r="J61" s="214" t="s">
        <v>1098</v>
      </c>
      <c r="K61" s="214" t="s">
        <v>1098</v>
      </c>
      <c r="L61" s="214" t="s">
        <v>1098</v>
      </c>
      <c r="M61" s="214" t="s">
        <v>1098</v>
      </c>
      <c r="N61" s="214" t="s">
        <v>1098</v>
      </c>
      <c r="O61" s="214" t="s">
        <v>1098</v>
      </c>
      <c r="P61" s="214" t="s">
        <v>1098</v>
      </c>
      <c r="Q61" s="214" t="s">
        <v>1098</v>
      </c>
      <c r="R61" s="214" t="s">
        <v>1098</v>
      </c>
      <c r="S61" s="214" t="s">
        <v>1098</v>
      </c>
      <c r="T61" s="214" t="s">
        <v>1098</v>
      </c>
      <c r="U61" s="214" t="s">
        <v>1098</v>
      </c>
      <c r="V61" s="214" t="s">
        <v>1098</v>
      </c>
      <c r="W61" s="197" t="s">
        <v>1100</v>
      </c>
    </row>
    <row r="62" spans="2:28" ht="15.5">
      <c r="B62" s="493"/>
      <c r="C62" s="213">
        <v>2.2999999999999998</v>
      </c>
      <c r="D62" s="214" t="s">
        <v>1098</v>
      </c>
      <c r="E62" s="214"/>
      <c r="F62" s="214" t="s">
        <v>1098</v>
      </c>
      <c r="G62" s="214" t="s">
        <v>1098</v>
      </c>
      <c r="H62" s="214" t="s">
        <v>1098</v>
      </c>
      <c r="I62" s="214" t="s">
        <v>1098</v>
      </c>
      <c r="J62" s="214" t="s">
        <v>1098</v>
      </c>
      <c r="K62" s="214" t="s">
        <v>1098</v>
      </c>
      <c r="L62" s="214"/>
      <c r="M62" s="214" t="s">
        <v>1098</v>
      </c>
      <c r="N62" s="214" t="s">
        <v>1098</v>
      </c>
      <c r="O62" s="214"/>
      <c r="P62" s="214"/>
      <c r="Q62" s="214" t="s">
        <v>1098</v>
      </c>
      <c r="R62" s="214" t="s">
        <v>1098</v>
      </c>
      <c r="S62" s="214" t="s">
        <v>1098</v>
      </c>
      <c r="T62" s="214"/>
      <c r="U62" s="214" t="s">
        <v>1098</v>
      </c>
      <c r="V62" s="214" t="s">
        <v>1098</v>
      </c>
      <c r="W62" s="197" t="s">
        <v>1098</v>
      </c>
    </row>
    <row r="63" spans="2:28" ht="15.5">
      <c r="B63" s="493"/>
      <c r="C63" s="213">
        <v>2.4</v>
      </c>
      <c r="D63" s="214" t="s">
        <v>1098</v>
      </c>
      <c r="E63" s="214"/>
      <c r="F63" s="214"/>
      <c r="G63" s="214" t="s">
        <v>1098</v>
      </c>
      <c r="H63" s="214" t="s">
        <v>1098</v>
      </c>
      <c r="I63" s="214"/>
      <c r="J63" s="214" t="s">
        <v>1098</v>
      </c>
      <c r="K63" s="214" t="s">
        <v>1098</v>
      </c>
      <c r="L63" s="214"/>
      <c r="M63" s="214"/>
      <c r="N63" s="214" t="s">
        <v>1098</v>
      </c>
      <c r="O63" s="214"/>
      <c r="P63" s="214"/>
      <c r="Q63" s="214" t="s">
        <v>1098</v>
      </c>
      <c r="R63" s="214" t="s">
        <v>1098</v>
      </c>
      <c r="S63" s="214" t="s">
        <v>1098</v>
      </c>
      <c r="T63" s="214"/>
      <c r="U63" s="214" t="s">
        <v>1098</v>
      </c>
      <c r="V63" s="214" t="s">
        <v>1098</v>
      </c>
      <c r="W63" s="197" t="s">
        <v>1099</v>
      </c>
    </row>
    <row r="64" spans="2:28" ht="15.5">
      <c r="B64" s="493"/>
      <c r="C64" s="213">
        <v>2.5</v>
      </c>
      <c r="D64" s="214"/>
      <c r="E64" s="214"/>
      <c r="F64" s="214"/>
      <c r="G64" s="214" t="s">
        <v>1098</v>
      </c>
      <c r="H64" s="214"/>
      <c r="I64" s="214"/>
      <c r="J64" s="214"/>
      <c r="K64" s="214" t="s">
        <v>1098</v>
      </c>
      <c r="L64" s="214"/>
      <c r="M64" s="214"/>
      <c r="N64" s="214" t="s">
        <v>1098</v>
      </c>
      <c r="O64" s="214"/>
      <c r="P64" s="214"/>
      <c r="Q64" s="214"/>
      <c r="R64" s="214" t="s">
        <v>1098</v>
      </c>
      <c r="S64" s="214"/>
      <c r="T64" s="214"/>
      <c r="U64" s="214" t="s">
        <v>1098</v>
      </c>
      <c r="V64" s="214" t="s">
        <v>1098</v>
      </c>
      <c r="W64" s="197"/>
    </row>
    <row r="65" spans="2:23" ht="15.5">
      <c r="B65" s="493"/>
      <c r="C65" s="213">
        <v>2.6</v>
      </c>
      <c r="D65" s="214"/>
      <c r="E65" s="214"/>
      <c r="F65" s="214"/>
      <c r="G65" s="214" t="s">
        <v>1098</v>
      </c>
      <c r="H65" s="214"/>
      <c r="I65" s="214"/>
      <c r="J65" s="214"/>
      <c r="K65" s="214" t="s">
        <v>1098</v>
      </c>
      <c r="L65" s="214"/>
      <c r="M65" s="214"/>
      <c r="N65" s="214" t="s">
        <v>1098</v>
      </c>
      <c r="O65" s="214"/>
      <c r="P65" s="214"/>
      <c r="Q65" s="214"/>
      <c r="R65" s="214" t="s">
        <v>1098</v>
      </c>
      <c r="S65" s="214"/>
      <c r="T65" s="214"/>
      <c r="U65" s="214"/>
      <c r="V65" s="214"/>
      <c r="W65" s="197"/>
    </row>
    <row r="66" spans="2:23" ht="15.5">
      <c r="B66" s="493"/>
      <c r="C66" s="213">
        <v>2.7</v>
      </c>
      <c r="D66" s="214"/>
      <c r="E66" s="214"/>
      <c r="F66" s="214"/>
      <c r="G66" s="214"/>
      <c r="H66" s="214"/>
      <c r="I66" s="214"/>
      <c r="J66" s="214"/>
      <c r="K66" s="214"/>
      <c r="L66" s="214"/>
      <c r="M66" s="214"/>
      <c r="N66" s="214"/>
      <c r="O66" s="214"/>
      <c r="P66" s="214"/>
      <c r="Q66" s="214"/>
      <c r="R66" s="214" t="s">
        <v>1098</v>
      </c>
      <c r="S66" s="214"/>
      <c r="T66" s="214"/>
      <c r="U66" s="214"/>
      <c r="V66" s="214"/>
      <c r="W66" s="197"/>
    </row>
    <row r="67" spans="2:23" ht="15.5">
      <c r="B67" s="493"/>
      <c r="C67" s="213">
        <v>2.8</v>
      </c>
      <c r="D67" s="214"/>
      <c r="E67" s="214"/>
      <c r="F67" s="214"/>
      <c r="G67" s="214"/>
      <c r="H67" s="214"/>
      <c r="I67" s="214"/>
      <c r="J67" s="214"/>
      <c r="K67" s="214"/>
      <c r="L67" s="214"/>
      <c r="M67" s="214"/>
      <c r="N67" s="214"/>
      <c r="O67" s="214"/>
      <c r="P67" s="214"/>
      <c r="Q67" s="214"/>
      <c r="R67" s="214" t="s">
        <v>1098</v>
      </c>
      <c r="S67" s="214"/>
      <c r="T67" s="214"/>
      <c r="U67" s="214"/>
      <c r="V67" s="214"/>
      <c r="W67" s="197"/>
    </row>
    <row r="68" spans="2:23" ht="12" customHeight="1">
      <c r="B68" s="203"/>
      <c r="C68" s="203"/>
      <c r="D68" s="203"/>
      <c r="E68" s="203"/>
      <c r="F68" s="203"/>
      <c r="G68" s="203"/>
      <c r="H68" s="203"/>
      <c r="I68" s="203"/>
      <c r="J68" s="203"/>
      <c r="K68" s="203"/>
      <c r="L68" s="203"/>
      <c r="M68" s="203"/>
      <c r="N68" s="203"/>
      <c r="O68" s="203"/>
      <c r="P68" s="203"/>
      <c r="Q68" s="203"/>
      <c r="R68" s="203"/>
      <c r="S68" s="203"/>
      <c r="T68" s="203"/>
      <c r="U68" s="203"/>
      <c r="V68" s="203"/>
      <c r="W68" s="208"/>
    </row>
    <row r="69" spans="2:23" ht="15.5">
      <c r="B69" s="493" t="s">
        <v>1105</v>
      </c>
      <c r="C69" s="214"/>
      <c r="D69" s="214" t="s">
        <v>1102</v>
      </c>
      <c r="E69" s="214" t="s">
        <v>1101</v>
      </c>
      <c r="F69" s="214" t="s">
        <v>1101</v>
      </c>
      <c r="G69" s="214" t="s">
        <v>1101</v>
      </c>
      <c r="H69" s="214" t="s">
        <v>1101</v>
      </c>
      <c r="I69" s="214" t="s">
        <v>1101</v>
      </c>
      <c r="J69" s="214" t="s">
        <v>1102</v>
      </c>
      <c r="K69" s="214" t="s">
        <v>1101</v>
      </c>
      <c r="L69" s="214" t="s">
        <v>1101</v>
      </c>
      <c r="M69" s="214" t="s">
        <v>1101</v>
      </c>
      <c r="N69" s="214" t="s">
        <v>1101</v>
      </c>
      <c r="O69" s="214" t="s">
        <v>1101</v>
      </c>
      <c r="P69" s="214" t="s">
        <v>1101</v>
      </c>
      <c r="Q69" s="214" t="s">
        <v>1101</v>
      </c>
      <c r="R69" s="214" t="s">
        <v>1101</v>
      </c>
      <c r="S69" s="214" t="s">
        <v>1101</v>
      </c>
      <c r="T69" s="214" t="s">
        <v>1101</v>
      </c>
      <c r="U69" s="214" t="s">
        <v>1101</v>
      </c>
      <c r="V69" s="214"/>
      <c r="W69" s="197"/>
    </row>
    <row r="70" spans="2:23" ht="15.5">
      <c r="B70" s="493"/>
      <c r="C70" s="213">
        <v>3.1</v>
      </c>
      <c r="D70" s="214" t="s">
        <v>1098</v>
      </c>
      <c r="E70" s="214" t="s">
        <v>1098</v>
      </c>
      <c r="F70" s="214" t="s">
        <v>1098</v>
      </c>
      <c r="G70" s="214" t="s">
        <v>1098</v>
      </c>
      <c r="H70" s="214" t="s">
        <v>1098</v>
      </c>
      <c r="I70" s="214" t="s">
        <v>1098</v>
      </c>
      <c r="J70" s="214" t="s">
        <v>914</v>
      </c>
      <c r="K70" s="214" t="s">
        <v>1098</v>
      </c>
      <c r="L70" s="214" t="s">
        <v>1098</v>
      </c>
      <c r="M70" s="214" t="s">
        <v>1098</v>
      </c>
      <c r="N70" s="214" t="s">
        <v>1098</v>
      </c>
      <c r="O70" s="214" t="s">
        <v>1098</v>
      </c>
      <c r="P70" s="214" t="s">
        <v>1098</v>
      </c>
      <c r="Q70" s="214" t="s">
        <v>1098</v>
      </c>
      <c r="R70" s="214" t="s">
        <v>1098</v>
      </c>
      <c r="S70" s="214" t="s">
        <v>1099</v>
      </c>
      <c r="T70" s="214" t="s">
        <v>1098</v>
      </c>
      <c r="U70" s="214" t="s">
        <v>1098</v>
      </c>
      <c r="V70" s="214"/>
      <c r="W70" s="197" t="s">
        <v>1100</v>
      </c>
    </row>
    <row r="71" spans="2:23" ht="15.5">
      <c r="B71" s="493"/>
      <c r="C71" s="213">
        <v>3.2</v>
      </c>
      <c r="D71" s="214" t="s">
        <v>914</v>
      </c>
      <c r="E71" s="214" t="s">
        <v>1098</v>
      </c>
      <c r="F71" s="214" t="s">
        <v>1098</v>
      </c>
      <c r="G71" s="214" t="s">
        <v>1098</v>
      </c>
      <c r="H71" s="214"/>
      <c r="I71" s="214"/>
      <c r="J71" s="214"/>
      <c r="K71" s="214" t="s">
        <v>1098</v>
      </c>
      <c r="L71" s="214" t="s">
        <v>1098</v>
      </c>
      <c r="M71" s="214" t="s">
        <v>1098</v>
      </c>
      <c r="N71" s="214" t="s">
        <v>1098</v>
      </c>
      <c r="O71" s="214" t="s">
        <v>1098</v>
      </c>
      <c r="P71" s="214" t="s">
        <v>1098</v>
      </c>
      <c r="Q71" s="214" t="s">
        <v>1098</v>
      </c>
      <c r="R71" s="214" t="s">
        <v>1098</v>
      </c>
      <c r="S71" s="214" t="s">
        <v>1098</v>
      </c>
      <c r="T71" s="214" t="s">
        <v>1098</v>
      </c>
      <c r="U71" s="214"/>
      <c r="V71" s="214"/>
      <c r="W71" s="197" t="s">
        <v>1100</v>
      </c>
    </row>
    <row r="72" spans="2:23" ht="15.5">
      <c r="B72" s="493"/>
      <c r="C72" s="213">
        <v>3.3</v>
      </c>
      <c r="D72" s="214"/>
      <c r="E72" s="214" t="s">
        <v>1098</v>
      </c>
      <c r="F72" s="214" t="s">
        <v>1098</v>
      </c>
      <c r="G72" s="214" t="s">
        <v>1098</v>
      </c>
      <c r="H72" s="214"/>
      <c r="I72" s="214"/>
      <c r="J72" s="214"/>
      <c r="K72" s="214" t="s">
        <v>1098</v>
      </c>
      <c r="L72" s="214" t="s">
        <v>1098</v>
      </c>
      <c r="M72" s="214" t="s">
        <v>1098</v>
      </c>
      <c r="N72" s="214" t="s">
        <v>1098</v>
      </c>
      <c r="O72" s="214" t="s">
        <v>1098</v>
      </c>
      <c r="P72" s="214" t="s">
        <v>1098</v>
      </c>
      <c r="Q72" s="214" t="s">
        <v>1098</v>
      </c>
      <c r="R72" s="214" t="s">
        <v>1098</v>
      </c>
      <c r="S72" s="214"/>
      <c r="T72" s="214" t="s">
        <v>1098</v>
      </c>
      <c r="U72" s="214"/>
      <c r="V72" s="214"/>
      <c r="W72" s="197"/>
    </row>
    <row r="73" spans="2:23" ht="15.5">
      <c r="B73" s="493"/>
      <c r="C73" s="213">
        <v>3.4</v>
      </c>
      <c r="D73" s="214"/>
      <c r="E73" s="214"/>
      <c r="F73" s="214" t="s">
        <v>1098</v>
      </c>
      <c r="G73" s="214"/>
      <c r="H73" s="214"/>
      <c r="I73" s="214"/>
      <c r="J73" s="214"/>
      <c r="K73" s="214" t="s">
        <v>1098</v>
      </c>
      <c r="L73" s="214" t="s">
        <v>1098</v>
      </c>
      <c r="M73" s="214" t="s">
        <v>1098</v>
      </c>
      <c r="N73" s="214" t="s">
        <v>1098</v>
      </c>
      <c r="O73" s="214" t="s">
        <v>1098</v>
      </c>
      <c r="P73" s="214" t="s">
        <v>1098</v>
      </c>
      <c r="Q73" s="214" t="s">
        <v>1098</v>
      </c>
      <c r="R73" s="214" t="s">
        <v>1099</v>
      </c>
      <c r="S73" s="214"/>
      <c r="T73" s="214" t="s">
        <v>1098</v>
      </c>
      <c r="U73" s="214"/>
      <c r="V73" s="214"/>
      <c r="W73" s="197"/>
    </row>
    <row r="74" spans="2:23" ht="15.5">
      <c r="B74" s="493"/>
      <c r="C74" s="213">
        <v>3.5</v>
      </c>
      <c r="D74" s="214"/>
      <c r="E74" s="214"/>
      <c r="F74" s="214" t="s">
        <v>1098</v>
      </c>
      <c r="G74" s="214"/>
      <c r="H74" s="214"/>
      <c r="I74" s="214"/>
      <c r="J74" s="214"/>
      <c r="K74" s="214" t="s">
        <v>1098</v>
      </c>
      <c r="L74" s="214" t="s">
        <v>1098</v>
      </c>
      <c r="M74" s="214" t="s">
        <v>1098</v>
      </c>
      <c r="N74" s="214" t="s">
        <v>1098</v>
      </c>
      <c r="O74" s="214" t="s">
        <v>1098</v>
      </c>
      <c r="P74" s="214" t="s">
        <v>1098</v>
      </c>
      <c r="Q74" s="214"/>
      <c r="R74" s="214"/>
      <c r="S74" s="214"/>
      <c r="T74" s="214" t="s">
        <v>1098</v>
      </c>
      <c r="U74" s="214"/>
      <c r="V74" s="214"/>
      <c r="W74" s="197"/>
    </row>
    <row r="75" spans="2:23" ht="15.5">
      <c r="B75" s="493"/>
      <c r="C75" s="213">
        <v>3.6</v>
      </c>
      <c r="D75" s="214"/>
      <c r="E75" s="214"/>
      <c r="F75" s="214" t="s">
        <v>1098</v>
      </c>
      <c r="G75" s="214"/>
      <c r="H75" s="214"/>
      <c r="I75" s="214"/>
      <c r="J75" s="214"/>
      <c r="K75" s="214" t="s">
        <v>1098</v>
      </c>
      <c r="L75" s="214" t="s">
        <v>1098</v>
      </c>
      <c r="M75" s="214" t="s">
        <v>1099</v>
      </c>
      <c r="N75" s="214" t="s">
        <v>1098</v>
      </c>
      <c r="O75" s="214"/>
      <c r="P75" s="214" t="s">
        <v>1098</v>
      </c>
      <c r="Q75" s="214"/>
      <c r="R75" s="214"/>
      <c r="S75" s="214"/>
      <c r="T75" s="214"/>
      <c r="U75" s="214"/>
      <c r="V75" s="214"/>
      <c r="W75" s="197"/>
    </row>
    <row r="76" spans="2:23" ht="15.5">
      <c r="B76" s="493"/>
      <c r="C76" s="213">
        <v>3.7</v>
      </c>
      <c r="D76" s="214"/>
      <c r="E76" s="214"/>
      <c r="F76" s="214"/>
      <c r="G76" s="214"/>
      <c r="H76" s="214"/>
      <c r="I76" s="214"/>
      <c r="J76" s="214"/>
      <c r="K76" s="214" t="s">
        <v>1098</v>
      </c>
      <c r="L76" s="214"/>
      <c r="M76" s="214" t="s">
        <v>1098</v>
      </c>
      <c r="N76" s="214"/>
      <c r="O76" s="214"/>
      <c r="P76" s="214" t="s">
        <v>1098</v>
      </c>
      <c r="Q76" s="214"/>
      <c r="R76" s="214"/>
      <c r="S76" s="214"/>
      <c r="T76" s="214"/>
      <c r="U76" s="214"/>
      <c r="V76" s="214"/>
      <c r="W76" s="197"/>
    </row>
    <row r="77" spans="2:23" ht="12" customHeight="1">
      <c r="B77" s="203"/>
      <c r="C77" s="203"/>
      <c r="D77" s="203"/>
      <c r="E77" s="203"/>
      <c r="F77" s="203"/>
      <c r="G77" s="203"/>
      <c r="H77" s="203"/>
      <c r="I77" s="203"/>
      <c r="J77" s="203"/>
      <c r="K77" s="203"/>
      <c r="L77" s="203"/>
      <c r="M77" s="203"/>
      <c r="N77" s="203"/>
      <c r="O77" s="203"/>
      <c r="P77" s="203"/>
      <c r="Q77" s="203"/>
      <c r="R77" s="203"/>
      <c r="S77" s="203"/>
      <c r="T77" s="203"/>
      <c r="U77" s="203"/>
      <c r="V77" s="203"/>
      <c r="W77" s="208"/>
    </row>
    <row r="78" spans="2:23" ht="15.5">
      <c r="B78" s="493" t="s">
        <v>1106</v>
      </c>
      <c r="C78" s="214"/>
      <c r="D78" s="214" t="s">
        <v>1102</v>
      </c>
      <c r="E78" s="214"/>
      <c r="F78" s="214"/>
      <c r="G78" s="214"/>
      <c r="H78" s="214"/>
      <c r="I78" s="214"/>
      <c r="J78" s="214"/>
      <c r="K78" s="214"/>
      <c r="L78" s="214" t="s">
        <v>1101</v>
      </c>
      <c r="M78" s="214"/>
      <c r="N78" s="214" t="s">
        <v>1101</v>
      </c>
      <c r="O78" s="214"/>
      <c r="P78" s="214"/>
      <c r="Q78" s="214"/>
      <c r="R78" s="214" t="s">
        <v>1101</v>
      </c>
      <c r="S78" s="214"/>
      <c r="T78" s="214" t="s">
        <v>1101</v>
      </c>
      <c r="U78" s="214"/>
      <c r="V78" s="214"/>
      <c r="W78" s="197"/>
    </row>
    <row r="79" spans="2:23" ht="15.5">
      <c r="B79" s="493"/>
      <c r="C79" s="213">
        <v>4.0999999999999996</v>
      </c>
      <c r="D79" s="214" t="s">
        <v>1098</v>
      </c>
      <c r="E79" s="214"/>
      <c r="F79" s="214"/>
      <c r="G79" s="214"/>
      <c r="H79" s="214"/>
      <c r="I79" s="214"/>
      <c r="J79" s="214"/>
      <c r="K79" s="214"/>
      <c r="L79" s="214" t="s">
        <v>1098</v>
      </c>
      <c r="M79" s="214"/>
      <c r="N79" s="214" t="s">
        <v>1098</v>
      </c>
      <c r="O79" s="214"/>
      <c r="P79" s="214"/>
      <c r="Q79" s="214"/>
      <c r="R79" s="214" t="s">
        <v>1098</v>
      </c>
      <c r="S79" s="214"/>
      <c r="T79" s="214" t="s">
        <v>1098</v>
      </c>
      <c r="U79" s="214"/>
      <c r="V79" s="214"/>
      <c r="W79" s="197" t="s">
        <v>1100</v>
      </c>
    </row>
    <row r="80" spans="2:23" ht="15.5">
      <c r="B80" s="493"/>
      <c r="C80" s="213">
        <v>4.2</v>
      </c>
      <c r="D80" s="214"/>
      <c r="E80" s="214"/>
      <c r="F80" s="214"/>
      <c r="G80" s="214"/>
      <c r="H80" s="214"/>
      <c r="I80" s="214"/>
      <c r="J80" s="214"/>
      <c r="K80" s="214"/>
      <c r="L80" s="214"/>
      <c r="M80" s="214"/>
      <c r="N80" s="214" t="s">
        <v>1098</v>
      </c>
      <c r="O80" s="214"/>
      <c r="P80" s="214"/>
      <c r="Q80" s="214"/>
      <c r="R80" s="214"/>
      <c r="S80" s="214"/>
      <c r="T80" s="214" t="s">
        <v>1098</v>
      </c>
      <c r="U80" s="214"/>
      <c r="V80" s="214"/>
      <c r="W80" s="197"/>
    </row>
    <row r="81" spans="2:23" ht="15.5">
      <c r="B81" s="493"/>
      <c r="C81" s="213">
        <v>4.3</v>
      </c>
      <c r="D81" s="214"/>
      <c r="E81" s="214"/>
      <c r="F81" s="214"/>
      <c r="G81" s="214"/>
      <c r="H81" s="214"/>
      <c r="I81" s="214"/>
      <c r="J81" s="214"/>
      <c r="K81" s="214"/>
      <c r="L81" s="214"/>
      <c r="M81" s="214"/>
      <c r="N81" s="214" t="s">
        <v>1098</v>
      </c>
      <c r="O81" s="214"/>
      <c r="P81" s="214"/>
      <c r="Q81" s="214"/>
      <c r="R81" s="214"/>
      <c r="S81" s="214"/>
      <c r="T81" s="214"/>
      <c r="U81" s="214"/>
      <c r="V81" s="214"/>
      <c r="W81" s="197"/>
    </row>
    <row r="82" spans="2:23" ht="15.5">
      <c r="B82" s="493"/>
      <c r="C82" s="213">
        <v>4.4000000000000004</v>
      </c>
      <c r="D82" s="214"/>
      <c r="E82" s="214"/>
      <c r="F82" s="214"/>
      <c r="G82" s="214"/>
      <c r="H82" s="214"/>
      <c r="I82" s="214"/>
      <c r="J82" s="214"/>
      <c r="K82" s="214"/>
      <c r="L82" s="214"/>
      <c r="M82" s="214"/>
      <c r="N82" s="214" t="s">
        <v>1098</v>
      </c>
      <c r="O82" s="214"/>
      <c r="P82" s="214"/>
      <c r="Q82" s="214"/>
      <c r="R82" s="214"/>
      <c r="S82" s="214"/>
      <c r="T82" s="214"/>
      <c r="U82" s="214"/>
      <c r="V82" s="214"/>
      <c r="W82" s="197"/>
    </row>
    <row r="83" spans="2:23" ht="15.5">
      <c r="B83" s="493"/>
      <c r="C83" s="213">
        <v>4.5</v>
      </c>
      <c r="D83" s="214"/>
      <c r="E83" s="214"/>
      <c r="F83" s="214"/>
      <c r="G83" s="214"/>
      <c r="H83" s="214"/>
      <c r="I83" s="214"/>
      <c r="J83" s="214"/>
      <c r="K83" s="214"/>
      <c r="L83" s="214"/>
      <c r="M83" s="214"/>
      <c r="N83" s="214" t="s">
        <v>1098</v>
      </c>
      <c r="O83" s="214"/>
      <c r="P83" s="214"/>
      <c r="Q83" s="214"/>
      <c r="R83" s="214"/>
      <c r="S83" s="214"/>
      <c r="T83" s="214"/>
      <c r="U83" s="214"/>
      <c r="V83" s="214"/>
      <c r="W83" s="197"/>
    </row>
    <row r="84" spans="2:23" ht="12" customHeight="1">
      <c r="B84" s="203"/>
      <c r="C84" s="203"/>
      <c r="D84" s="203"/>
      <c r="E84" s="203"/>
      <c r="F84" s="203"/>
      <c r="G84" s="203"/>
      <c r="H84" s="203"/>
      <c r="I84" s="203"/>
      <c r="J84" s="203"/>
      <c r="K84" s="203"/>
      <c r="L84" s="203"/>
      <c r="M84" s="203"/>
      <c r="N84" s="203"/>
      <c r="O84" s="203"/>
      <c r="P84" s="203"/>
      <c r="Q84" s="203"/>
      <c r="R84" s="203"/>
      <c r="S84" s="203"/>
      <c r="T84" s="203"/>
      <c r="U84" s="203"/>
      <c r="V84" s="203"/>
      <c r="W84" s="208"/>
    </row>
    <row r="85" spans="2:23" ht="15.5">
      <c r="B85" s="493" t="s">
        <v>1107</v>
      </c>
      <c r="C85" s="214"/>
      <c r="D85" s="214"/>
      <c r="E85" s="214"/>
      <c r="F85" s="214"/>
      <c r="G85" s="214"/>
      <c r="H85" s="214"/>
      <c r="I85" s="214"/>
      <c r="J85" s="214"/>
      <c r="K85" s="214"/>
      <c r="L85" s="214"/>
      <c r="M85" s="214"/>
      <c r="N85" s="214" t="s">
        <v>1101</v>
      </c>
      <c r="O85" s="214"/>
      <c r="P85" s="214"/>
      <c r="Q85" s="214"/>
      <c r="R85" s="214"/>
      <c r="S85" s="214"/>
      <c r="T85" s="214" t="s">
        <v>1101</v>
      </c>
      <c r="U85" s="214"/>
      <c r="V85" s="214"/>
      <c r="W85" s="197"/>
    </row>
    <row r="86" spans="2:23" ht="15.5">
      <c r="B86" s="493"/>
      <c r="C86" s="213">
        <v>5.0999999999999996</v>
      </c>
      <c r="D86" s="214"/>
      <c r="E86" s="214"/>
      <c r="F86" s="214"/>
      <c r="G86" s="214"/>
      <c r="H86" s="214"/>
      <c r="I86" s="214"/>
      <c r="J86" s="214"/>
      <c r="K86" s="214"/>
      <c r="L86" s="214"/>
      <c r="M86" s="214"/>
      <c r="N86" s="214" t="s">
        <v>1098</v>
      </c>
      <c r="O86" s="214"/>
      <c r="P86" s="214"/>
      <c r="Q86" s="214"/>
      <c r="R86" s="214"/>
      <c r="S86" s="214"/>
      <c r="T86" s="214" t="s">
        <v>1098</v>
      </c>
      <c r="U86" s="214"/>
      <c r="V86" s="214"/>
      <c r="W86" s="197"/>
    </row>
    <row r="87" spans="2:23" ht="15.5">
      <c r="B87" s="493"/>
      <c r="C87" s="213">
        <v>5.2</v>
      </c>
      <c r="D87" s="214"/>
      <c r="E87" s="214"/>
      <c r="F87" s="214"/>
      <c r="G87" s="214"/>
      <c r="H87" s="214"/>
      <c r="I87" s="214"/>
      <c r="J87" s="214"/>
      <c r="K87" s="214"/>
      <c r="L87" s="214"/>
      <c r="M87" s="214"/>
      <c r="N87" s="214" t="s">
        <v>1098</v>
      </c>
      <c r="O87" s="214"/>
      <c r="P87" s="214"/>
      <c r="Q87" s="214"/>
      <c r="R87" s="214"/>
      <c r="S87" s="214"/>
      <c r="T87" s="214"/>
      <c r="U87" s="214"/>
      <c r="V87" s="214"/>
      <c r="W87" s="197"/>
    </row>
    <row r="88" spans="2:23" ht="15.5">
      <c r="B88" s="493"/>
      <c r="C88" s="213">
        <v>5.3</v>
      </c>
      <c r="D88" s="214"/>
      <c r="E88" s="214"/>
      <c r="F88" s="214"/>
      <c r="G88" s="214"/>
      <c r="H88" s="214"/>
      <c r="I88" s="214"/>
      <c r="J88" s="214"/>
      <c r="K88" s="214"/>
      <c r="L88" s="214"/>
      <c r="M88" s="214"/>
      <c r="N88" s="214" t="s">
        <v>1098</v>
      </c>
      <c r="O88" s="214"/>
      <c r="P88" s="214"/>
      <c r="Q88" s="214"/>
      <c r="R88" s="214"/>
      <c r="S88" s="214"/>
      <c r="T88" s="214"/>
      <c r="U88" s="214"/>
      <c r="V88" s="214"/>
      <c r="W88" s="197"/>
    </row>
    <row r="89" spans="2:23" ht="12" customHeight="1">
      <c r="B89" s="203"/>
      <c r="C89" s="203"/>
      <c r="D89" s="203"/>
      <c r="E89" s="203"/>
      <c r="F89" s="203"/>
      <c r="G89" s="203"/>
      <c r="H89" s="203"/>
      <c r="I89" s="203"/>
      <c r="J89" s="203"/>
      <c r="K89" s="203"/>
      <c r="L89" s="203"/>
      <c r="M89" s="203"/>
      <c r="N89" s="203"/>
      <c r="O89" s="203"/>
      <c r="P89" s="203"/>
      <c r="Q89" s="203"/>
      <c r="R89" s="203"/>
      <c r="S89" s="203"/>
      <c r="T89" s="203"/>
      <c r="U89" s="203"/>
      <c r="V89" s="203"/>
      <c r="W89" s="209"/>
    </row>
  </sheetData>
  <mergeCells count="26">
    <mergeCell ref="Q2:S2"/>
    <mergeCell ref="T2:V2"/>
    <mergeCell ref="B11:B19"/>
    <mergeCell ref="B21:B28"/>
    <mergeCell ref="B30:B35"/>
    <mergeCell ref="B2:B3"/>
    <mergeCell ref="C2:C3"/>
    <mergeCell ref="D2:E2"/>
    <mergeCell ref="F2:G2"/>
    <mergeCell ref="H2:K2"/>
    <mergeCell ref="L2:N2"/>
    <mergeCell ref="B5:B9"/>
    <mergeCell ref="B37:B40"/>
    <mergeCell ref="B69:B76"/>
    <mergeCell ref="B50:B51"/>
    <mergeCell ref="C50:C51"/>
    <mergeCell ref="D50:E50"/>
    <mergeCell ref="B78:B83"/>
    <mergeCell ref="B85:B88"/>
    <mergeCell ref="H50:K50"/>
    <mergeCell ref="L50:N50"/>
    <mergeCell ref="T50:V50"/>
    <mergeCell ref="B53:B57"/>
    <mergeCell ref="B59:B67"/>
    <mergeCell ref="F50:G50"/>
    <mergeCell ref="Q50:S50"/>
  </mergeCells>
  <phoneticPr fontId="54" type="noConversion"/>
  <conditionalFormatting sqref="W4:W41">
    <cfRule type="cellIs" dxfId="102" priority="107" operator="equal">
      <formula>"S"</formula>
    </cfRule>
    <cfRule type="cellIs" dxfId="101" priority="108" stopIfTrue="1" operator="equal">
      <formula>"FM"</formula>
    </cfRule>
    <cfRule type="cellIs" dxfId="100" priority="109" stopIfTrue="1" operator="equal">
      <formula>"LM"</formula>
    </cfRule>
    <cfRule type="cellIs" dxfId="99" priority="110" stopIfTrue="1" operator="equal">
      <formula>"PM"</formula>
    </cfRule>
    <cfRule type="cellIs" dxfId="98" priority="156" stopIfTrue="1" operator="equal">
      <formula>"DM"</formula>
    </cfRule>
  </conditionalFormatting>
  <conditionalFormatting sqref="C5">
    <cfRule type="cellIs" dxfId="97" priority="97" operator="equal">
      <formula>"S"</formula>
    </cfRule>
    <cfRule type="cellIs" dxfId="96" priority="98" stopIfTrue="1" operator="equal">
      <formula>"FM"</formula>
    </cfRule>
    <cfRule type="cellIs" dxfId="95" priority="99" stopIfTrue="1" operator="equal">
      <formula>"LM"</formula>
    </cfRule>
    <cfRule type="cellIs" dxfId="94" priority="100" stopIfTrue="1" operator="equal">
      <formula>"PM"</formula>
    </cfRule>
    <cfRule type="cellIs" dxfId="93" priority="101" stopIfTrue="1" operator="equal">
      <formula>"DM"</formula>
    </cfRule>
  </conditionalFormatting>
  <conditionalFormatting sqref="C11">
    <cfRule type="cellIs" dxfId="92" priority="92" operator="equal">
      <formula>"S"</formula>
    </cfRule>
    <cfRule type="cellIs" dxfId="91" priority="93" stopIfTrue="1" operator="equal">
      <formula>"FM"</formula>
    </cfRule>
    <cfRule type="cellIs" dxfId="90" priority="94" stopIfTrue="1" operator="equal">
      <formula>"LM"</formula>
    </cfRule>
    <cfRule type="cellIs" dxfId="89" priority="95" stopIfTrue="1" operator="equal">
      <formula>"PM"</formula>
    </cfRule>
    <cfRule type="cellIs" dxfId="88" priority="96" stopIfTrue="1" operator="equal">
      <formula>"DM"</formula>
    </cfRule>
  </conditionalFormatting>
  <conditionalFormatting sqref="C21">
    <cfRule type="cellIs" dxfId="87" priority="87" operator="equal">
      <formula>"S"</formula>
    </cfRule>
    <cfRule type="cellIs" dxfId="86" priority="88" stopIfTrue="1" operator="equal">
      <formula>"FM"</formula>
    </cfRule>
    <cfRule type="cellIs" dxfId="85" priority="89" stopIfTrue="1" operator="equal">
      <formula>"LM"</formula>
    </cfRule>
    <cfRule type="cellIs" dxfId="84" priority="90" stopIfTrue="1" operator="equal">
      <formula>"PM"</formula>
    </cfRule>
    <cfRule type="cellIs" dxfId="83" priority="91" stopIfTrue="1" operator="equal">
      <formula>"DM"</formula>
    </cfRule>
  </conditionalFormatting>
  <conditionalFormatting sqref="C30">
    <cfRule type="cellIs" dxfId="82" priority="82" operator="equal">
      <formula>"S"</formula>
    </cfRule>
    <cfRule type="cellIs" dxfId="81" priority="83" stopIfTrue="1" operator="equal">
      <formula>"FM"</formula>
    </cfRule>
    <cfRule type="cellIs" dxfId="80" priority="84" stopIfTrue="1" operator="equal">
      <formula>"LM"</formula>
    </cfRule>
    <cfRule type="cellIs" dxfId="79" priority="85" stopIfTrue="1" operator="equal">
      <formula>"PM"</formula>
    </cfRule>
    <cfRule type="cellIs" dxfId="78" priority="86" stopIfTrue="1" operator="equal">
      <formula>"DM"</formula>
    </cfRule>
  </conditionalFormatting>
  <conditionalFormatting sqref="C37">
    <cfRule type="cellIs" dxfId="77" priority="77" operator="equal">
      <formula>"S"</formula>
    </cfRule>
    <cfRule type="cellIs" dxfId="76" priority="78" stopIfTrue="1" operator="equal">
      <formula>"FM"</formula>
    </cfRule>
    <cfRule type="cellIs" dxfId="75" priority="79" stopIfTrue="1" operator="equal">
      <formula>"LM"</formula>
    </cfRule>
    <cfRule type="cellIs" dxfId="74" priority="80" stopIfTrue="1" operator="equal">
      <formula>"PM"</formula>
    </cfRule>
    <cfRule type="cellIs" dxfId="73" priority="81" stopIfTrue="1" operator="equal">
      <formula>"DM"</formula>
    </cfRule>
  </conditionalFormatting>
  <conditionalFormatting sqref="W52 D53:W57 D59:W67 W58 D69:W76 W68 D78:W83 W77 D85:W88 W84 W89">
    <cfRule type="cellIs" dxfId="72" priority="46" stopIfTrue="1" operator="equal">
      <formula>"U"</formula>
    </cfRule>
    <cfRule type="cellIs" dxfId="71" priority="72" stopIfTrue="1" operator="equal">
      <formula>"S"</formula>
    </cfRule>
    <cfRule type="cellIs" dxfId="70" priority="73" stopIfTrue="1" operator="equal">
      <formula>"FM"</formula>
    </cfRule>
    <cfRule type="cellIs" dxfId="69" priority="74" stopIfTrue="1" operator="equal">
      <formula>"LM"</formula>
    </cfRule>
    <cfRule type="cellIs" dxfId="68" priority="75" stopIfTrue="1" operator="equal">
      <formula>"PM"</formula>
    </cfRule>
    <cfRule type="cellIs" dxfId="67" priority="76" stopIfTrue="1" operator="equal">
      <formula>"DM"</formula>
    </cfRule>
  </conditionalFormatting>
  <conditionalFormatting sqref="C53">
    <cfRule type="cellIs" dxfId="66" priority="67" operator="equal">
      <formula>"S"</formula>
    </cfRule>
    <cfRule type="cellIs" dxfId="65" priority="68" stopIfTrue="1" operator="equal">
      <formula>"FM"</formula>
    </cfRule>
    <cfRule type="cellIs" dxfId="64" priority="69" stopIfTrue="1" operator="equal">
      <formula>"LM"</formula>
    </cfRule>
    <cfRule type="cellIs" dxfId="63" priority="70" stopIfTrue="1" operator="equal">
      <formula>"PM"</formula>
    </cfRule>
    <cfRule type="cellIs" dxfId="62" priority="71" stopIfTrue="1" operator="equal">
      <formula>"DM"</formula>
    </cfRule>
  </conditionalFormatting>
  <conditionalFormatting sqref="C59">
    <cfRule type="cellIs" dxfId="61" priority="62" operator="equal">
      <formula>"S"</formula>
    </cfRule>
    <cfRule type="cellIs" dxfId="60" priority="63" stopIfTrue="1" operator="equal">
      <formula>"FM"</formula>
    </cfRule>
    <cfRule type="cellIs" dxfId="59" priority="64" stopIfTrue="1" operator="equal">
      <formula>"LM"</formula>
    </cfRule>
    <cfRule type="cellIs" dxfId="58" priority="65" stopIfTrue="1" operator="equal">
      <formula>"PM"</formula>
    </cfRule>
    <cfRule type="cellIs" dxfId="57" priority="66" stopIfTrue="1" operator="equal">
      <formula>"DM"</formula>
    </cfRule>
  </conditionalFormatting>
  <conditionalFormatting sqref="C69">
    <cfRule type="cellIs" dxfId="56" priority="57" operator="equal">
      <formula>"S"</formula>
    </cfRule>
    <cfRule type="cellIs" dxfId="55" priority="58" stopIfTrue="1" operator="equal">
      <formula>"FM"</formula>
    </cfRule>
    <cfRule type="cellIs" dxfId="54" priority="59" stopIfTrue="1" operator="equal">
      <formula>"LM"</formula>
    </cfRule>
    <cfRule type="cellIs" dxfId="53" priority="60" stopIfTrue="1" operator="equal">
      <formula>"PM"</formula>
    </cfRule>
    <cfRule type="cellIs" dxfId="52" priority="61" stopIfTrue="1" operator="equal">
      <formula>"DM"</formula>
    </cfRule>
  </conditionalFormatting>
  <conditionalFormatting sqref="C78">
    <cfRule type="cellIs" dxfId="51" priority="52" operator="equal">
      <formula>"S"</formula>
    </cfRule>
    <cfRule type="cellIs" dxfId="50" priority="53" stopIfTrue="1" operator="equal">
      <formula>"FM"</formula>
    </cfRule>
    <cfRule type="cellIs" dxfId="49" priority="54" stopIfTrue="1" operator="equal">
      <formula>"LM"</formula>
    </cfRule>
    <cfRule type="cellIs" dxfId="48" priority="55" stopIfTrue="1" operator="equal">
      <formula>"PM"</formula>
    </cfRule>
    <cfRule type="cellIs" dxfId="47" priority="56" stopIfTrue="1" operator="equal">
      <formula>"DM"</formula>
    </cfRule>
  </conditionalFormatting>
  <conditionalFormatting sqref="C85">
    <cfRule type="cellIs" dxfId="46" priority="47" operator="equal">
      <formula>"S"</formula>
    </cfRule>
    <cfRule type="cellIs" dxfId="45" priority="48" stopIfTrue="1" operator="equal">
      <formula>"FM"</formula>
    </cfRule>
    <cfRule type="cellIs" dxfId="44" priority="49" stopIfTrue="1" operator="equal">
      <formula>"LM"</formula>
    </cfRule>
    <cfRule type="cellIs" dxfId="43" priority="50" stopIfTrue="1" operator="equal">
      <formula>"PM"</formula>
    </cfRule>
    <cfRule type="cellIs" dxfId="42" priority="51" stopIfTrue="1" operator="equal">
      <formula>"DM"</formula>
    </cfRule>
  </conditionalFormatting>
  <conditionalFormatting sqref="D21:V23 D25:V28 D24:H24 J24:V24">
    <cfRule type="cellIs" dxfId="41" priority="31" operator="equal">
      <formula>"S"</formula>
    </cfRule>
    <cfRule type="cellIs" dxfId="40" priority="32" stopIfTrue="1" operator="equal">
      <formula>"FM"</formula>
    </cfRule>
    <cfRule type="cellIs" dxfId="39" priority="33" stopIfTrue="1" operator="equal">
      <formula>"LM"</formula>
    </cfRule>
    <cfRule type="cellIs" dxfId="38" priority="34" stopIfTrue="1" operator="equal">
      <formula>"PM"</formula>
    </cfRule>
    <cfRule type="cellIs" dxfId="37" priority="35" stopIfTrue="1" operator="equal">
      <formula>"DM"</formula>
    </cfRule>
  </conditionalFormatting>
  <conditionalFormatting sqref="D30:V35">
    <cfRule type="cellIs" dxfId="36" priority="26" operator="equal">
      <formula>"S"</formula>
    </cfRule>
    <cfRule type="cellIs" dxfId="35" priority="27" stopIfTrue="1" operator="equal">
      <formula>"FM"</formula>
    </cfRule>
    <cfRule type="cellIs" dxfId="34" priority="28" stopIfTrue="1" operator="equal">
      <formula>"LM"</formula>
    </cfRule>
    <cfRule type="cellIs" dxfId="33" priority="29" stopIfTrue="1" operator="equal">
      <formula>"PM"</formula>
    </cfRule>
    <cfRule type="cellIs" dxfId="32" priority="30" stopIfTrue="1" operator="equal">
      <formula>"DM"</formula>
    </cfRule>
  </conditionalFormatting>
  <conditionalFormatting sqref="D37:V40">
    <cfRule type="cellIs" dxfId="31" priority="21" operator="equal">
      <formula>"S"</formula>
    </cfRule>
    <cfRule type="cellIs" dxfId="30" priority="22" stopIfTrue="1" operator="equal">
      <formula>"FM"</formula>
    </cfRule>
    <cfRule type="cellIs" dxfId="29" priority="23" stopIfTrue="1" operator="equal">
      <formula>"LM"</formula>
    </cfRule>
    <cfRule type="cellIs" dxfId="28" priority="24" stopIfTrue="1" operator="equal">
      <formula>"PM"</formula>
    </cfRule>
    <cfRule type="cellIs" dxfId="27" priority="25" stopIfTrue="1" operator="equal">
      <formula>"DM"</formula>
    </cfRule>
  </conditionalFormatting>
  <conditionalFormatting sqref="D5:V9">
    <cfRule type="cellIs" dxfId="26" priority="11" operator="equal">
      <formula>"S"</formula>
    </cfRule>
    <cfRule type="cellIs" dxfId="25" priority="12" stopIfTrue="1" operator="equal">
      <formula>"FM"</formula>
    </cfRule>
    <cfRule type="cellIs" dxfId="24" priority="13" stopIfTrue="1" operator="equal">
      <formula>"LM"</formula>
    </cfRule>
    <cfRule type="cellIs" dxfId="23" priority="14" stopIfTrue="1" operator="equal">
      <formula>"PM"</formula>
    </cfRule>
    <cfRule type="cellIs" dxfId="22" priority="15" stopIfTrue="1" operator="equal">
      <formula>"DM"</formula>
    </cfRule>
  </conditionalFormatting>
  <conditionalFormatting sqref="D11:V19">
    <cfRule type="cellIs" dxfId="21" priority="6" operator="equal">
      <formula>"S"</formula>
    </cfRule>
    <cfRule type="cellIs" dxfId="20" priority="7" stopIfTrue="1" operator="equal">
      <formula>"FM"</formula>
    </cfRule>
    <cfRule type="cellIs" dxfId="19" priority="8" stopIfTrue="1" operator="equal">
      <formula>"LM"</formula>
    </cfRule>
    <cfRule type="cellIs" dxfId="18" priority="9" stopIfTrue="1" operator="equal">
      <formula>"PM"</formula>
    </cfRule>
    <cfRule type="cellIs" dxfId="17" priority="10" stopIfTrue="1" operator="equal">
      <formula>"DM"</formula>
    </cfRule>
  </conditionalFormatting>
  <conditionalFormatting sqref="I24">
    <cfRule type="cellIs" dxfId="16" priority="1" operator="equal">
      <formula>"S"</formula>
    </cfRule>
    <cfRule type="cellIs" dxfId="15" priority="2" stopIfTrue="1" operator="equal">
      <formula>"FM"</formula>
    </cfRule>
    <cfRule type="cellIs" dxfId="14" priority="3" stopIfTrue="1" operator="equal">
      <formula>"LM"</formula>
    </cfRule>
    <cfRule type="cellIs" dxfId="13" priority="4" stopIfTrue="1" operator="equal">
      <formula>"PM"</formula>
    </cfRule>
    <cfRule type="cellIs" dxfId="12" priority="5" stopIfTrue="1" operator="equal">
      <formula>"DM"</formula>
    </cfRule>
  </conditionalFormatting>
  <pageMargins left="0.7" right="0.7" top="0.75" bottom="0.75" header="0.3" footer="0.3"/>
  <pageSetup orientation="portrait" r:id="rId1"/>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848977-C6B4-4A66-AEE9-4E880AE1061F}">
  <sheetPr codeName="Sheet13">
    <tabColor theme="5"/>
  </sheetPr>
  <dimension ref="A3:B26"/>
  <sheetViews>
    <sheetView workbookViewId="0"/>
  </sheetViews>
  <sheetFormatPr defaultRowHeight="14.5"/>
  <cols>
    <col min="1" max="1" width="41.453125" bestFit="1" customWidth="1"/>
    <col min="2" max="2" width="15.08984375" bestFit="1" customWidth="1"/>
    <col min="3" max="3" width="20.7265625" bestFit="1" customWidth="1"/>
    <col min="4" max="4" width="8.453125" bestFit="1" customWidth="1"/>
    <col min="5" max="5" width="9.81640625" bestFit="1" customWidth="1"/>
    <col min="6" max="6" width="14.453125" bestFit="1" customWidth="1"/>
    <col min="7" max="7" width="18.1796875" bestFit="1" customWidth="1"/>
    <col min="8" max="8" width="14.81640625" bestFit="1" customWidth="1"/>
    <col min="9" max="9" width="20.81640625" bestFit="1" customWidth="1"/>
    <col min="10" max="10" width="7.1796875" bestFit="1" customWidth="1"/>
    <col min="11" max="11" width="6.81640625" bestFit="1" customWidth="1"/>
    <col min="12" max="12" width="10.7265625" bestFit="1" customWidth="1"/>
    <col min="13" max="13" width="14.81640625" bestFit="1" customWidth="1"/>
    <col min="14" max="14" width="7.1796875" bestFit="1" customWidth="1"/>
    <col min="15" max="15" width="7.453125" bestFit="1" customWidth="1"/>
    <col min="16" max="16" width="20.7265625" bestFit="1" customWidth="1"/>
    <col min="17" max="17" width="7.453125" bestFit="1" customWidth="1"/>
    <col min="18" max="18" width="18.1796875" bestFit="1" customWidth="1"/>
    <col min="19" max="19" width="7.453125" bestFit="1" customWidth="1"/>
    <col min="20" max="20" width="14.453125" bestFit="1" customWidth="1"/>
    <col min="21" max="21" width="7.453125" bestFit="1" customWidth="1"/>
    <col min="22" max="22" width="20.81640625" bestFit="1" customWidth="1"/>
    <col min="23" max="23" width="7.453125" bestFit="1" customWidth="1"/>
    <col min="24" max="24" width="8.453125" bestFit="1" customWidth="1"/>
    <col min="25" max="25" width="11.453125" bestFit="1" customWidth="1"/>
    <col min="26" max="26" width="10.7265625" bestFit="1" customWidth="1"/>
  </cols>
  <sheetData>
    <row r="3" spans="1:2">
      <c r="A3" s="311" t="s">
        <v>917</v>
      </c>
      <c r="B3" t="s">
        <v>915</v>
      </c>
    </row>
    <row r="4" spans="1:2">
      <c r="A4" s="309" t="s">
        <v>411</v>
      </c>
      <c r="B4" s="312">
        <v>17</v>
      </c>
    </row>
    <row r="5" spans="1:2">
      <c r="A5" s="126" t="s">
        <v>912</v>
      </c>
      <c r="B5" s="312">
        <v>2</v>
      </c>
    </row>
    <row r="6" spans="1:2">
      <c r="A6" s="281" t="s">
        <v>1560</v>
      </c>
      <c r="B6" s="312">
        <v>2</v>
      </c>
    </row>
    <row r="7" spans="1:2">
      <c r="A7" s="126" t="s">
        <v>1368</v>
      </c>
      <c r="B7" s="312">
        <v>1</v>
      </c>
    </row>
    <row r="8" spans="1:2">
      <c r="A8" s="281" t="s">
        <v>1575</v>
      </c>
      <c r="B8" s="312">
        <v>1</v>
      </c>
    </row>
    <row r="9" spans="1:2">
      <c r="A9" s="126" t="s">
        <v>913</v>
      </c>
      <c r="B9" s="312">
        <v>1</v>
      </c>
    </row>
    <row r="10" spans="1:2">
      <c r="A10" s="281" t="s">
        <v>1556</v>
      </c>
      <c r="B10" s="312">
        <v>1</v>
      </c>
    </row>
    <row r="11" spans="1:2">
      <c r="A11" s="126" t="s">
        <v>1155</v>
      </c>
      <c r="B11" s="312">
        <v>2</v>
      </c>
    </row>
    <row r="12" spans="1:2">
      <c r="A12" s="281" t="s">
        <v>1557</v>
      </c>
      <c r="B12" s="312">
        <v>1</v>
      </c>
    </row>
    <row r="13" spans="1:2">
      <c r="A13" s="281" t="s">
        <v>1562</v>
      </c>
      <c r="B13" s="312">
        <v>1</v>
      </c>
    </row>
    <row r="14" spans="1:2">
      <c r="A14" s="126" t="s">
        <v>1369</v>
      </c>
      <c r="B14" s="312">
        <v>4</v>
      </c>
    </row>
    <row r="15" spans="1:2">
      <c r="A15" s="281" t="s">
        <v>1569</v>
      </c>
      <c r="B15" s="312">
        <v>3</v>
      </c>
    </row>
    <row r="16" spans="1:2">
      <c r="A16" s="281" t="s">
        <v>1574</v>
      </c>
      <c r="B16" s="312">
        <v>1</v>
      </c>
    </row>
    <row r="17" spans="1:2">
      <c r="A17" s="126" t="s">
        <v>1250</v>
      </c>
      <c r="B17" s="312">
        <v>1</v>
      </c>
    </row>
    <row r="18" spans="1:2">
      <c r="A18" s="281" t="s">
        <v>1578</v>
      </c>
      <c r="B18" s="312">
        <v>1</v>
      </c>
    </row>
    <row r="19" spans="1:2">
      <c r="A19" s="126" t="s">
        <v>1367</v>
      </c>
      <c r="B19" s="312">
        <v>1</v>
      </c>
    </row>
    <row r="20" spans="1:2">
      <c r="A20" s="281" t="s">
        <v>1577</v>
      </c>
      <c r="B20" s="312">
        <v>1</v>
      </c>
    </row>
    <row r="21" spans="1:2">
      <c r="A21" s="126" t="s">
        <v>1370</v>
      </c>
      <c r="B21" s="312">
        <v>5</v>
      </c>
    </row>
    <row r="22" spans="1:2">
      <c r="A22" s="281" t="s">
        <v>1576</v>
      </c>
      <c r="B22" s="312">
        <v>5</v>
      </c>
    </row>
    <row r="23" spans="1:2">
      <c r="A23" s="309" t="s">
        <v>918</v>
      </c>
      <c r="B23" s="312"/>
    </row>
    <row r="24" spans="1:2">
      <c r="A24" s="126" t="s">
        <v>918</v>
      </c>
      <c r="B24" s="312"/>
    </row>
    <row r="25" spans="1:2">
      <c r="A25" s="281" t="s">
        <v>918</v>
      </c>
      <c r="B25" s="312"/>
    </row>
    <row r="26" spans="1:2">
      <c r="A26" s="309" t="s">
        <v>919</v>
      </c>
      <c r="B26" s="312">
        <v>17</v>
      </c>
    </row>
  </sheetData>
  <phoneticPr fontId="54" type="noConversion"/>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7618D-055D-44B0-9C9E-EB445C700094}">
  <sheetPr codeName="Sheet24">
    <tabColor theme="5" tint="0.39997558519241921"/>
  </sheetPr>
  <dimension ref="A1:F33"/>
  <sheetViews>
    <sheetView workbookViewId="0"/>
  </sheetViews>
  <sheetFormatPr defaultRowHeight="14.5"/>
  <cols>
    <col min="1" max="1" width="36.08984375" bestFit="1" customWidth="1"/>
    <col min="2" max="2" width="10.81640625" bestFit="1" customWidth="1"/>
    <col min="3" max="3" width="3.81640625" bestFit="1" customWidth="1"/>
    <col min="4" max="4" width="4.453125" bestFit="1" customWidth="1"/>
    <col min="5" max="6" width="3.81640625" bestFit="1" customWidth="1"/>
    <col min="7" max="7" width="5.453125" bestFit="1" customWidth="1"/>
    <col min="8" max="8" width="3.26953125" bestFit="1" customWidth="1"/>
    <col min="9" max="9" width="4.453125" bestFit="1" customWidth="1"/>
    <col min="10" max="10" width="4.81640625" bestFit="1" customWidth="1"/>
    <col min="11" max="11" width="2.453125" bestFit="1" customWidth="1"/>
    <col min="12" max="12" width="5.453125" bestFit="1" customWidth="1"/>
    <col min="13" max="13" width="4.453125" bestFit="1" customWidth="1"/>
    <col min="14" max="14" width="3.1796875" bestFit="1" customWidth="1"/>
    <col min="15" max="15" width="5" bestFit="1" customWidth="1"/>
    <col min="16" max="16" width="4.1796875" bestFit="1" customWidth="1"/>
    <col min="17" max="17" width="2.81640625" bestFit="1" customWidth="1"/>
    <col min="18" max="18" width="3.453125" bestFit="1" customWidth="1"/>
    <col min="19" max="19" width="6.81640625" bestFit="1" customWidth="1"/>
    <col min="20" max="20" width="10.7265625" bestFit="1" customWidth="1"/>
  </cols>
  <sheetData>
    <row r="1" spans="1:6" s="50" customFormat="1" ht="18.5">
      <c r="A1" s="113" t="s">
        <v>1009</v>
      </c>
      <c r="B1" s="117"/>
      <c r="C1" s="117"/>
      <c r="D1" s="117"/>
      <c r="E1" s="117"/>
      <c r="F1" s="117"/>
    </row>
    <row r="3" spans="1:6">
      <c r="A3" s="311" t="s">
        <v>917</v>
      </c>
    </row>
    <row r="4" spans="1:6">
      <c r="A4" s="309" t="s">
        <v>1560</v>
      </c>
    </row>
    <row r="5" spans="1:6">
      <c r="A5" s="126" t="s">
        <v>885</v>
      </c>
    </row>
    <row r="6" spans="1:6">
      <c r="A6" s="126" t="s">
        <v>886</v>
      </c>
    </row>
    <row r="7" spans="1:6">
      <c r="A7" s="309" t="s">
        <v>1575</v>
      </c>
    </row>
    <row r="8" spans="1:6">
      <c r="A8" s="126" t="s">
        <v>751</v>
      </c>
    </row>
    <row r="9" spans="1:6">
      <c r="A9" s="309" t="s">
        <v>1556</v>
      </c>
    </row>
    <row r="10" spans="1:6">
      <c r="A10" s="126" t="s">
        <v>884</v>
      </c>
    </row>
    <row r="11" spans="1:6">
      <c r="A11" s="309" t="s">
        <v>1557</v>
      </c>
    </row>
    <row r="12" spans="1:6">
      <c r="A12" s="126" t="s">
        <v>883</v>
      </c>
    </row>
    <row r="13" spans="1:6">
      <c r="A13" s="309" t="s">
        <v>1562</v>
      </c>
    </row>
    <row r="14" spans="1:6">
      <c r="A14" s="126" t="s">
        <v>887</v>
      </c>
    </row>
    <row r="15" spans="1:6">
      <c r="A15" s="309" t="s">
        <v>1578</v>
      </c>
    </row>
    <row r="16" spans="1:6">
      <c r="A16" s="126" t="s">
        <v>836</v>
      </c>
    </row>
    <row r="17" spans="1:1">
      <c r="A17" s="309" t="s">
        <v>1576</v>
      </c>
    </row>
    <row r="18" spans="1:1">
      <c r="A18" s="126" t="s">
        <v>895</v>
      </c>
    </row>
    <row r="19" spans="1:1">
      <c r="A19" s="126" t="s">
        <v>896</v>
      </c>
    </row>
    <row r="20" spans="1:1">
      <c r="A20" s="126" t="s">
        <v>888</v>
      </c>
    </row>
    <row r="21" spans="1:1">
      <c r="A21" s="126" t="s">
        <v>889</v>
      </c>
    </row>
    <row r="22" spans="1:1">
      <c r="A22" s="126" t="s">
        <v>890</v>
      </c>
    </row>
    <row r="23" spans="1:1">
      <c r="A23" s="309" t="s">
        <v>1569</v>
      </c>
    </row>
    <row r="24" spans="1:1">
      <c r="A24" s="126" t="s">
        <v>892</v>
      </c>
    </row>
    <row r="25" spans="1:1">
      <c r="A25" s="126" t="s">
        <v>893</v>
      </c>
    </row>
    <row r="26" spans="1:1">
      <c r="A26" s="126" t="s">
        <v>894</v>
      </c>
    </row>
    <row r="27" spans="1:1">
      <c r="A27" s="309" t="s">
        <v>1574</v>
      </c>
    </row>
    <row r="28" spans="1:1">
      <c r="A28" s="126" t="s">
        <v>891</v>
      </c>
    </row>
    <row r="29" spans="1:1">
      <c r="A29" s="309" t="s">
        <v>1577</v>
      </c>
    </row>
    <row r="30" spans="1:1">
      <c r="A30" s="126" t="s">
        <v>753</v>
      </c>
    </row>
    <row r="31" spans="1:1">
      <c r="A31" s="309" t="s">
        <v>918</v>
      </c>
    </row>
    <row r="32" spans="1:1">
      <c r="A32" s="126" t="s">
        <v>918</v>
      </c>
    </row>
    <row r="33" spans="1:1">
      <c r="A33" s="309" t="s">
        <v>919</v>
      </c>
    </row>
  </sheetData>
  <phoneticPr fontId="54" type="noConversion"/>
  <pageMargins left="0.7" right="0.7" top="0.75" bottom="0.75" header="0.3" footer="0.3"/>
  <pageSetup orientation="portrait" r:id="rId2"/>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F87AB5-0D68-4188-BE16-4A6B36C73EE0}">
  <sheetPr codeName="Sheet251">
    <tabColor theme="5" tint="0.39997558519241921"/>
  </sheetPr>
  <dimension ref="A1:F24"/>
  <sheetViews>
    <sheetView workbookViewId="0"/>
  </sheetViews>
  <sheetFormatPr defaultRowHeight="14.5"/>
  <cols>
    <col min="1" max="1" width="38.81640625" bestFit="1" customWidth="1"/>
    <col min="2" max="2" width="15.1796875" bestFit="1" customWidth="1"/>
  </cols>
  <sheetData>
    <row r="1" spans="1:6" s="50" customFormat="1" ht="18.5">
      <c r="A1" s="113" t="s">
        <v>1008</v>
      </c>
      <c r="B1" s="117"/>
      <c r="C1" s="117"/>
      <c r="D1" s="117"/>
      <c r="E1" s="117"/>
      <c r="F1" s="117"/>
    </row>
    <row r="3" spans="1:6">
      <c r="A3" s="311" t="s">
        <v>917</v>
      </c>
    </row>
    <row r="4" spans="1:6">
      <c r="A4" s="309" t="s">
        <v>918</v>
      </c>
    </row>
    <row r="5" spans="1:6">
      <c r="A5" s="126" t="s">
        <v>918</v>
      </c>
    </row>
    <row r="6" spans="1:6">
      <c r="A6" s="309" t="s">
        <v>1544</v>
      </c>
    </row>
    <row r="7" spans="1:6">
      <c r="A7" s="126" t="s">
        <v>1557</v>
      </c>
    </row>
    <row r="8" spans="1:6">
      <c r="A8" s="126" t="s">
        <v>1556</v>
      </c>
    </row>
    <row r="9" spans="1:6">
      <c r="A9" s="309" t="s">
        <v>1545</v>
      </c>
    </row>
    <row r="10" spans="1:6">
      <c r="A10" s="126" t="s">
        <v>1560</v>
      </c>
    </row>
    <row r="11" spans="1:6">
      <c r="A11" s="126" t="s">
        <v>1562</v>
      </c>
    </row>
    <row r="12" spans="1:6">
      <c r="A12" s="309" t="s">
        <v>1547</v>
      </c>
    </row>
    <row r="13" spans="1:6">
      <c r="A13" s="126" t="s">
        <v>1569</v>
      </c>
    </row>
    <row r="14" spans="1:6">
      <c r="A14" s="309" t="s">
        <v>1549</v>
      </c>
    </row>
    <row r="15" spans="1:6">
      <c r="A15" s="126" t="s">
        <v>1574</v>
      </c>
    </row>
    <row r="16" spans="1:6">
      <c r="A16" s="309" t="s">
        <v>1360</v>
      </c>
    </row>
    <row r="17" spans="1:1">
      <c r="A17" s="126" t="s">
        <v>1575</v>
      </c>
    </row>
    <row r="18" spans="1:1">
      <c r="A18" s="309" t="s">
        <v>1361</v>
      </c>
    </row>
    <row r="19" spans="1:1">
      <c r="A19" s="126" t="s">
        <v>1576</v>
      </c>
    </row>
    <row r="20" spans="1:1">
      <c r="A20" s="309" t="s">
        <v>1362</v>
      </c>
    </row>
    <row r="21" spans="1:1">
      <c r="A21" s="126" t="s">
        <v>1577</v>
      </c>
    </row>
    <row r="22" spans="1:1">
      <c r="A22" s="309" t="s">
        <v>1363</v>
      </c>
    </row>
    <row r="23" spans="1:1">
      <c r="A23" s="126" t="s">
        <v>1578</v>
      </c>
    </row>
    <row r="24" spans="1:1">
      <c r="A24" s="309" t="s">
        <v>919</v>
      </c>
    </row>
  </sheetData>
  <phoneticPr fontId="54" type="noConversion"/>
  <pageMargins left="0.7" right="0.7" top="0.75" bottom="0.75" header="0.3" footer="0.3"/>
  <pageSetup orientation="portrait"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B9BC9E-3073-405E-8C0B-7341BC3BCC1E}">
  <sheetPr codeName="Sheet26">
    <tabColor theme="5" tint="0.39997558519241921"/>
  </sheetPr>
  <dimension ref="A3:A22"/>
  <sheetViews>
    <sheetView workbookViewId="0"/>
  </sheetViews>
  <sheetFormatPr defaultRowHeight="14.5"/>
  <cols>
    <col min="1" max="1" width="38.81640625" bestFit="1" customWidth="1"/>
    <col min="2" max="2" width="15.26953125" bestFit="1" customWidth="1"/>
    <col min="3" max="3" width="11.453125" bestFit="1" customWidth="1"/>
    <col min="4" max="4" width="13.81640625" bestFit="1" customWidth="1"/>
    <col min="5" max="5" width="13.453125" bestFit="1" customWidth="1"/>
    <col min="6" max="6" width="10.453125" bestFit="1" customWidth="1"/>
    <col min="7" max="7" width="11.1796875" bestFit="1" customWidth="1"/>
    <col min="8" max="8" width="9.453125" bestFit="1" customWidth="1"/>
    <col min="9" max="9" width="9.81640625" bestFit="1" customWidth="1"/>
    <col min="10" max="11" width="7.453125" bestFit="1" customWidth="1"/>
    <col min="12" max="13" width="9.453125" bestFit="1" customWidth="1"/>
    <col min="14" max="14" width="6.7265625" bestFit="1" customWidth="1"/>
    <col min="15" max="15" width="10.7265625" bestFit="1" customWidth="1"/>
  </cols>
  <sheetData>
    <row r="3" spans="1:1">
      <c r="A3" s="311" t="s">
        <v>917</v>
      </c>
    </row>
    <row r="4" spans="1:1">
      <c r="A4" s="309" t="s">
        <v>918</v>
      </c>
    </row>
    <row r="5" spans="1:1">
      <c r="A5" s="126" t="s">
        <v>918</v>
      </c>
    </row>
    <row r="6" spans="1:1">
      <c r="A6" s="309" t="s">
        <v>989</v>
      </c>
    </row>
    <row r="7" spans="1:1">
      <c r="A7" s="126" t="s">
        <v>1569</v>
      </c>
    </row>
    <row r="8" spans="1:1">
      <c r="A8" s="126" t="s">
        <v>1574</v>
      </c>
    </row>
    <row r="9" spans="1:1">
      <c r="A9" s="309" t="s">
        <v>990</v>
      </c>
    </row>
    <row r="10" spans="1:1">
      <c r="A10" s="126" t="s">
        <v>1557</v>
      </c>
    </row>
    <row r="11" spans="1:1">
      <c r="A11" s="126" t="s">
        <v>1556</v>
      </c>
    </row>
    <row r="12" spans="1:1">
      <c r="A12" s="126" t="s">
        <v>1560</v>
      </c>
    </row>
    <row r="13" spans="1:1">
      <c r="A13" s="126" t="s">
        <v>1562</v>
      </c>
    </row>
    <row r="14" spans="1:1">
      <c r="A14" s="309" t="s">
        <v>991</v>
      </c>
    </row>
    <row r="15" spans="1:1">
      <c r="A15" s="126" t="s">
        <v>1575</v>
      </c>
    </row>
    <row r="16" spans="1:1">
      <c r="A16" s="309" t="s">
        <v>992</v>
      </c>
    </row>
    <row r="17" spans="1:1">
      <c r="A17" s="126" t="s">
        <v>1576</v>
      </c>
    </row>
    <row r="18" spans="1:1">
      <c r="A18" s="309" t="s">
        <v>993</v>
      </c>
    </row>
    <row r="19" spans="1:1">
      <c r="A19" s="126" t="s">
        <v>1577</v>
      </c>
    </row>
    <row r="20" spans="1:1">
      <c r="A20" s="309" t="s">
        <v>999</v>
      </c>
    </row>
    <row r="21" spans="1:1">
      <c r="A21" s="126" t="s">
        <v>1578</v>
      </c>
    </row>
    <row r="22" spans="1:1">
      <c r="A22" s="309" t="s">
        <v>919</v>
      </c>
    </row>
  </sheetData>
  <phoneticPr fontId="54" type="noConversion"/>
  <pageMargins left="0.7" right="0.7" top="0.75" bottom="0.75" header="0.3" footer="0.3"/>
  <pageSetup orientation="portrait" r:id="rId2"/>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E0AD8D-7A95-4F26-A4A0-22D87D68592F}">
  <sheetPr codeName="Sheet25">
    <tabColor theme="0" tint="-4.9989318521683403E-2"/>
  </sheetPr>
  <dimension ref="A1:K19"/>
  <sheetViews>
    <sheetView workbookViewId="0">
      <selection activeCell="B4" sqref="B4:I4"/>
    </sheetView>
  </sheetViews>
  <sheetFormatPr defaultColWidth="9" defaultRowHeight="26"/>
  <cols>
    <col min="1" max="5" width="9" style="235"/>
    <col min="6" max="6" width="8.1796875" style="235" customWidth="1"/>
    <col min="7" max="9" width="18.1796875" style="235" customWidth="1"/>
    <col min="10" max="16384" width="9" style="235"/>
  </cols>
  <sheetData>
    <row r="1" spans="1:11" ht="23.25" customHeight="1">
      <c r="B1" s="421"/>
      <c r="C1" s="421"/>
      <c r="D1" s="421"/>
      <c r="E1" s="421"/>
      <c r="F1" s="421"/>
      <c r="G1" s="421"/>
      <c r="H1" s="421"/>
      <c r="I1" s="421"/>
      <c r="J1" s="421"/>
      <c r="K1" s="421"/>
    </row>
    <row r="2" spans="1:11" ht="23.5" customHeight="1">
      <c r="A2" s="421"/>
      <c r="B2" s="509" t="str">
        <f>StartupInfo!B3</f>
        <v>Software for Mars (Pty) Ltd</v>
      </c>
      <c r="C2" s="509"/>
      <c r="D2" s="509"/>
      <c r="E2" s="509"/>
      <c r="F2" s="509"/>
      <c r="G2" s="509"/>
      <c r="H2" s="509"/>
      <c r="I2" s="509"/>
      <c r="J2" s="421"/>
      <c r="K2" s="421"/>
    </row>
    <row r="3" spans="1:11" ht="19.5" customHeight="1">
      <c r="B3" s="509" t="str">
        <f>StartupInfo!B4</f>
        <v>Mars</v>
      </c>
      <c r="C3" s="509"/>
      <c r="D3" s="509"/>
      <c r="E3" s="509"/>
      <c r="F3" s="509"/>
      <c r="G3" s="509"/>
      <c r="H3" s="509"/>
      <c r="I3" s="509"/>
      <c r="J3" s="422"/>
      <c r="K3" s="236"/>
    </row>
    <row r="4" spans="1:11" ht="24" customHeight="1">
      <c r="A4" s="237"/>
      <c r="B4" s="510" t="str">
        <f>IF(StartupInfo!B20="","",StartupInfo!B20)</f>
        <v>R&amp;D Department</v>
      </c>
      <c r="C4" s="510"/>
      <c r="D4" s="510"/>
      <c r="E4" s="510"/>
      <c r="F4" s="510"/>
      <c r="G4" s="510"/>
      <c r="H4" s="510"/>
      <c r="I4" s="510"/>
    </row>
    <row r="5" spans="1:11">
      <c r="A5" s="237"/>
      <c r="B5" s="511" t="str">
        <f>IF(StartupInfo!B21="","",StartupInfo!B21)</f>
        <v/>
      </c>
      <c r="C5" s="511"/>
      <c r="D5" s="511"/>
      <c r="E5" s="511"/>
      <c r="F5" s="511"/>
      <c r="G5" s="511"/>
      <c r="H5" s="511"/>
      <c r="I5" s="511"/>
      <c r="J5" s="237"/>
      <c r="K5" s="237"/>
    </row>
    <row r="6" spans="1:11">
      <c r="A6" s="236"/>
      <c r="B6" s="422"/>
      <c r="C6" s="422"/>
      <c r="D6" s="422"/>
      <c r="E6" s="422"/>
      <c r="F6" s="422"/>
      <c r="G6" s="422"/>
      <c r="H6" s="422"/>
      <c r="I6" s="422"/>
      <c r="J6" s="422"/>
      <c r="K6" s="236"/>
    </row>
    <row r="7" spans="1:11" s="425" customFormat="1">
      <c r="A7" s="423"/>
      <c r="B7" s="512" t="str">
        <f>CONCATENATE("was rated on ",TEXT(Planning!B33,"dd mmmm yyyy")," at ",Planning!B10)</f>
        <v>was rated on 16 April 2021 at Maturity Level 5</v>
      </c>
      <c r="C7" s="512"/>
      <c r="D7" s="512"/>
      <c r="E7" s="512"/>
      <c r="F7" s="512"/>
      <c r="G7" s="512"/>
      <c r="H7" s="512"/>
      <c r="I7" s="512"/>
      <c r="J7" s="424"/>
      <c r="K7" s="423"/>
    </row>
    <row r="8" spans="1:11">
      <c r="A8" s="237"/>
      <c r="B8" s="237"/>
      <c r="C8" s="237"/>
      <c r="E8" s="513"/>
      <c r="F8" s="513"/>
      <c r="G8" s="513"/>
      <c r="H8" s="237"/>
      <c r="I8" s="237"/>
      <c r="J8" s="237"/>
      <c r="K8" s="237"/>
    </row>
    <row r="9" spans="1:11">
      <c r="A9" s="237"/>
      <c r="B9" s="237"/>
      <c r="C9" s="237"/>
      <c r="D9" s="237"/>
      <c r="E9" s="513"/>
      <c r="F9" s="513"/>
      <c r="G9" s="513"/>
      <c r="H9" s="237"/>
      <c r="I9" s="237"/>
      <c r="J9" s="237"/>
      <c r="K9" s="237"/>
    </row>
    <row r="10" spans="1:11">
      <c r="A10" s="237"/>
      <c r="B10" s="237"/>
      <c r="C10" s="237"/>
      <c r="D10" s="237"/>
      <c r="E10" s="237"/>
      <c r="F10" s="237"/>
      <c r="G10" s="237"/>
      <c r="H10" s="237"/>
      <c r="I10" s="237"/>
      <c r="J10" s="237"/>
      <c r="K10" s="237"/>
    </row>
    <row r="11" spans="1:11" ht="19" customHeight="1">
      <c r="A11" s="237"/>
      <c r="B11" s="237"/>
      <c r="C11" s="237"/>
      <c r="D11" s="237"/>
      <c r="E11" s="237"/>
      <c r="F11" s="514" t="str">
        <f>_xlfn.CONCAT("CAS ID",'Agreement 3'!B5)</f>
        <v>CAS ID53517</v>
      </c>
      <c r="G11" s="514"/>
      <c r="H11" s="514"/>
      <c r="I11" s="237"/>
      <c r="J11" s="237"/>
      <c r="K11" s="237"/>
    </row>
    <row r="12" spans="1:11" ht="19" customHeight="1">
      <c r="A12" s="237"/>
      <c r="B12" s="237"/>
      <c r="C12" s="237"/>
      <c r="D12" s="237"/>
      <c r="E12" s="237"/>
      <c r="F12" s="237"/>
      <c r="G12" s="237"/>
      <c r="H12" s="237"/>
      <c r="I12" s="237"/>
      <c r="J12" s="237"/>
      <c r="K12" s="237"/>
    </row>
    <row r="13" spans="1:11" ht="19" customHeight="1">
      <c r="A13" s="237"/>
      <c r="B13" s="237"/>
      <c r="C13" s="237"/>
      <c r="D13" s="237"/>
      <c r="E13" s="237"/>
      <c r="F13" s="237"/>
      <c r="G13" s="508" t="str">
        <f>'Agreement 3'!B7</f>
        <v>van Zyl, Pieter</v>
      </c>
      <c r="H13" s="508"/>
      <c r="I13" s="508"/>
      <c r="J13" s="237"/>
      <c r="K13" s="237"/>
    </row>
    <row r="14" spans="1:11">
      <c r="A14" s="237"/>
      <c r="B14" s="237"/>
      <c r="C14" s="237"/>
      <c r="D14" s="237"/>
      <c r="E14" s="237"/>
      <c r="F14" s="237"/>
      <c r="G14" s="508" t="str">
        <f>'Agreement 3'!B9</f>
        <v>CMMI V2.0 High Maturity Lead Appraiser</v>
      </c>
      <c r="H14" s="508"/>
      <c r="I14" s="508"/>
      <c r="J14" s="237"/>
      <c r="K14" s="237"/>
    </row>
    <row r="15" spans="1:11">
      <c r="A15" s="237"/>
      <c r="B15" s="237"/>
      <c r="C15" s="237"/>
      <c r="D15" s="237"/>
      <c r="E15" s="237"/>
      <c r="F15" s="237"/>
      <c r="G15" s="508" t="str">
        <f>'Agreement 3'!B11</f>
        <v>0500535-01</v>
      </c>
      <c r="H15" s="508"/>
      <c r="I15" s="508"/>
      <c r="J15" s="237"/>
      <c r="K15" s="237"/>
    </row>
    <row r="16" spans="1:11">
      <c r="A16" s="237"/>
      <c r="B16" s="237"/>
      <c r="C16" s="237"/>
      <c r="D16" s="237"/>
      <c r="E16" s="237"/>
      <c r="F16" s="237"/>
      <c r="G16" s="237"/>
      <c r="H16" s="237"/>
      <c r="I16" s="237"/>
      <c r="J16" s="237"/>
      <c r="K16" s="237"/>
    </row>
    <row r="19" spans="1:11">
      <c r="A19" s="237"/>
      <c r="B19" s="237"/>
      <c r="C19" s="237"/>
      <c r="D19" s="237"/>
      <c r="E19" s="237"/>
      <c r="F19" s="237"/>
      <c r="G19" s="237"/>
      <c r="H19" s="237"/>
      <c r="I19" s="237"/>
      <c r="J19" s="237"/>
      <c r="K19" s="237"/>
    </row>
  </sheetData>
  <mergeCells count="10">
    <mergeCell ref="G14:I14"/>
    <mergeCell ref="G15:I15"/>
    <mergeCell ref="G13:I13"/>
    <mergeCell ref="B2:I2"/>
    <mergeCell ref="B3:I3"/>
    <mergeCell ref="B4:I4"/>
    <mergeCell ref="B5:I5"/>
    <mergeCell ref="B7:I7"/>
    <mergeCell ref="E8:G9"/>
    <mergeCell ref="F11:H11"/>
  </mergeCells>
  <phoneticPr fontId="54" type="noConversion"/>
  <pageMargins left="0.7" right="0.7" top="0.75" bottom="0.75" header="0.3" footer="0.3"/>
  <pageSetup orientation="portrait" r:id="rId1"/>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541BE5-B111-4034-9A95-F6FCED90DC21}">
  <sheetPr codeName="Sheet14">
    <tabColor theme="0" tint="-4.9989318521683403E-2"/>
  </sheetPr>
  <dimension ref="A1:AI67"/>
  <sheetViews>
    <sheetView topLeftCell="B22" workbookViewId="0">
      <selection activeCell="C32" sqref="C32"/>
    </sheetView>
  </sheetViews>
  <sheetFormatPr defaultColWidth="8.81640625" defaultRowHeight="14.5"/>
  <cols>
    <col min="1" max="1" width="40.7265625" style="129" customWidth="1"/>
    <col min="2" max="2" width="75.7265625" style="130" customWidth="1"/>
    <col min="3" max="3" width="40.7265625" style="160" customWidth="1"/>
    <col min="4" max="4" width="15.7265625" style="129" customWidth="1"/>
    <col min="5" max="5" width="14.453125" style="8" customWidth="1"/>
    <col min="6" max="6" width="29.1796875" style="8" customWidth="1"/>
    <col min="7" max="7" width="42.81640625" style="8" bestFit="1" customWidth="1"/>
    <col min="8" max="8" width="29.1796875" style="8" customWidth="1"/>
    <col min="9" max="35" width="8.81640625" style="8"/>
    <col min="36" max="16384" width="8.81640625" style="129"/>
  </cols>
  <sheetData>
    <row r="1" spans="1:5" s="8" customFormat="1" ht="15" thickBot="1">
      <c r="A1" s="154"/>
      <c r="B1" s="154"/>
      <c r="C1" s="154"/>
      <c r="D1" s="129"/>
    </row>
    <row r="2" spans="1:5" s="8" customFormat="1">
      <c r="A2" s="155" t="s">
        <v>1036</v>
      </c>
      <c r="B2" s="156"/>
      <c r="C2" s="156"/>
      <c r="D2" s="157"/>
      <c r="E2" s="158"/>
    </row>
    <row r="3" spans="1:5" s="8" customFormat="1">
      <c r="A3" s="159"/>
      <c r="B3" s="160"/>
      <c r="C3" s="160"/>
      <c r="E3" s="161"/>
    </row>
    <row r="4" spans="1:5" s="8" customFormat="1" ht="21">
      <c r="A4" s="159"/>
      <c r="B4" s="162" t="s">
        <v>1114</v>
      </c>
      <c r="C4" s="160"/>
      <c r="E4" s="161"/>
    </row>
    <row r="5" spans="1:5" s="8" customFormat="1" ht="21">
      <c r="A5" s="159"/>
      <c r="B5" s="162" t="str">
        <f>'P1PA-SS'!B76</f>
        <v>CMMI Development V2.0 (CMMI-DEV) without SAM</v>
      </c>
      <c r="C5" s="160"/>
      <c r="E5" s="161"/>
    </row>
    <row r="6" spans="1:5" s="8" customFormat="1" ht="21">
      <c r="A6" s="159" t="s">
        <v>1037</v>
      </c>
      <c r="B6" s="162" t="str">
        <f>'P1PA-SS'!B75</f>
        <v>Maturity Level 5</v>
      </c>
      <c r="C6" s="160"/>
      <c r="E6" s="161"/>
    </row>
    <row r="7" spans="1:5" s="8" customFormat="1">
      <c r="A7" s="159"/>
      <c r="B7" s="163" t="str">
        <f>CONCATENATE("CAS ID: ",'Agreement 3'!B5)</f>
        <v>CAS ID: 53517</v>
      </c>
      <c r="C7" s="160"/>
      <c r="E7" s="161"/>
    </row>
    <row r="8" spans="1:5" s="8" customFormat="1">
      <c r="A8" s="159"/>
      <c r="B8" s="160"/>
      <c r="C8" s="160"/>
      <c r="E8" s="161"/>
    </row>
    <row r="9" spans="1:5" s="8" customFormat="1" ht="94.5" customHeight="1">
      <c r="A9" s="159"/>
      <c r="B9" s="164"/>
      <c r="C9" s="160"/>
      <c r="E9" s="161"/>
    </row>
    <row r="10" spans="1:5" s="8" customFormat="1">
      <c r="A10" s="159"/>
      <c r="B10" s="165" t="str">
        <f>CONCATENATE("Organisation: ",'Agreement 3'!B16)</f>
        <v>Organisation: Software for Mars (Pty) Ltd</v>
      </c>
      <c r="C10" s="160" t="s">
        <v>902</v>
      </c>
      <c r="E10" s="161"/>
    </row>
    <row r="11" spans="1:5" s="8" customFormat="1">
      <c r="A11" s="159"/>
      <c r="B11" s="163" t="str">
        <f>CONCATENATE("Organisational Unit: ",StartupInfo!B20)</f>
        <v>Organisational Unit: R&amp;D Department</v>
      </c>
      <c r="C11" s="160"/>
      <c r="E11" s="161"/>
    </row>
    <row r="12" spans="1:5" s="8" customFormat="1" ht="15.5">
      <c r="A12" s="159"/>
      <c r="B12" s="166" t="str">
        <f>CONCATENATE("Sponsor: ",'Agreement 3'!B28)</f>
        <v>Sponsor: Prof Kessler, Donald</v>
      </c>
      <c r="C12" s="160"/>
      <c r="E12" s="161"/>
    </row>
    <row r="13" spans="1:5" s="8" customFormat="1" ht="15.5">
      <c r="A13" s="159"/>
      <c r="B13" s="167"/>
      <c r="C13" s="160"/>
      <c r="E13" s="161"/>
    </row>
    <row r="14" spans="1:5" s="8" customFormat="1" ht="15.5">
      <c r="A14" s="159"/>
      <c r="B14" s="167"/>
      <c r="C14" s="160"/>
      <c r="E14" s="161"/>
    </row>
    <row r="15" spans="1:5" s="8" customFormat="1" ht="21">
      <c r="A15" s="159"/>
      <c r="B15" s="169" t="str">
        <f>'Agreement 3'!B45</f>
        <v>Demix (Pty) Ltd</v>
      </c>
      <c r="C15" s="160"/>
      <c r="E15" s="161"/>
    </row>
    <row r="16" spans="1:5" s="8" customFormat="1" ht="15.5">
      <c r="A16" s="159"/>
      <c r="B16" s="166" t="str">
        <f>CONCATENATE("Lead Appraiser: ",'Agreement 3'!B7," ",'Agreement 3'!B11)</f>
        <v>Lead Appraiser: van Zyl, Pieter 0500535-01</v>
      </c>
      <c r="C16" s="160"/>
      <c r="E16" s="161"/>
    </row>
    <row r="17" spans="1:9" s="8" customFormat="1" ht="15.5">
      <c r="A17" s="159"/>
      <c r="B17" s="185" t="str">
        <f>'Agreement 3'!B9</f>
        <v>CMMI V2.0 High Maturity Lead Appraiser</v>
      </c>
      <c r="C17" s="160"/>
      <c r="E17" s="161"/>
    </row>
    <row r="18" spans="1:9" s="8" customFormat="1" ht="18.5">
      <c r="A18" s="159"/>
      <c r="B18" s="168"/>
      <c r="C18" s="160"/>
      <c r="E18" s="161"/>
    </row>
    <row r="19" spans="1:9" s="8" customFormat="1" ht="21">
      <c r="A19" s="159" t="s">
        <v>754</v>
      </c>
      <c r="B19" s="169">
        <f>Planning!B30</f>
        <v>44298</v>
      </c>
      <c r="C19" s="160"/>
      <c r="E19" s="161"/>
    </row>
    <row r="20" spans="1:9" s="8" customFormat="1" ht="21">
      <c r="A20" s="159" t="s">
        <v>755</v>
      </c>
      <c r="B20" s="169">
        <f>Planning!B32</f>
        <v>44302</v>
      </c>
      <c r="C20" s="160"/>
      <c r="E20" s="161"/>
      <c r="G20" s="170" t="s">
        <v>1038</v>
      </c>
    </row>
    <row r="21" spans="1:9" s="8" customFormat="1" ht="21">
      <c r="A21" s="159" t="s">
        <v>756</v>
      </c>
      <c r="B21" s="169">
        <f>Planning!B33</f>
        <v>44302</v>
      </c>
      <c r="C21" s="160"/>
      <c r="E21" s="161"/>
      <c r="G21" s="170"/>
    </row>
    <row r="22" spans="1:9" s="8" customFormat="1" ht="55.5">
      <c r="B22" s="169"/>
      <c r="C22" s="160"/>
      <c r="E22" s="161"/>
      <c r="G22" s="240" t="str">
        <f>_xlfn.CONCAT("Expiry benchmark", CHAR(13),CHAR(10),"appraisal",CHAR(13),CHAR(10),G23)</f>
        <v>Expiry benchmark_x000D_
appraisal_x000D_
16 Apr 2024</v>
      </c>
      <c r="H22" s="220"/>
      <c r="I22" s="219"/>
    </row>
    <row r="23" spans="1:9" s="8" customFormat="1" ht="23.5">
      <c r="A23" s="159" t="s">
        <v>876</v>
      </c>
      <c r="B23" s="277">
        <f>Planning!B26</f>
        <v>44294</v>
      </c>
      <c r="C23" s="160"/>
      <c r="E23" s="161"/>
      <c r="G23" s="241" t="str">
        <f>TEXT(DATE(YEAR(B21)+3,MONTH(B21),DAY(B21)),"dd mmm yyyy")</f>
        <v>16 Apr 2024</v>
      </c>
      <c r="H23" s="221"/>
      <c r="I23" s="219"/>
    </row>
    <row r="24" spans="1:9" s="8" customFormat="1" ht="23.5">
      <c r="A24" s="159"/>
      <c r="B24" s="277"/>
      <c r="C24" s="160"/>
      <c r="E24" s="161"/>
      <c r="G24" s="241"/>
      <c r="H24" s="221"/>
      <c r="I24" s="219"/>
    </row>
    <row r="25" spans="1:9" s="8" customFormat="1" ht="15.5">
      <c r="A25" s="171" t="s">
        <v>1039</v>
      </c>
      <c r="B25" s="280" t="s">
        <v>1040</v>
      </c>
      <c r="C25" s="278" t="s">
        <v>1041</v>
      </c>
      <c r="D25" s="172" t="s">
        <v>848</v>
      </c>
      <c r="E25" s="161"/>
      <c r="G25" s="173"/>
    </row>
    <row r="26" spans="1:9" s="8" customFormat="1" ht="15.5">
      <c r="A26" s="159"/>
      <c r="B26" s="279" t="s">
        <v>1042</v>
      </c>
      <c r="C26" s="174" t="s">
        <v>1043</v>
      </c>
      <c r="D26" s="175">
        <f>'P1PA-SS'!B70</f>
        <v>44315</v>
      </c>
      <c r="E26" s="161"/>
      <c r="G26" s="176" t="str">
        <f>G23</f>
        <v>16 Apr 2024</v>
      </c>
      <c r="H26" s="170" t="s">
        <v>1044</v>
      </c>
    </row>
    <row r="27" spans="1:9" s="8" customFormat="1" ht="15.5">
      <c r="A27" s="159"/>
      <c r="B27" s="174" t="s">
        <v>1045</v>
      </c>
      <c r="C27" s="174" t="s">
        <v>1046</v>
      </c>
      <c r="D27" s="175">
        <f>D26+14</f>
        <v>44329</v>
      </c>
      <c r="E27" s="161"/>
      <c r="G27" s="176"/>
    </row>
    <row r="28" spans="1:9" s="8" customFormat="1" ht="15.5">
      <c r="A28" s="159"/>
      <c r="B28" s="174" t="str">
        <f>CONCATENATE("Review with ",C32," on progress against the plan.")</f>
        <v>Review with  on progress against the plan.</v>
      </c>
      <c r="C28" s="174" t="str">
        <f>CONCATENATE("Sponsor and ",C32)</f>
        <v xml:space="preserve">Sponsor and </v>
      </c>
      <c r="D28" s="175">
        <f>D27+14</f>
        <v>44343</v>
      </c>
      <c r="E28" s="161"/>
    </row>
    <row r="29" spans="1:9" s="8" customFormat="1" ht="15.5">
      <c r="A29" s="159"/>
      <c r="B29" s="177"/>
      <c r="C29" s="177"/>
      <c r="D29" s="177"/>
      <c r="E29" s="161"/>
    </row>
    <row r="30" spans="1:9" s="8" customFormat="1" ht="31.5" customHeight="1">
      <c r="A30" s="159"/>
      <c r="B30" s="515" t="s">
        <v>1047</v>
      </c>
      <c r="C30" s="515"/>
      <c r="D30" s="515"/>
      <c r="E30" s="161"/>
    </row>
    <row r="31" spans="1:9" s="8" customFormat="1" ht="18.5">
      <c r="A31" s="159"/>
      <c r="B31" s="168"/>
      <c r="C31" s="160"/>
      <c r="E31" s="161"/>
    </row>
    <row r="32" spans="1:9" s="8" customFormat="1" ht="15.5">
      <c r="A32" s="159"/>
      <c r="B32" s="178" t="str">
        <f>B12</f>
        <v>Sponsor: Prof Kessler, Donald</v>
      </c>
      <c r="C32" s="179"/>
      <c r="E32" s="161"/>
    </row>
    <row r="33" spans="1:5" s="8" customFormat="1" ht="18.5">
      <c r="A33" s="159"/>
      <c r="B33" s="168"/>
      <c r="C33" s="160"/>
      <c r="E33" s="161"/>
    </row>
    <row r="34" spans="1:5" s="8" customFormat="1" ht="18.5">
      <c r="A34" s="159"/>
      <c r="B34" s="168"/>
      <c r="C34" s="160"/>
      <c r="E34" s="161"/>
    </row>
    <row r="35" spans="1:5" s="8" customFormat="1" ht="18.5">
      <c r="A35" s="159"/>
      <c r="B35" s="168"/>
      <c r="C35" s="160"/>
      <c r="E35" s="161"/>
    </row>
    <row r="36" spans="1:5" s="8" customFormat="1" ht="18.5">
      <c r="A36" s="159"/>
      <c r="B36" s="168"/>
      <c r="C36" s="160"/>
      <c r="E36" s="161"/>
    </row>
    <row r="37" spans="1:5" s="8" customFormat="1" ht="19" thickBot="1">
      <c r="A37" s="180"/>
      <c r="B37" s="181"/>
      <c r="C37" s="182"/>
      <c r="D37" s="183"/>
      <c r="E37" s="184"/>
    </row>
    <row r="38" spans="1:5" s="8" customFormat="1" ht="18.5">
      <c r="B38" s="168"/>
      <c r="C38" s="160"/>
    </row>
    <row r="39" spans="1:5" s="8" customFormat="1" ht="18.5">
      <c r="B39" s="168"/>
      <c r="C39" s="160"/>
    </row>
    <row r="40" spans="1:5" s="8" customFormat="1" ht="18.5">
      <c r="B40" s="168"/>
      <c r="C40" s="160"/>
    </row>
    <row r="41" spans="1:5" s="8" customFormat="1" ht="18.5">
      <c r="B41" s="168"/>
      <c r="C41" s="160"/>
    </row>
    <row r="42" spans="1:5" s="8" customFormat="1" ht="18.5">
      <c r="B42" s="168"/>
      <c r="C42" s="160"/>
    </row>
    <row r="43" spans="1:5" s="8" customFormat="1" ht="18.5">
      <c r="B43" s="168"/>
      <c r="C43" s="160"/>
    </row>
    <row r="44" spans="1:5" s="8" customFormat="1" ht="18.5">
      <c r="B44" s="168"/>
      <c r="C44" s="160"/>
    </row>
    <row r="45" spans="1:5" s="8" customFormat="1" ht="18.5">
      <c r="B45" s="168"/>
      <c r="C45" s="160"/>
    </row>
    <row r="46" spans="1:5" s="8" customFormat="1" ht="18.5">
      <c r="B46" s="168"/>
      <c r="C46" s="160"/>
    </row>
    <row r="47" spans="1:5" s="8" customFormat="1" ht="18.5">
      <c r="B47" s="168"/>
      <c r="C47" s="160"/>
    </row>
    <row r="48" spans="1:5" s="8" customFormat="1" ht="18.5">
      <c r="B48" s="168"/>
      <c r="C48" s="160"/>
    </row>
    <row r="49" spans="2:3" s="8" customFormat="1" ht="18.5">
      <c r="B49" s="168"/>
      <c r="C49" s="160"/>
    </row>
    <row r="50" spans="2:3" s="8" customFormat="1" ht="18.5">
      <c r="B50" s="168"/>
      <c r="C50" s="160"/>
    </row>
    <row r="51" spans="2:3" s="8" customFormat="1" ht="18.5">
      <c r="B51" s="168"/>
      <c r="C51" s="160"/>
    </row>
    <row r="52" spans="2:3" s="8" customFormat="1" ht="18.5">
      <c r="B52" s="168"/>
      <c r="C52" s="160"/>
    </row>
    <row r="53" spans="2:3" s="8" customFormat="1" ht="18.5">
      <c r="B53" s="168"/>
      <c r="C53" s="160"/>
    </row>
    <row r="54" spans="2:3" s="8" customFormat="1" ht="18.5">
      <c r="B54" s="168"/>
      <c r="C54" s="160"/>
    </row>
    <row r="55" spans="2:3" s="8" customFormat="1" ht="18.5">
      <c r="B55" s="168"/>
      <c r="C55" s="160"/>
    </row>
    <row r="56" spans="2:3" s="8" customFormat="1" ht="18.5">
      <c r="B56" s="168"/>
      <c r="C56" s="160"/>
    </row>
    <row r="57" spans="2:3" s="8" customFormat="1" ht="18.5">
      <c r="B57" s="168"/>
      <c r="C57" s="160"/>
    </row>
    <row r="58" spans="2:3" s="8" customFormat="1" ht="18.5">
      <c r="B58" s="168"/>
      <c r="C58" s="160"/>
    </row>
    <row r="59" spans="2:3" s="8" customFormat="1" ht="18.5">
      <c r="B59" s="168"/>
      <c r="C59" s="160"/>
    </row>
    <row r="60" spans="2:3" s="8" customFormat="1" ht="18.5">
      <c r="B60" s="168"/>
      <c r="C60" s="160"/>
    </row>
    <row r="61" spans="2:3" s="8" customFormat="1" ht="18.5">
      <c r="B61" s="168"/>
      <c r="C61" s="160"/>
    </row>
    <row r="62" spans="2:3" s="8" customFormat="1" ht="18.5">
      <c r="B62" s="168"/>
      <c r="C62" s="160"/>
    </row>
    <row r="63" spans="2:3" s="8" customFormat="1" ht="18.5">
      <c r="B63" s="168"/>
      <c r="C63" s="160"/>
    </row>
    <row r="64" spans="2:3" s="8" customFormat="1" ht="18.5">
      <c r="B64" s="168"/>
      <c r="C64" s="160"/>
    </row>
    <row r="65" spans="2:3" s="8" customFormat="1" ht="18.5">
      <c r="B65" s="168"/>
      <c r="C65" s="160"/>
    </row>
    <row r="66" spans="2:3" s="8" customFormat="1" ht="18.5">
      <c r="B66" s="168"/>
      <c r="C66" s="160"/>
    </row>
    <row r="67" spans="2:3" s="8" customFormat="1" ht="18.5">
      <c r="B67" s="168"/>
      <c r="C67" s="160"/>
    </row>
  </sheetData>
  <mergeCells count="1">
    <mergeCell ref="B30:D30"/>
  </mergeCells>
  <phoneticPr fontId="54" type="noConversion"/>
  <pageMargins left="0.7" right="0.7" top="0.75" bottom="0.75" header="0.3" footer="0.3"/>
  <pageSetup paperSize="9" orientation="portrait" horizontalDpi="1200" verticalDpi="1200" r:id="rId1"/>
  <drawing r:id="rId2"/>
  <legacyDrawing r:id="rId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4BEDB8-F93D-45FF-BCBE-8710D8C3A54C}">
  <dimension ref="A1:J39"/>
  <sheetViews>
    <sheetView workbookViewId="0">
      <selection activeCell="A3" sqref="A3"/>
    </sheetView>
  </sheetViews>
  <sheetFormatPr defaultColWidth="8.7265625" defaultRowHeight="13"/>
  <cols>
    <col min="1" max="1" width="36.81640625" style="389" customWidth="1"/>
    <col min="2" max="2" width="83.453125" style="389" customWidth="1"/>
    <col min="3" max="3" width="6.81640625" style="389" customWidth="1"/>
    <col min="4" max="4" width="48.453125" style="389" customWidth="1"/>
    <col min="5" max="20" width="6.81640625" style="389" customWidth="1"/>
    <col min="21" max="21" width="5.81640625" style="389" customWidth="1"/>
    <col min="22" max="16384" width="8.7265625" style="389"/>
  </cols>
  <sheetData>
    <row r="1" spans="1:10">
      <c r="A1" s="385" t="s">
        <v>389</v>
      </c>
      <c r="B1" s="386" t="str">
        <f>IF(StartupInfo!B3="","",StartupInfo!B3)</f>
        <v>Software for Mars (Pty) Ltd</v>
      </c>
      <c r="D1" s="392"/>
      <c r="J1" s="393"/>
    </row>
    <row r="2" spans="1:10">
      <c r="A2" s="394" t="str">
        <f>StartupInfo!A10</f>
        <v>Country</v>
      </c>
      <c r="B2" s="387" t="str">
        <f>IF(StartupInfo!B4="","",StartupInfo!B4)</f>
        <v>Mars</v>
      </c>
      <c r="D2" s="392"/>
      <c r="J2" s="393"/>
    </row>
    <row r="3" spans="1:10" ht="29.5" customHeight="1">
      <c r="A3" s="394" t="str">
        <f>StartupInfo!A11</f>
        <v>Organization main address including City, ZIP/Postal Code, and Country</v>
      </c>
      <c r="B3" s="388" t="str">
        <f>StartupInfo!B11</f>
        <v>Room 1, Dome 1, No. 1 First Street, Base Alpha City, Tharsis, Planet04, China</v>
      </c>
    </row>
    <row r="5" spans="1:10">
      <c r="A5" s="385" t="s">
        <v>975</v>
      </c>
      <c r="B5" s="386" t="str">
        <f>StartupInfo!B20</f>
        <v>R&amp;D Department</v>
      </c>
    </row>
    <row r="6" spans="1:10">
      <c r="A6" s="394" t="s">
        <v>976</v>
      </c>
      <c r="B6" s="387" t="str">
        <f>StartupInfo!B22</f>
        <v>The company provides space exploration services…</v>
      </c>
      <c r="D6" s="402" t="str">
        <f>StartupInfo!B26</f>
        <v xml:space="preserve">If address is different from the organisation, manually enter the address in StartupInfo/below, and unhide the new address in pptxLink1, so it displays in the pptx	  </v>
      </c>
    </row>
    <row r="7" spans="1:10" hidden="1">
      <c r="A7" s="394" t="s">
        <v>429</v>
      </c>
      <c r="B7" s="388" t="str">
        <f>IF(StartupInfo!B33="","",StartupInfo!B33)</f>
        <v>Room 1, Dome 1, No. 1 First Street, Base Alpha City, Tharsis, Planet04, China</v>
      </c>
    </row>
    <row r="9" spans="1:10">
      <c r="A9" s="385" t="s">
        <v>978</v>
      </c>
      <c r="B9" s="386" t="str">
        <f>'Agreement 3'!B28</f>
        <v>Prof Kessler, Donald</v>
      </c>
    </row>
    <row r="10" spans="1:10">
      <c r="A10" s="394" t="s">
        <v>866</v>
      </c>
      <c r="B10" s="387" t="str">
        <f>'Agreement 3'!B29</f>
        <v>The Boss</v>
      </c>
    </row>
    <row r="11" spans="1:10">
      <c r="A11" s="394" t="s">
        <v>973</v>
      </c>
      <c r="B11" s="388" t="str">
        <f>StartupInfo!B39</f>
        <v>Internal</v>
      </c>
    </row>
    <row r="13" spans="1:10">
      <c r="A13" s="385" t="s">
        <v>974</v>
      </c>
      <c r="B13" s="386" t="str">
        <f>'Agreement 3'!B7</f>
        <v>van Zyl, Pieter</v>
      </c>
    </row>
    <row r="14" spans="1:10">
      <c r="A14" s="394" t="s">
        <v>979</v>
      </c>
      <c r="B14" s="387" t="str">
        <f>'Agreement 3'!B11</f>
        <v>0500535-01</v>
      </c>
    </row>
    <row r="15" spans="1:10">
      <c r="A15" s="394" t="s">
        <v>980</v>
      </c>
      <c r="B15" s="387" t="str">
        <f>'Agreement 3'!B8</f>
        <v>Demix (Pty) Ltd</v>
      </c>
    </row>
    <row r="16" spans="1:10">
      <c r="A16" s="394" t="s">
        <v>981</v>
      </c>
      <c r="B16" s="387" t="str">
        <f>'Agreement 3'!B45</f>
        <v>Demix (Pty) Ltd</v>
      </c>
    </row>
    <row r="17" spans="1:2">
      <c r="A17" s="394" t="s">
        <v>10</v>
      </c>
      <c r="B17" s="387" t="str">
        <f>'Agreement 3'!B13</f>
        <v>pieter.vanzyl@demix.org</v>
      </c>
    </row>
    <row r="19" spans="1:2">
      <c r="A19" s="385" t="s">
        <v>982</v>
      </c>
      <c r="B19" s="386" t="str">
        <f>_xlfn.CONCAT('Agreement 3'!B7," - ",'Agreement 3'!B8)</f>
        <v>van Zyl, Pieter - Demix (Pty) Ltd</v>
      </c>
    </row>
    <row r="20" spans="1:2">
      <c r="A20" s="394" t="s">
        <v>983</v>
      </c>
      <c r="B20" s="387" t="str">
        <f>_xlfn.CONCAT('P1PA-SS'!B91," - ",'P1PA-SS'!D91)</f>
        <v>ATM-1 - Demix (Pty) Ltd</v>
      </c>
    </row>
    <row r="21" spans="1:2">
      <c r="A21" s="394" t="s">
        <v>983</v>
      </c>
      <c r="B21" s="387" t="str">
        <f>_xlfn.CONCAT('P1PA-SS'!B92," - ",'P1PA-SS'!D92)</f>
        <v>ATM-2 - Demix (Pty) Ltd</v>
      </c>
    </row>
    <row r="22" spans="1:2">
      <c r="A22" s="394" t="s">
        <v>983</v>
      </c>
      <c r="B22" s="387" t="str">
        <f>_xlfn.CONCAT('P1PA-SS'!B93," - ",'P1PA-SS'!D93)</f>
        <v>ATM-3 - Demix (Pty) Ltd</v>
      </c>
    </row>
    <row r="23" spans="1:2">
      <c r="A23" s="394" t="s">
        <v>983</v>
      </c>
      <c r="B23" s="387" t="str">
        <f>_xlfn.CONCAT('P1PA-SS'!B94," - ",'P1PA-SS'!D94)</f>
        <v>ATM-4 - Demix (Pty) Ltd</v>
      </c>
    </row>
    <row r="24" spans="1:2">
      <c r="A24" s="394" t="s">
        <v>983</v>
      </c>
      <c r="B24" s="387" t="str">
        <f>_xlfn.CONCAT('P1PA-SS'!B95," - ",'P1PA-SS'!D95)</f>
        <v>ATM-5 - Demix (Pty) Ltd</v>
      </c>
    </row>
    <row r="25" spans="1:2">
      <c r="A25" s="394" t="s">
        <v>983</v>
      </c>
      <c r="B25" s="387" t="str">
        <f>_xlfn.CONCAT('P1PA-SS'!B96," - ",'P1PA-SS'!D96)</f>
        <v>ATM-6 - Demix (Pty) Ltd</v>
      </c>
    </row>
    <row r="26" spans="1:2">
      <c r="A26" s="394" t="s">
        <v>983</v>
      </c>
      <c r="B26" s="387" t="str">
        <f>_xlfn.CONCAT('P1PA-SS'!B97," - ",'P1PA-SS'!D97)</f>
        <v>ATM-7 - Demix (Pty) Ltd</v>
      </c>
    </row>
    <row r="27" spans="1:2">
      <c r="A27" s="394" t="s">
        <v>983</v>
      </c>
      <c r="B27" s="387" t="str">
        <f>_xlfn.CONCAT('P1PA-SS'!B98," - ",'P1PA-SS'!D98)</f>
        <v>ATM-8 - Demix (Pty) Ltd</v>
      </c>
    </row>
    <row r="28" spans="1:2">
      <c r="A28" s="394" t="s">
        <v>983</v>
      </c>
      <c r="B28" s="387" t="str">
        <f>_xlfn.CONCAT('P1PA-SS'!B99," - ",'P1PA-SS'!D99)</f>
        <v>ATM-9 - Demix (Pty) Ltd</v>
      </c>
    </row>
    <row r="29" spans="1:2">
      <c r="A29" s="394" t="s">
        <v>984</v>
      </c>
      <c r="B29" s="387" t="str">
        <f>_xlfn.CONCAT('Agreement 3'!B33," - ",'Agreement 3'!B34)</f>
        <v>Miss Lake, Nathalie - Software for Mars (Pty) Ltd</v>
      </c>
    </row>
    <row r="30" spans="1:2">
      <c r="A30" s="394" t="s">
        <v>27</v>
      </c>
      <c r="B30" s="387" t="str">
        <f>_xlfn.CONCAT('P1PA-SS'!B87," - ",'P1PA-SS'!D87)</f>
        <v>Miss Land, Barbara - Freelance</v>
      </c>
    </row>
    <row r="32" spans="1:2">
      <c r="A32" s="385" t="s">
        <v>1502</v>
      </c>
      <c r="B32" s="385" t="s">
        <v>382</v>
      </c>
    </row>
    <row r="33" spans="1:2" ht="32" customHeight="1">
      <c r="A33" s="394" t="s">
        <v>795</v>
      </c>
      <c r="B33" s="390" t="s">
        <v>1503</v>
      </c>
    </row>
    <row r="34" spans="1:2" ht="32" customHeight="1">
      <c r="A34" s="394" t="s">
        <v>1504</v>
      </c>
      <c r="B34" s="391" t="s">
        <v>1389</v>
      </c>
    </row>
    <row r="35" spans="1:2" ht="32" customHeight="1">
      <c r="A35" s="394" t="s">
        <v>796</v>
      </c>
      <c r="B35" s="391" t="s">
        <v>1386</v>
      </c>
    </row>
    <row r="36" spans="1:2" ht="32" customHeight="1">
      <c r="A36" s="394" t="s">
        <v>1505</v>
      </c>
      <c r="B36" s="391" t="s">
        <v>1387</v>
      </c>
    </row>
    <row r="37" spans="1:2" ht="32" customHeight="1">
      <c r="A37" s="394" t="s">
        <v>672</v>
      </c>
      <c r="B37" s="391" t="s">
        <v>1506</v>
      </c>
    </row>
    <row r="38" spans="1:2">
      <c r="A38" s="385" t="s">
        <v>1507</v>
      </c>
      <c r="B38" s="385" t="s">
        <v>382</v>
      </c>
    </row>
    <row r="39" spans="1:2" ht="35" customHeight="1">
      <c r="A39" s="394" t="s">
        <v>1508</v>
      </c>
      <c r="B39" s="391" t="s">
        <v>1509</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0EDCA5-B4E5-4548-9D03-BCD17E43C14E}">
  <dimension ref="A1:T35"/>
  <sheetViews>
    <sheetView topLeftCell="A8" workbookViewId="0">
      <selection activeCell="A30" sqref="A30:A35"/>
    </sheetView>
  </sheetViews>
  <sheetFormatPr defaultColWidth="8.7265625" defaultRowHeight="15.5"/>
  <cols>
    <col min="1" max="1" width="108.26953125" style="177" customWidth="1"/>
    <col min="2" max="19" width="6.81640625" style="383" customWidth="1"/>
    <col min="20" max="20" width="5.81640625" style="383" customWidth="1"/>
    <col min="21" max="16384" width="8.7265625" style="384"/>
  </cols>
  <sheetData>
    <row r="1" spans="1:1">
      <c r="A1" s="395" t="str">
        <f>Planning!A42</f>
        <v>Business objectives</v>
      </c>
    </row>
    <row r="2" spans="1:1" ht="46.5">
      <c r="A2" s="396" t="str">
        <f>Planning!B42</f>
        <v>[BO-1] Improve production efficiency to improve productivity 
[BO-2] Improve delivery capacity
[BO-3] Reduce Code Acceptance Defects</v>
      </c>
    </row>
    <row r="3" spans="1:1">
      <c r="A3" s="395" t="str">
        <f>Planning!A54</f>
        <v>Appraisal objectives</v>
      </c>
    </row>
    <row r="4" spans="1:1" ht="31">
      <c r="A4" s="396" t="str">
        <f>Planning!B54</f>
        <v>[A1]: In support of the business objectives, understand the current strength and weaknesses of the CMMI maturity level 3 practices within the organisation [BO-1, BO-2 &amp; BO-3].</v>
      </c>
    </row>
    <row r="6" spans="1:1">
      <c r="A6" s="382" t="str">
        <f>'P1PA-R'!A3</f>
        <v>Final Findings</v>
      </c>
    </row>
    <row r="7" spans="1:1" ht="31">
      <c r="A7" s="397" t="str">
        <f>'P1PA-R'!B4</f>
        <v>The Final Findings will be presented as a PowerPoint presentation on the last on-site day, highlighting the strengths and weaknesses identified.</v>
      </c>
    </row>
    <row r="9" spans="1:1">
      <c r="A9" s="382" t="str">
        <f>'P1PA-R'!A8</f>
        <v>Sampled Project and OSF-level Practice Characterization Worksheets</v>
      </c>
    </row>
    <row r="10" spans="1:1">
      <c r="A10" s="397" t="str">
        <f>'P1PA-R'!B9</f>
        <v>OSF-level Practice Characterization Worksheets and Matrix included in the Final Findings presentation.</v>
      </c>
    </row>
    <row r="12" spans="1:1">
      <c r="A12" s="382" t="str">
        <f>'P1PA-R'!A13</f>
        <v>Sampled Project and OSF-level Ratings Worksheets</v>
      </c>
    </row>
    <row r="13" spans="1:1">
      <c r="A13" s="397" t="str">
        <f>'P1PA-R'!B14</f>
        <v>OSF-level Practice Ratings Worksheets and Matrix included in the Final Findings presentation.</v>
      </c>
    </row>
    <row r="15" spans="1:1">
      <c r="A15" s="382" t="str">
        <f>'P1PA-R'!A23</f>
        <v>Performance Report Output</v>
      </c>
    </row>
    <row r="16" spans="1:1" ht="31">
      <c r="A16" s="397" t="str">
        <f>'P1PA-R'!B24</f>
        <v>The Performance Report records the Appraisal Team's consolidated judgment as to how performance is managed and improved in the OU.</v>
      </c>
    </row>
    <row r="18" spans="1:1">
      <c r="A18" s="382" t="str">
        <f>'P1PA-R'!A28</f>
        <v>Other Optional Output</v>
      </c>
    </row>
    <row r="19" spans="1:1">
      <c r="A19" s="397" t="str">
        <f>'P1PA-R'!B29</f>
        <v>Immediately follow-up actions after the final findings are presented.</v>
      </c>
    </row>
    <row r="30" spans="1:1">
      <c r="A30" s="382" t="str">
        <f>StartupInfo!B20</f>
        <v>R&amp;D Department</v>
      </c>
    </row>
    <row r="31" spans="1:1">
      <c r="A31" s="397" t="str">
        <f>StartupInfo!B22</f>
        <v>The company provides space exploration services…</v>
      </c>
    </row>
    <row r="33" spans="1:1">
      <c r="A33" s="382" t="str">
        <f>'P1PA-SS'!A127</f>
        <v>Sampling Factors</v>
      </c>
    </row>
    <row r="34" spans="1:1">
      <c r="A34" s="403" t="str">
        <f>'P1PA-SS'!B128</f>
        <v>Type of Work</v>
      </c>
    </row>
    <row r="35" spans="1:1">
      <c r="A35" s="404" t="str">
        <f>'P1PA-SS'!B130</f>
        <v>All development projects</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69E185-1AD5-4D4F-AB72-050A4E47AEAA}">
  <dimension ref="A2:T24"/>
  <sheetViews>
    <sheetView topLeftCell="C1" workbookViewId="0">
      <selection activeCell="J2" sqref="J2:O24"/>
    </sheetView>
  </sheetViews>
  <sheetFormatPr defaultRowHeight="14.5"/>
  <cols>
    <col min="1" max="1" width="38.26953125" style="358" customWidth="1"/>
    <col min="2" max="2" width="52.36328125" style="358" customWidth="1"/>
    <col min="3" max="3" width="10.90625" style="358" customWidth="1"/>
    <col min="4" max="4" width="2.453125" style="358" customWidth="1"/>
    <col min="5" max="9" width="8.7265625" style="358"/>
    <col min="10" max="10" width="49.453125" style="358" customWidth="1"/>
    <col min="11" max="16384" width="8.7265625" style="358"/>
  </cols>
  <sheetData>
    <row r="2" spans="1:20" ht="13" customHeight="1">
      <c r="A2" s="518" t="str">
        <f>'P1PA-SS'!B76</f>
        <v>CMMI Development V2.0 (CMMI-DEV) without SAM</v>
      </c>
      <c r="B2" s="519"/>
      <c r="C2" s="519"/>
      <c r="E2" s="360" t="s">
        <v>1305</v>
      </c>
      <c r="F2" s="360">
        <f>VALUE(RIGHT(Planning!B10,1))</f>
        <v>5</v>
      </c>
      <c r="G2" s="348" t="s">
        <v>1306</v>
      </c>
      <c r="J2" s="518" t="str">
        <f>'P1PA-SS'!B76</f>
        <v>CMMI Development V2.0 (CMMI-DEV) without SAM</v>
      </c>
      <c r="K2" s="519"/>
      <c r="L2" s="519"/>
      <c r="M2" s="519"/>
      <c r="N2" s="519"/>
      <c r="O2" s="519"/>
    </row>
    <row r="3" spans="1:20" s="347" customFormat="1">
      <c r="A3" s="520" t="str">
        <f>'P1PA-SS'!B75</f>
        <v>Maturity Level 5</v>
      </c>
      <c r="B3" s="521"/>
      <c r="C3" s="521"/>
      <c r="D3" s="358"/>
      <c r="E3" s="358"/>
      <c r="F3" s="358"/>
      <c r="G3" s="363"/>
      <c r="H3" s="363"/>
      <c r="I3" s="363"/>
      <c r="J3" s="520" t="str">
        <f>'P1PA-SS'!B75</f>
        <v>Maturity Level 5</v>
      </c>
      <c r="K3" s="521"/>
      <c r="L3" s="521"/>
      <c r="M3" s="521"/>
      <c r="N3" s="521"/>
      <c r="O3" s="521"/>
      <c r="P3" s="363"/>
      <c r="Q3" s="363"/>
      <c r="R3" s="363"/>
      <c r="S3" s="363"/>
      <c r="T3" s="363"/>
    </row>
    <row r="4" spans="1:20">
      <c r="A4" s="364" t="s">
        <v>1482</v>
      </c>
      <c r="B4" s="364" t="s">
        <v>920</v>
      </c>
      <c r="C4" s="365" t="s">
        <v>1483</v>
      </c>
      <c r="F4" s="358" t="s">
        <v>1499</v>
      </c>
      <c r="J4" s="378" t="s">
        <v>920</v>
      </c>
      <c r="K4" s="379">
        <v>1</v>
      </c>
      <c r="L4" s="379">
        <v>2</v>
      </c>
      <c r="M4" s="379">
        <v>3</v>
      </c>
      <c r="N4" s="379">
        <v>4</v>
      </c>
      <c r="O4" s="379">
        <v>5</v>
      </c>
    </row>
    <row r="5" spans="1:20" ht="20.5" customHeight="1">
      <c r="A5" s="522" t="s">
        <v>1487</v>
      </c>
      <c r="B5" s="366" t="s">
        <v>1033</v>
      </c>
      <c r="C5" s="359">
        <f t="shared" ref="C5:C24" si="0">IF(F5&gt;=$F$2,$F$2,F5)</f>
        <v>3</v>
      </c>
      <c r="F5" s="358">
        <v>3</v>
      </c>
      <c r="J5" s="380" t="s">
        <v>1033</v>
      </c>
      <c r="K5" s="381" t="str">
        <f>IF($C5&gt;=K$4,"x","")</f>
        <v>x</v>
      </c>
      <c r="L5" s="381" t="str">
        <f t="shared" ref="L5:O20" si="1">IF($C5&gt;=L$4,"x","")</f>
        <v>x</v>
      </c>
      <c r="M5" s="381" t="str">
        <f t="shared" si="1"/>
        <v>x</v>
      </c>
      <c r="N5" s="381" t="str">
        <f t="shared" si="1"/>
        <v/>
      </c>
      <c r="O5" s="381" t="str">
        <f t="shared" si="1"/>
        <v/>
      </c>
    </row>
    <row r="6" spans="1:20" ht="20.5" customHeight="1">
      <c r="A6" s="522"/>
      <c r="B6" s="366" t="s">
        <v>1048</v>
      </c>
      <c r="C6" s="359">
        <f t="shared" si="0"/>
        <v>3</v>
      </c>
      <c r="F6" s="358">
        <v>3</v>
      </c>
      <c r="J6" s="380" t="s">
        <v>1048</v>
      </c>
      <c r="K6" s="381" t="str">
        <f t="shared" ref="K6:O24" si="2">IF($C6&gt;=K$4,"x","")</f>
        <v>x</v>
      </c>
      <c r="L6" s="381" t="str">
        <f t="shared" si="1"/>
        <v>x</v>
      </c>
      <c r="M6" s="381" t="str">
        <f t="shared" si="1"/>
        <v>x</v>
      </c>
      <c r="N6" s="381" t="str">
        <f t="shared" si="1"/>
        <v/>
      </c>
      <c r="O6" s="381" t="str">
        <f t="shared" si="1"/>
        <v/>
      </c>
    </row>
    <row r="7" spans="1:20" ht="20.5" customHeight="1">
      <c r="A7" s="522"/>
      <c r="B7" s="366" t="s">
        <v>1027</v>
      </c>
      <c r="C7" s="359">
        <f t="shared" si="0"/>
        <v>3</v>
      </c>
      <c r="F7" s="358">
        <v>3</v>
      </c>
      <c r="J7" s="380" t="s">
        <v>1027</v>
      </c>
      <c r="K7" s="381" t="str">
        <f t="shared" si="2"/>
        <v>x</v>
      </c>
      <c r="L7" s="381" t="str">
        <f t="shared" si="1"/>
        <v>x</v>
      </c>
      <c r="M7" s="381" t="str">
        <f t="shared" si="1"/>
        <v>x</v>
      </c>
      <c r="N7" s="381" t="str">
        <f t="shared" si="1"/>
        <v/>
      </c>
      <c r="O7" s="381" t="str">
        <f t="shared" si="1"/>
        <v/>
      </c>
    </row>
    <row r="8" spans="1:20" ht="20.5" customHeight="1">
      <c r="A8" s="522"/>
      <c r="B8" s="366" t="s">
        <v>1488</v>
      </c>
      <c r="C8" s="359">
        <f t="shared" si="0"/>
        <v>3</v>
      </c>
      <c r="F8" s="358">
        <v>3</v>
      </c>
      <c r="J8" s="380" t="s">
        <v>1488</v>
      </c>
      <c r="K8" s="381" t="str">
        <f t="shared" si="2"/>
        <v>x</v>
      </c>
      <c r="L8" s="381" t="str">
        <f t="shared" si="1"/>
        <v>x</v>
      </c>
      <c r="M8" s="381" t="str">
        <f t="shared" si="1"/>
        <v>x</v>
      </c>
      <c r="N8" s="381" t="str">
        <f t="shared" si="1"/>
        <v/>
      </c>
      <c r="O8" s="381" t="str">
        <f t="shared" si="1"/>
        <v/>
      </c>
    </row>
    <row r="9" spans="1:20" ht="20.5" customHeight="1">
      <c r="A9" s="523" t="s">
        <v>1490</v>
      </c>
      <c r="B9" s="367" t="s">
        <v>1034</v>
      </c>
      <c r="C9" s="359">
        <f t="shared" si="0"/>
        <v>3</v>
      </c>
      <c r="F9" s="358">
        <v>3</v>
      </c>
      <c r="J9" s="380" t="s">
        <v>1034</v>
      </c>
      <c r="K9" s="381" t="str">
        <f t="shared" si="2"/>
        <v>x</v>
      </c>
      <c r="L9" s="381" t="str">
        <f t="shared" si="1"/>
        <v>x</v>
      </c>
      <c r="M9" s="381" t="str">
        <f t="shared" si="1"/>
        <v>x</v>
      </c>
      <c r="N9" s="381" t="str">
        <f t="shared" si="1"/>
        <v/>
      </c>
      <c r="O9" s="381" t="str">
        <f t="shared" si="1"/>
        <v/>
      </c>
    </row>
    <row r="10" spans="1:20" ht="20.5" customHeight="1">
      <c r="A10" s="523"/>
      <c r="B10" s="367" t="s">
        <v>1035</v>
      </c>
      <c r="C10" s="359">
        <f t="shared" si="0"/>
        <v>3</v>
      </c>
      <c r="F10" s="358">
        <v>3</v>
      </c>
      <c r="J10" s="380" t="s">
        <v>1035</v>
      </c>
      <c r="K10" s="381" t="str">
        <f t="shared" si="2"/>
        <v>x</v>
      </c>
      <c r="L10" s="381" t="str">
        <f t="shared" si="1"/>
        <v>x</v>
      </c>
      <c r="M10" s="381" t="str">
        <f t="shared" si="1"/>
        <v>x</v>
      </c>
      <c r="N10" s="381" t="str">
        <f t="shared" si="1"/>
        <v/>
      </c>
      <c r="O10" s="381" t="str">
        <f t="shared" si="1"/>
        <v/>
      </c>
    </row>
    <row r="11" spans="1:20" ht="20.5" customHeight="1">
      <c r="A11" s="368" t="s">
        <v>1500</v>
      </c>
      <c r="B11" s="369" t="s">
        <v>1501</v>
      </c>
      <c r="C11" s="359">
        <f t="shared" si="0"/>
        <v>4</v>
      </c>
      <c r="F11" s="358">
        <v>4</v>
      </c>
      <c r="J11" s="380" t="s">
        <v>1501</v>
      </c>
      <c r="K11" s="381" t="str">
        <f t="shared" si="2"/>
        <v>x</v>
      </c>
      <c r="L11" s="381" t="str">
        <f t="shared" si="1"/>
        <v>x</v>
      </c>
      <c r="M11" s="381" t="str">
        <f t="shared" si="1"/>
        <v>x</v>
      </c>
      <c r="N11" s="381" t="str">
        <f t="shared" si="1"/>
        <v>x</v>
      </c>
      <c r="O11" s="381" t="str">
        <f t="shared" si="1"/>
        <v/>
      </c>
    </row>
    <row r="12" spans="1:20" ht="20.5" customHeight="1">
      <c r="A12" s="524" t="s">
        <v>1498</v>
      </c>
      <c r="B12" s="370" t="s">
        <v>1031</v>
      </c>
      <c r="C12" s="359">
        <f t="shared" si="0"/>
        <v>3</v>
      </c>
      <c r="F12" s="358">
        <v>3</v>
      </c>
      <c r="J12" s="380" t="s">
        <v>1031</v>
      </c>
      <c r="K12" s="381" t="str">
        <f t="shared" si="2"/>
        <v>x</v>
      </c>
      <c r="L12" s="381" t="str">
        <f t="shared" si="1"/>
        <v>x</v>
      </c>
      <c r="M12" s="381" t="str">
        <f t="shared" si="1"/>
        <v>x</v>
      </c>
      <c r="N12" s="381" t="str">
        <f t="shared" si="1"/>
        <v/>
      </c>
      <c r="O12" s="381" t="str">
        <f t="shared" si="1"/>
        <v/>
      </c>
    </row>
    <row r="13" spans="1:20" ht="20.5" customHeight="1">
      <c r="A13" s="524"/>
      <c r="B13" s="370" t="s">
        <v>1030</v>
      </c>
      <c r="C13" s="359">
        <f t="shared" si="0"/>
        <v>4</v>
      </c>
      <c r="F13" s="358">
        <v>4</v>
      </c>
      <c r="J13" s="380" t="s">
        <v>1030</v>
      </c>
      <c r="K13" s="381" t="str">
        <f t="shared" si="2"/>
        <v>x</v>
      </c>
      <c r="L13" s="381" t="str">
        <f t="shared" si="1"/>
        <v>x</v>
      </c>
      <c r="M13" s="381" t="str">
        <f t="shared" si="1"/>
        <v>x</v>
      </c>
      <c r="N13" s="381" t="str">
        <f t="shared" si="1"/>
        <v>x</v>
      </c>
      <c r="O13" s="381" t="str">
        <f t="shared" si="1"/>
        <v/>
      </c>
    </row>
    <row r="14" spans="1:20" ht="20.5" customHeight="1">
      <c r="A14" s="524"/>
      <c r="B14" s="370" t="s">
        <v>1491</v>
      </c>
      <c r="C14" s="359">
        <f t="shared" si="0"/>
        <v>3</v>
      </c>
      <c r="F14" s="358">
        <v>3</v>
      </c>
      <c r="J14" s="380" t="s">
        <v>1491</v>
      </c>
      <c r="K14" s="381" t="str">
        <f t="shared" si="2"/>
        <v>x</v>
      </c>
      <c r="L14" s="381" t="str">
        <f t="shared" si="1"/>
        <v>x</v>
      </c>
      <c r="M14" s="381" t="str">
        <f t="shared" si="1"/>
        <v>x</v>
      </c>
      <c r="N14" s="381" t="str">
        <f t="shared" si="1"/>
        <v/>
      </c>
      <c r="O14" s="381" t="str">
        <f t="shared" si="1"/>
        <v/>
      </c>
    </row>
    <row r="15" spans="1:20" ht="20.5" customHeight="1">
      <c r="A15" s="371" t="s">
        <v>1497</v>
      </c>
      <c r="B15" s="372" t="s">
        <v>1032</v>
      </c>
      <c r="C15" s="359">
        <f t="shared" si="0"/>
        <v>3</v>
      </c>
      <c r="F15" s="358">
        <v>3</v>
      </c>
      <c r="J15" s="380" t="s">
        <v>1032</v>
      </c>
      <c r="K15" s="381" t="str">
        <f t="shared" si="2"/>
        <v>x</v>
      </c>
      <c r="L15" s="381" t="str">
        <f t="shared" si="1"/>
        <v>x</v>
      </c>
      <c r="M15" s="381" t="str">
        <f t="shared" si="1"/>
        <v>x</v>
      </c>
      <c r="N15" s="381" t="str">
        <f t="shared" si="1"/>
        <v/>
      </c>
      <c r="O15" s="381" t="str">
        <f t="shared" si="1"/>
        <v/>
      </c>
    </row>
    <row r="16" spans="1:20" ht="20.5" customHeight="1">
      <c r="A16" s="373" t="s">
        <v>1496</v>
      </c>
      <c r="B16" s="374" t="s">
        <v>1024</v>
      </c>
      <c r="C16" s="359">
        <f t="shared" si="0"/>
        <v>3</v>
      </c>
      <c r="F16" s="358">
        <v>3</v>
      </c>
      <c r="J16" s="380" t="s">
        <v>1024</v>
      </c>
      <c r="K16" s="381" t="str">
        <f t="shared" si="2"/>
        <v>x</v>
      </c>
      <c r="L16" s="381" t="str">
        <f t="shared" si="1"/>
        <v>x</v>
      </c>
      <c r="M16" s="381" t="str">
        <f t="shared" si="1"/>
        <v>x</v>
      </c>
      <c r="N16" s="381" t="str">
        <f t="shared" si="1"/>
        <v/>
      </c>
      <c r="O16" s="381" t="str">
        <f t="shared" si="1"/>
        <v/>
      </c>
    </row>
    <row r="17" spans="1:15" ht="20.5" customHeight="1">
      <c r="A17" s="525" t="s">
        <v>1495</v>
      </c>
      <c r="B17" s="375" t="s">
        <v>1022</v>
      </c>
      <c r="C17" s="359">
        <f t="shared" si="0"/>
        <v>5</v>
      </c>
      <c r="F17" s="358">
        <v>5</v>
      </c>
      <c r="J17" s="380" t="s">
        <v>1022</v>
      </c>
      <c r="K17" s="381" t="str">
        <f t="shared" si="2"/>
        <v>x</v>
      </c>
      <c r="L17" s="381" t="str">
        <f t="shared" si="1"/>
        <v>x</v>
      </c>
      <c r="M17" s="381" t="str">
        <f t="shared" si="1"/>
        <v>x</v>
      </c>
      <c r="N17" s="381" t="str">
        <f t="shared" si="1"/>
        <v>x</v>
      </c>
      <c r="O17" s="381" t="str">
        <f t="shared" si="1"/>
        <v>x</v>
      </c>
    </row>
    <row r="18" spans="1:15" ht="20.5" customHeight="1">
      <c r="A18" s="525"/>
      <c r="B18" s="375" t="s">
        <v>1023</v>
      </c>
      <c r="C18" s="359">
        <f t="shared" si="0"/>
        <v>3</v>
      </c>
      <c r="F18" s="358">
        <v>3</v>
      </c>
      <c r="J18" s="380" t="s">
        <v>1023</v>
      </c>
      <c r="K18" s="381" t="str">
        <f t="shared" si="2"/>
        <v>x</v>
      </c>
      <c r="L18" s="381" t="str">
        <f t="shared" si="1"/>
        <v>x</v>
      </c>
      <c r="M18" s="381" t="str">
        <f t="shared" si="1"/>
        <v>x</v>
      </c>
      <c r="N18" s="381" t="str">
        <f t="shared" si="1"/>
        <v/>
      </c>
      <c r="O18" s="381" t="str">
        <f t="shared" si="1"/>
        <v/>
      </c>
    </row>
    <row r="19" spans="1:15" ht="20.5" customHeight="1">
      <c r="A19" s="525"/>
      <c r="B19" s="375" t="s">
        <v>1029</v>
      </c>
      <c r="C19" s="359">
        <f t="shared" si="0"/>
        <v>2</v>
      </c>
      <c r="F19" s="358">
        <v>2</v>
      </c>
      <c r="J19" s="380" t="s">
        <v>1029</v>
      </c>
      <c r="K19" s="381" t="str">
        <f t="shared" si="2"/>
        <v>x</v>
      </c>
      <c r="L19" s="381" t="str">
        <f t="shared" si="1"/>
        <v>x</v>
      </c>
      <c r="M19" s="381" t="str">
        <f t="shared" si="1"/>
        <v/>
      </c>
      <c r="N19" s="381" t="str">
        <f t="shared" si="1"/>
        <v/>
      </c>
      <c r="O19" s="381" t="str">
        <f t="shared" si="1"/>
        <v/>
      </c>
    </row>
    <row r="20" spans="1:15" ht="20.5" customHeight="1">
      <c r="A20" s="516" t="s">
        <v>1494</v>
      </c>
      <c r="B20" s="376" t="s">
        <v>1493</v>
      </c>
      <c r="C20" s="359">
        <f t="shared" si="0"/>
        <v>4</v>
      </c>
      <c r="F20" s="358">
        <v>4</v>
      </c>
      <c r="J20" s="380" t="s">
        <v>1493</v>
      </c>
      <c r="K20" s="381" t="str">
        <f t="shared" si="2"/>
        <v>x</v>
      </c>
      <c r="L20" s="381" t="str">
        <f t="shared" si="1"/>
        <v>x</v>
      </c>
      <c r="M20" s="381" t="str">
        <f t="shared" si="1"/>
        <v>x</v>
      </c>
      <c r="N20" s="381" t="str">
        <f t="shared" si="1"/>
        <v>x</v>
      </c>
      <c r="O20" s="381" t="str">
        <f t="shared" si="1"/>
        <v/>
      </c>
    </row>
    <row r="21" spans="1:15" ht="20.5" customHeight="1">
      <c r="A21" s="516"/>
      <c r="B21" s="376" t="s">
        <v>1492</v>
      </c>
      <c r="C21" s="359">
        <f t="shared" si="0"/>
        <v>3</v>
      </c>
      <c r="F21" s="358">
        <v>3</v>
      </c>
      <c r="J21" s="380" t="s">
        <v>1492</v>
      </c>
      <c r="K21" s="381" t="str">
        <f t="shared" si="2"/>
        <v>x</v>
      </c>
      <c r="L21" s="381" t="str">
        <f t="shared" si="2"/>
        <v>x</v>
      </c>
      <c r="M21" s="381" t="str">
        <f t="shared" si="2"/>
        <v>x</v>
      </c>
      <c r="N21" s="381" t="str">
        <f t="shared" si="2"/>
        <v/>
      </c>
      <c r="O21" s="381" t="str">
        <f t="shared" si="2"/>
        <v/>
      </c>
    </row>
    <row r="22" spans="1:15" ht="20.5" customHeight="1">
      <c r="A22" s="517" t="s">
        <v>1489</v>
      </c>
      <c r="B22" s="377" t="s">
        <v>1028</v>
      </c>
      <c r="C22" s="359">
        <f t="shared" si="0"/>
        <v>5</v>
      </c>
      <c r="F22" s="358">
        <v>5</v>
      </c>
      <c r="J22" s="380" t="s">
        <v>1028</v>
      </c>
      <c r="K22" s="381" t="str">
        <f t="shared" si="2"/>
        <v>x</v>
      </c>
      <c r="L22" s="381" t="str">
        <f t="shared" si="2"/>
        <v>x</v>
      </c>
      <c r="M22" s="381" t="str">
        <f t="shared" si="2"/>
        <v>x</v>
      </c>
      <c r="N22" s="381" t="str">
        <f t="shared" si="2"/>
        <v>x</v>
      </c>
      <c r="O22" s="381" t="str">
        <f t="shared" si="2"/>
        <v>x</v>
      </c>
    </row>
    <row r="23" spans="1:15" ht="20.5" customHeight="1">
      <c r="A23" s="517"/>
      <c r="B23" s="377" t="s">
        <v>1025</v>
      </c>
      <c r="C23" s="359">
        <f t="shared" si="0"/>
        <v>4</v>
      </c>
      <c r="F23" s="358">
        <v>4</v>
      </c>
      <c r="J23" s="380" t="s">
        <v>1025</v>
      </c>
      <c r="K23" s="381" t="str">
        <f t="shared" si="2"/>
        <v>x</v>
      </c>
      <c r="L23" s="381" t="str">
        <f t="shared" si="2"/>
        <v>x</v>
      </c>
      <c r="M23" s="381" t="str">
        <f t="shared" si="2"/>
        <v>x</v>
      </c>
      <c r="N23" s="381" t="str">
        <f t="shared" si="2"/>
        <v>x</v>
      </c>
      <c r="O23" s="381" t="str">
        <f t="shared" si="2"/>
        <v/>
      </c>
    </row>
    <row r="24" spans="1:15" ht="20.5" customHeight="1">
      <c r="A24" s="517"/>
      <c r="B24" s="377" t="s">
        <v>1026</v>
      </c>
      <c r="C24" s="359">
        <f t="shared" si="0"/>
        <v>3</v>
      </c>
      <c r="F24" s="358">
        <v>3</v>
      </c>
      <c r="J24" s="380" t="s">
        <v>1026</v>
      </c>
      <c r="K24" s="381" t="str">
        <f t="shared" si="2"/>
        <v>x</v>
      </c>
      <c r="L24" s="381" t="str">
        <f t="shared" si="2"/>
        <v>x</v>
      </c>
      <c r="M24" s="381" t="str">
        <f t="shared" si="2"/>
        <v>x</v>
      </c>
      <c r="N24" s="381" t="str">
        <f t="shared" si="2"/>
        <v/>
      </c>
      <c r="O24" s="381" t="str">
        <f t="shared" si="2"/>
        <v/>
      </c>
    </row>
  </sheetData>
  <mergeCells count="10">
    <mergeCell ref="J2:O2"/>
    <mergeCell ref="J3:O3"/>
    <mergeCell ref="A9:A10"/>
    <mergeCell ref="A12:A14"/>
    <mergeCell ref="A17:A19"/>
    <mergeCell ref="A20:A21"/>
    <mergeCell ref="A22:A24"/>
    <mergeCell ref="A2:C2"/>
    <mergeCell ref="A3:C3"/>
    <mergeCell ref="A5:A8"/>
  </mergeCells>
  <conditionalFormatting sqref="K5:O24">
    <cfRule type="cellIs" dxfId="11" priority="2" operator="equal">
      <formula>"x"</formula>
    </cfRule>
  </conditionalFormatting>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3887A-C2C1-47A9-81E6-661E953808CD}">
  <dimension ref="A2:V27"/>
  <sheetViews>
    <sheetView workbookViewId="0">
      <selection activeCell="A10" sqref="A10:T27"/>
    </sheetView>
  </sheetViews>
  <sheetFormatPr defaultColWidth="8.7265625" defaultRowHeight="21"/>
  <cols>
    <col min="1" max="1" width="45.08984375" style="152" customWidth="1"/>
    <col min="2" max="3" width="18.36328125" style="152" customWidth="1"/>
    <col min="4" max="20" width="6.81640625" style="150" customWidth="1"/>
    <col min="21" max="21" width="6.81640625" style="150" hidden="1" customWidth="1"/>
    <col min="22" max="22" width="5.81640625" style="150" customWidth="1"/>
    <col min="23" max="16384" width="8.7265625" style="8"/>
  </cols>
  <sheetData>
    <row r="2" spans="1:22">
      <c r="A2" s="203" t="str">
        <f>'P1PA-SS'!A127</f>
        <v>Sampling Factors</v>
      </c>
      <c r="B2" s="243"/>
      <c r="C2" s="243"/>
    </row>
    <row r="3" spans="1:22">
      <c r="A3" s="205" t="str">
        <f>'P1PA-SS'!B128</f>
        <v>Type of Work</v>
      </c>
      <c r="B3" s="243"/>
      <c r="C3" s="243"/>
    </row>
    <row r="4" spans="1:22">
      <c r="A4" s="204" t="str">
        <f>'P1PA-SS'!B130</f>
        <v>All development projects</v>
      </c>
      <c r="B4" s="243"/>
      <c r="C4" s="243"/>
    </row>
    <row r="5" spans="1:22" ht="18.5">
      <c r="A5" s="243"/>
      <c r="B5" s="243"/>
      <c r="C5" s="243"/>
      <c r="D5" s="244"/>
      <c r="E5" s="244"/>
      <c r="F5" s="244"/>
      <c r="G5" s="244"/>
      <c r="H5" s="244"/>
      <c r="I5" s="244"/>
      <c r="J5" s="244"/>
      <c r="K5" s="244"/>
      <c r="L5" s="244"/>
      <c r="M5" s="244"/>
      <c r="N5" s="244"/>
      <c r="O5" s="244"/>
      <c r="P5" s="244"/>
      <c r="Q5" s="244"/>
      <c r="R5" s="244"/>
      <c r="S5" s="244"/>
      <c r="T5" s="244"/>
      <c r="U5" s="244"/>
    </row>
    <row r="6" spans="1:22" ht="18.5">
      <c r="A6" s="243"/>
      <c r="B6" s="243"/>
      <c r="C6" s="243"/>
      <c r="D6" s="244"/>
      <c r="E6" s="244"/>
      <c r="F6" s="244"/>
      <c r="G6" s="244"/>
      <c r="H6" s="244"/>
      <c r="I6" s="244"/>
      <c r="J6" s="244"/>
      <c r="K6" s="244"/>
      <c r="L6" s="244"/>
      <c r="M6" s="244"/>
      <c r="N6" s="244"/>
      <c r="O6" s="244"/>
      <c r="P6" s="244"/>
      <c r="Q6" s="244"/>
      <c r="R6" s="244"/>
      <c r="S6" s="244"/>
      <c r="T6" s="244"/>
      <c r="U6" s="244"/>
    </row>
    <row r="7" spans="1:22" ht="18.5">
      <c r="A7" s="243"/>
      <c r="B7" s="243"/>
      <c r="C7" s="243"/>
      <c r="D7" s="244"/>
      <c r="E7" s="244"/>
      <c r="F7" s="244"/>
      <c r="G7" s="244"/>
      <c r="H7" s="244"/>
      <c r="I7" s="244"/>
      <c r="J7" s="244"/>
      <c r="K7" s="244"/>
      <c r="L7" s="244"/>
      <c r="M7" s="244"/>
      <c r="N7" s="244"/>
      <c r="O7" s="244"/>
      <c r="P7" s="244"/>
      <c r="Q7" s="244"/>
      <c r="R7" s="244"/>
      <c r="S7" s="244"/>
      <c r="T7" s="244"/>
      <c r="U7" s="244"/>
    </row>
    <row r="8" spans="1:22" ht="18.5">
      <c r="A8" s="243"/>
      <c r="B8" s="243"/>
      <c r="C8" s="243"/>
      <c r="D8" s="244"/>
      <c r="E8" s="244"/>
      <c r="F8" s="244"/>
      <c r="G8" s="244"/>
      <c r="H8" s="244"/>
      <c r="I8" s="244"/>
      <c r="J8" s="244"/>
      <c r="K8" s="244"/>
      <c r="L8" s="244"/>
      <c r="M8" s="244"/>
      <c r="N8" s="244"/>
      <c r="O8" s="244"/>
      <c r="P8" s="244"/>
      <c r="Q8" s="244"/>
      <c r="R8" s="244"/>
      <c r="S8" s="244"/>
      <c r="T8" s="244"/>
      <c r="U8" s="244"/>
    </row>
    <row r="9" spans="1:22" ht="18.5">
      <c r="A9" s="243"/>
      <c r="B9" s="243"/>
      <c r="C9" s="243"/>
      <c r="D9" s="244"/>
      <c r="E9" s="244"/>
      <c r="F9" s="244"/>
      <c r="G9" s="244"/>
      <c r="H9" s="244"/>
      <c r="I9" s="244"/>
      <c r="J9" s="244"/>
      <c r="K9" s="244"/>
      <c r="L9" s="244"/>
      <c r="M9" s="244"/>
      <c r="N9" s="244"/>
      <c r="O9" s="244"/>
      <c r="P9" s="244"/>
      <c r="Q9" s="244"/>
      <c r="R9" s="244"/>
      <c r="S9" s="244"/>
      <c r="T9" s="244"/>
      <c r="U9" s="244"/>
    </row>
    <row r="10" spans="1:22" s="246" customFormat="1" ht="42">
      <c r="A10" s="203" t="str">
        <f>'Project&amp;Support'!A1</f>
        <v>Project and support function information and sample</v>
      </c>
      <c r="B10" s="203" t="str">
        <f>'Project&amp;Support'!H2</f>
        <v>Sub groups</v>
      </c>
      <c r="C10" s="203" t="str">
        <f>'Project&amp;Support'!I2</f>
        <v>Project/
Support</v>
      </c>
      <c r="D10" s="206" t="str">
        <f>'Project&amp;Support'!J2</f>
        <v>PI</v>
      </c>
      <c r="E10" s="206" t="str">
        <f>'Project&amp;Support'!K2</f>
        <v>TS</v>
      </c>
      <c r="F10" s="206" t="str">
        <f>'Project&amp;Support'!L2</f>
        <v>PQA</v>
      </c>
      <c r="G10" s="206" t="str">
        <f>'Project&amp;Support'!M2</f>
        <v>PR</v>
      </c>
      <c r="H10" s="206" t="str">
        <f>'Project&amp;Support'!N2</f>
        <v>RDM</v>
      </c>
      <c r="I10" s="206" t="str">
        <f>'Project&amp;Support'!O2</f>
        <v>VV</v>
      </c>
      <c r="J10" s="206" t="str">
        <f>'Project&amp;Support'!P2</f>
        <v>MPM</v>
      </c>
      <c r="K10" s="206" t="str">
        <f>'Project&amp;Support'!Q2</f>
        <v>PAD</v>
      </c>
      <c r="L10" s="206" t="str">
        <f>'Project&amp;Support'!R2</f>
        <v>PCM</v>
      </c>
      <c r="M10" s="206" t="str">
        <f>'Project&amp;Support'!S2</f>
        <v>RSK</v>
      </c>
      <c r="N10" s="206" t="str">
        <f>'Project&amp;Support'!T2</f>
        <v>OT</v>
      </c>
      <c r="O10" s="206" t="str">
        <f>'Project&amp;Support'!U2</f>
        <v>EST</v>
      </c>
      <c r="P10" s="206" t="str">
        <f>'Project&amp;Support'!V2</f>
        <v>MC</v>
      </c>
      <c r="Q10" s="206" t="str">
        <f>'Project&amp;Support'!W2</f>
        <v>PLAN</v>
      </c>
      <c r="R10" s="206" t="str">
        <f>'Project&amp;Support'!X2</f>
        <v>CAR</v>
      </c>
      <c r="S10" s="206" t="str">
        <f>'Project&amp;Support'!Y2</f>
        <v>CM</v>
      </c>
      <c r="T10" s="206" t="str">
        <f>'Project&amp;Support'!Z2</f>
        <v>DAR</v>
      </c>
      <c r="U10" s="206" t="str">
        <f>'Project&amp;Support'!AA2</f>
        <v>SAM</v>
      </c>
      <c r="V10" s="245"/>
    </row>
    <row r="11" spans="1:22" s="246" customFormat="1">
      <c r="A11" s="153" t="str">
        <f>'Project&amp;Support'!B3</f>
        <v>P1-Falcon9</v>
      </c>
      <c r="B11" s="153" t="str">
        <f>'Project&amp;Support'!H3</f>
        <v>All Projects</v>
      </c>
      <c r="C11" s="153" t="str">
        <f>'Project&amp;Support'!I3</f>
        <v>Project</v>
      </c>
      <c r="D11" s="247" t="str">
        <f>IF('Project&amp;Support'!J3&lt;&gt;"",'Project&amp;Support'!J3,"")</f>
        <v>S</v>
      </c>
      <c r="E11" s="247" t="str">
        <f>IF('Project&amp;Support'!K3&lt;&gt;"",'Project&amp;Support'!K3,"")</f>
        <v>S</v>
      </c>
      <c r="F11" s="247" t="str">
        <f>IF('Project&amp;Support'!L3&lt;&gt;"",'Project&amp;Support'!L3,"")</f>
        <v/>
      </c>
      <c r="G11" s="247" t="str">
        <f>IF('Project&amp;Support'!M3&lt;&gt;"",'Project&amp;Support'!M3,"")</f>
        <v/>
      </c>
      <c r="H11" s="247" t="str">
        <f>IF('Project&amp;Support'!N3&lt;&gt;"",'Project&amp;Support'!N3,"")</f>
        <v/>
      </c>
      <c r="I11" s="247" t="str">
        <f>IF('Project&amp;Support'!O3&lt;&gt;"",'Project&amp;Support'!O3,"")</f>
        <v/>
      </c>
      <c r="J11" s="247" t="str">
        <f>IF('Project&amp;Support'!P3&lt;&gt;"",'Project&amp;Support'!P3,"")</f>
        <v/>
      </c>
      <c r="K11" s="247" t="str">
        <f>IF('Project&amp;Support'!Q3&lt;&gt;"",'Project&amp;Support'!Q3,"")</f>
        <v/>
      </c>
      <c r="L11" s="247" t="str">
        <f>IF('Project&amp;Support'!R3&lt;&gt;"",'Project&amp;Support'!R3,"")</f>
        <v/>
      </c>
      <c r="M11" s="247" t="str">
        <f>IF('Project&amp;Support'!S3&lt;&gt;"",'Project&amp;Support'!S3,"")</f>
        <v/>
      </c>
      <c r="N11" s="247" t="str">
        <f>IF('Project&amp;Support'!T3&lt;&gt;"",'Project&amp;Support'!T3,"")</f>
        <v/>
      </c>
      <c r="O11" s="247" t="str">
        <f>IF('Project&amp;Support'!U3&lt;&gt;"",'Project&amp;Support'!U3,"")</f>
        <v/>
      </c>
      <c r="P11" s="247" t="str">
        <f>IF('Project&amp;Support'!V3&lt;&gt;"",'Project&amp;Support'!V3,"")</f>
        <v/>
      </c>
      <c r="Q11" s="247" t="str">
        <f>IF('Project&amp;Support'!W3&lt;&gt;"",'Project&amp;Support'!W3,"")</f>
        <v/>
      </c>
      <c r="R11" s="247" t="str">
        <f>IF('Project&amp;Support'!X3&lt;&gt;"",'Project&amp;Support'!X3,"")</f>
        <v/>
      </c>
      <c r="S11" s="247" t="str">
        <f>IF('Project&amp;Support'!Y3&lt;&gt;"",'Project&amp;Support'!Y3,"")</f>
        <v/>
      </c>
      <c r="T11" s="247" t="str">
        <f>IF('Project&amp;Support'!Z3&lt;&gt;"",'Project&amp;Support'!Z3,"")</f>
        <v/>
      </c>
      <c r="U11" s="247" t="str">
        <f>IF('Project&amp;Support'!AA3&lt;&gt;"",'Project&amp;Support'!AA3,"")</f>
        <v/>
      </c>
      <c r="V11" s="245"/>
    </row>
    <row r="12" spans="1:22" s="246" customFormat="1">
      <c r="A12" s="153" t="str">
        <f>'Project&amp;Support'!B4</f>
        <v>P2-Raptor</v>
      </c>
      <c r="B12" s="153" t="str">
        <f>'Project&amp;Support'!H4</f>
        <v>All Projects</v>
      </c>
      <c r="C12" s="153" t="str">
        <f>'Project&amp;Support'!I4</f>
        <v>Project</v>
      </c>
      <c r="D12" s="247" t="str">
        <f>IF('Project&amp;Support'!J4&lt;&gt;"",'Project&amp;Support'!J4,"")</f>
        <v/>
      </c>
      <c r="E12" s="247" t="str">
        <f>IF('Project&amp;Support'!K4&lt;&gt;"",'Project&amp;Support'!K4,"")</f>
        <v/>
      </c>
      <c r="F12" s="247" t="str">
        <f>IF('Project&amp;Support'!L4&lt;&gt;"",'Project&amp;Support'!L4,"")</f>
        <v/>
      </c>
      <c r="G12" s="247" t="str">
        <f>IF('Project&amp;Support'!M4&lt;&gt;"",'Project&amp;Support'!M4,"")</f>
        <v>S</v>
      </c>
      <c r="H12" s="247" t="str">
        <f>IF('Project&amp;Support'!N4&lt;&gt;"",'Project&amp;Support'!N4,"")</f>
        <v>S</v>
      </c>
      <c r="I12" s="247" t="str">
        <f>IF('Project&amp;Support'!O4&lt;&gt;"",'Project&amp;Support'!O4,"")</f>
        <v>S</v>
      </c>
      <c r="J12" s="247" t="str">
        <f>IF('Project&amp;Support'!P4&lt;&gt;"",'Project&amp;Support'!P4,"")</f>
        <v/>
      </c>
      <c r="K12" s="247" t="str">
        <f>IF('Project&amp;Support'!Q4&lt;&gt;"",'Project&amp;Support'!Q4,"")</f>
        <v/>
      </c>
      <c r="L12" s="247" t="str">
        <f>IF('Project&amp;Support'!R4&lt;&gt;"",'Project&amp;Support'!R4,"")</f>
        <v/>
      </c>
      <c r="M12" s="247" t="str">
        <f>IF('Project&amp;Support'!S4&lt;&gt;"",'Project&amp;Support'!S4,"")</f>
        <v/>
      </c>
      <c r="N12" s="247" t="str">
        <f>IF('Project&amp;Support'!T4&lt;&gt;"",'Project&amp;Support'!T4,"")</f>
        <v/>
      </c>
      <c r="O12" s="247" t="str">
        <f>IF('Project&amp;Support'!U4&lt;&gt;"",'Project&amp;Support'!U4,"")</f>
        <v/>
      </c>
      <c r="P12" s="247" t="str">
        <f>IF('Project&amp;Support'!V4&lt;&gt;"",'Project&amp;Support'!V4,"")</f>
        <v/>
      </c>
      <c r="Q12" s="247" t="str">
        <f>IF('Project&amp;Support'!W4&lt;&gt;"",'Project&amp;Support'!W4,"")</f>
        <v/>
      </c>
      <c r="R12" s="247" t="str">
        <f>IF('Project&amp;Support'!X4&lt;&gt;"",'Project&amp;Support'!X4,"")</f>
        <v/>
      </c>
      <c r="S12" s="247" t="str">
        <f>IF('Project&amp;Support'!Y4&lt;&gt;"",'Project&amp;Support'!Y4,"")</f>
        <v/>
      </c>
      <c r="T12" s="247" t="str">
        <f>IF('Project&amp;Support'!Z4&lt;&gt;"",'Project&amp;Support'!Z4,"")</f>
        <v/>
      </c>
      <c r="U12" s="247" t="str">
        <f>IF('Project&amp;Support'!AA4&lt;&gt;"",'Project&amp;Support'!AA4,"")</f>
        <v/>
      </c>
      <c r="V12" s="245"/>
    </row>
    <row r="13" spans="1:22" s="246" customFormat="1">
      <c r="A13" s="153" t="str">
        <f>'Project&amp;Support'!B5</f>
        <v>P3-Starship</v>
      </c>
      <c r="B13" s="153" t="str">
        <f>'Project&amp;Support'!H5</f>
        <v>All Projects</v>
      </c>
      <c r="C13" s="153" t="str">
        <f>'Project&amp;Support'!I5</f>
        <v>Project</v>
      </c>
      <c r="D13" s="247" t="str">
        <f>IF('Project&amp;Support'!J5&lt;&gt;"",'Project&amp;Support'!J5,"")</f>
        <v/>
      </c>
      <c r="E13" s="247" t="str">
        <f>IF('Project&amp;Support'!K5&lt;&gt;"",'Project&amp;Support'!K5,"")</f>
        <v/>
      </c>
      <c r="F13" s="247" t="str">
        <f>IF('Project&amp;Support'!L5&lt;&gt;"",'Project&amp;Support'!L5,"")</f>
        <v/>
      </c>
      <c r="G13" s="247" t="str">
        <f>IF('Project&amp;Support'!M5&lt;&gt;"",'Project&amp;Support'!M5,"")</f>
        <v/>
      </c>
      <c r="H13" s="247" t="str">
        <f>IF('Project&amp;Support'!N5&lt;&gt;"",'Project&amp;Support'!N5,"")</f>
        <v/>
      </c>
      <c r="I13" s="247" t="str">
        <f>IF('Project&amp;Support'!O5&lt;&gt;"",'Project&amp;Support'!O5,"")</f>
        <v/>
      </c>
      <c r="J13" s="247" t="str">
        <f>IF('Project&amp;Support'!P5&lt;&gt;"",'Project&amp;Support'!P5,"")</f>
        <v/>
      </c>
      <c r="K13" s="247" t="str">
        <f>IF('Project&amp;Support'!Q5&lt;&gt;"",'Project&amp;Support'!Q5,"")</f>
        <v/>
      </c>
      <c r="L13" s="247" t="str">
        <f>IF('Project&amp;Support'!R5&lt;&gt;"",'Project&amp;Support'!R5,"")</f>
        <v/>
      </c>
      <c r="M13" s="247" t="str">
        <f>IF('Project&amp;Support'!S5&lt;&gt;"",'Project&amp;Support'!S5,"")</f>
        <v/>
      </c>
      <c r="N13" s="247" t="str">
        <f>IF('Project&amp;Support'!T5&lt;&gt;"",'Project&amp;Support'!T5,"")</f>
        <v/>
      </c>
      <c r="O13" s="247" t="str">
        <f>IF('Project&amp;Support'!U5&lt;&gt;"",'Project&amp;Support'!U5,"")</f>
        <v>S</v>
      </c>
      <c r="P13" s="247" t="str">
        <f>IF('Project&amp;Support'!V5&lt;&gt;"",'Project&amp;Support'!V5,"")</f>
        <v>S</v>
      </c>
      <c r="Q13" s="247" t="str">
        <f>IF('Project&amp;Support'!W5&lt;&gt;"",'Project&amp;Support'!W5,"")</f>
        <v>S</v>
      </c>
      <c r="R13" s="247" t="str">
        <f>IF('Project&amp;Support'!X5&lt;&gt;"",'Project&amp;Support'!X5,"")</f>
        <v/>
      </c>
      <c r="S13" s="247" t="str">
        <f>IF('Project&amp;Support'!Y5&lt;&gt;"",'Project&amp;Support'!Y5,"")</f>
        <v/>
      </c>
      <c r="T13" s="247" t="str">
        <f>IF('Project&amp;Support'!Z5&lt;&gt;"",'Project&amp;Support'!Z5,"")</f>
        <v/>
      </c>
      <c r="U13" s="247" t="str">
        <f>IF('Project&amp;Support'!AA5&lt;&gt;"",'Project&amp;Support'!AA5,"")</f>
        <v/>
      </c>
      <c r="V13" s="245"/>
    </row>
    <row r="14" spans="1:22" s="246" customFormat="1">
      <c r="A14" s="153" t="str">
        <f>'Project&amp;Support'!B6</f>
        <v>P4-SupperHeavy</v>
      </c>
      <c r="B14" s="153" t="str">
        <f>'Project&amp;Support'!H6</f>
        <v>All Projects</v>
      </c>
      <c r="C14" s="153" t="str">
        <f>'Project&amp;Support'!I6</f>
        <v>Project</v>
      </c>
      <c r="D14" s="247" t="str">
        <f>IF('Project&amp;Support'!J6&lt;&gt;"",'Project&amp;Support'!J6,"")</f>
        <v/>
      </c>
      <c r="E14" s="247" t="str">
        <f>IF('Project&amp;Support'!K6&lt;&gt;"",'Project&amp;Support'!K6,"")</f>
        <v/>
      </c>
      <c r="F14" s="247" t="str">
        <f>IF('Project&amp;Support'!L6&lt;&gt;"",'Project&amp;Support'!L6,"")</f>
        <v/>
      </c>
      <c r="G14" s="247" t="str">
        <f>IF('Project&amp;Support'!M6&lt;&gt;"",'Project&amp;Support'!M6,"")</f>
        <v/>
      </c>
      <c r="H14" s="247" t="str">
        <f>IF('Project&amp;Support'!N6&lt;&gt;"",'Project&amp;Support'!N6,"")</f>
        <v/>
      </c>
      <c r="I14" s="247" t="str">
        <f>IF('Project&amp;Support'!O6&lt;&gt;"",'Project&amp;Support'!O6,"")</f>
        <v/>
      </c>
      <c r="J14" s="247" t="str">
        <f>IF('Project&amp;Support'!P6&lt;&gt;"",'Project&amp;Support'!P6,"")</f>
        <v/>
      </c>
      <c r="K14" s="247" t="str">
        <f>IF('Project&amp;Support'!Q6&lt;&gt;"",'Project&amp;Support'!Q6,"")</f>
        <v/>
      </c>
      <c r="L14" s="247" t="str">
        <f>IF('Project&amp;Support'!R6&lt;&gt;"",'Project&amp;Support'!R6,"")</f>
        <v/>
      </c>
      <c r="M14" s="247" t="str">
        <f>IF('Project&amp;Support'!S6&lt;&gt;"",'Project&amp;Support'!S6,"")</f>
        <v>S</v>
      </c>
      <c r="N14" s="247" t="str">
        <f>IF('Project&amp;Support'!T6&lt;&gt;"",'Project&amp;Support'!T6,"")</f>
        <v/>
      </c>
      <c r="O14" s="247" t="str">
        <f>IF('Project&amp;Support'!U6&lt;&gt;"",'Project&amp;Support'!U6,"")</f>
        <v/>
      </c>
      <c r="P14" s="247" t="str">
        <f>IF('Project&amp;Support'!V6&lt;&gt;"",'Project&amp;Support'!V6,"")</f>
        <v/>
      </c>
      <c r="Q14" s="247" t="str">
        <f>IF('Project&amp;Support'!W6&lt;&gt;"",'Project&amp;Support'!W6,"")</f>
        <v/>
      </c>
      <c r="R14" s="247" t="str">
        <f>IF('Project&amp;Support'!X6&lt;&gt;"",'Project&amp;Support'!X6,"")</f>
        <v/>
      </c>
      <c r="S14" s="247" t="str">
        <f>IF('Project&amp;Support'!Y6&lt;&gt;"",'Project&amp;Support'!Y6,"")</f>
        <v/>
      </c>
      <c r="T14" s="247" t="str">
        <f>IF('Project&amp;Support'!Z6&lt;&gt;"",'Project&amp;Support'!Z6,"")</f>
        <v/>
      </c>
      <c r="U14" s="247" t="str">
        <f>IF('Project&amp;Support'!AA6&lt;&gt;"",'Project&amp;Support'!AA6,"")</f>
        <v/>
      </c>
      <c r="V14" s="245"/>
    </row>
    <row r="15" spans="1:22" s="246" customFormat="1">
      <c r="A15" s="153" t="str">
        <f>'Project&amp;Support'!B7</f>
        <v>S1-CM</v>
      </c>
      <c r="B15" s="153" t="str">
        <f>'Project&amp;Support'!H7</f>
        <v>All Projects</v>
      </c>
      <c r="C15" s="153" t="str">
        <f>'Project&amp;Support'!I7</f>
        <v>Support</v>
      </c>
      <c r="D15" s="247" t="str">
        <f>IF('Project&amp;Support'!J7&lt;&gt;"",'Project&amp;Support'!J7,"")</f>
        <v/>
      </c>
      <c r="E15" s="247" t="str">
        <f>IF('Project&amp;Support'!K7&lt;&gt;"",'Project&amp;Support'!K7,"")</f>
        <v/>
      </c>
      <c r="F15" s="247" t="str">
        <f>IF('Project&amp;Support'!L7&lt;&gt;"",'Project&amp;Support'!L7,"")</f>
        <v/>
      </c>
      <c r="G15" s="247" t="str">
        <f>IF('Project&amp;Support'!M7&lt;&gt;"",'Project&amp;Support'!M7,"")</f>
        <v/>
      </c>
      <c r="H15" s="247" t="str">
        <f>IF('Project&amp;Support'!N7&lt;&gt;"",'Project&amp;Support'!N7,"")</f>
        <v/>
      </c>
      <c r="I15" s="247" t="str">
        <f>IF('Project&amp;Support'!O7&lt;&gt;"",'Project&amp;Support'!O7,"")</f>
        <v/>
      </c>
      <c r="J15" s="247" t="str">
        <f>IF('Project&amp;Support'!P7&lt;&gt;"",'Project&amp;Support'!P7,"")</f>
        <v/>
      </c>
      <c r="K15" s="247" t="str">
        <f>IF('Project&amp;Support'!Q7&lt;&gt;"",'Project&amp;Support'!Q7,"")</f>
        <v/>
      </c>
      <c r="L15" s="247" t="str">
        <f>IF('Project&amp;Support'!R7&lt;&gt;"",'Project&amp;Support'!R7,"")</f>
        <v/>
      </c>
      <c r="M15" s="247" t="str">
        <f>IF('Project&amp;Support'!S7&lt;&gt;"",'Project&amp;Support'!S7,"")</f>
        <v/>
      </c>
      <c r="N15" s="247" t="str">
        <f>IF('Project&amp;Support'!T7&lt;&gt;"",'Project&amp;Support'!T7,"")</f>
        <v/>
      </c>
      <c r="O15" s="247" t="str">
        <f>IF('Project&amp;Support'!U7&lt;&gt;"",'Project&amp;Support'!U7,"")</f>
        <v/>
      </c>
      <c r="P15" s="247" t="str">
        <f>IF('Project&amp;Support'!V7&lt;&gt;"",'Project&amp;Support'!V7,"")</f>
        <v/>
      </c>
      <c r="Q15" s="247" t="str">
        <f>IF('Project&amp;Support'!W7&lt;&gt;"",'Project&amp;Support'!W7,"")</f>
        <v/>
      </c>
      <c r="R15" s="247" t="str">
        <f>IF('Project&amp;Support'!X7&lt;&gt;"",'Project&amp;Support'!X7,"")</f>
        <v/>
      </c>
      <c r="S15" s="247" t="str">
        <f>IF('Project&amp;Support'!Y7&lt;&gt;"",'Project&amp;Support'!Y7,"")</f>
        <v>s</v>
      </c>
      <c r="T15" s="247" t="str">
        <f>IF('Project&amp;Support'!Z7&lt;&gt;"",'Project&amp;Support'!Z7,"")</f>
        <v/>
      </c>
      <c r="U15" s="247" t="str">
        <f>IF('Project&amp;Support'!AA7&lt;&gt;"",'Project&amp;Support'!AA7,"")</f>
        <v/>
      </c>
      <c r="V15" s="245"/>
    </row>
    <row r="16" spans="1:22" s="246" customFormat="1">
      <c r="A16" s="153" t="str">
        <f>'Project&amp;Support'!B8</f>
        <v>S2-EPG-MA</v>
      </c>
      <c r="B16" s="153" t="str">
        <f>'Project&amp;Support'!H8</f>
        <v>All Projects</v>
      </c>
      <c r="C16" s="153" t="str">
        <f>'Project&amp;Support'!I8</f>
        <v>Support</v>
      </c>
      <c r="D16" s="247" t="str">
        <f>IF('Project&amp;Support'!J8&lt;&gt;"",'Project&amp;Support'!J8,"")</f>
        <v/>
      </c>
      <c r="E16" s="247" t="str">
        <f>IF('Project&amp;Support'!K8&lt;&gt;"",'Project&amp;Support'!K8,"")</f>
        <v/>
      </c>
      <c r="F16" s="247" t="str">
        <f>IF('Project&amp;Support'!L8&lt;&gt;"",'Project&amp;Support'!L8,"")</f>
        <v/>
      </c>
      <c r="G16" s="247" t="str">
        <f>IF('Project&amp;Support'!M8&lt;&gt;"",'Project&amp;Support'!M8,"")</f>
        <v/>
      </c>
      <c r="H16" s="247" t="str">
        <f>IF('Project&amp;Support'!N8&lt;&gt;"",'Project&amp;Support'!N8,"")</f>
        <v/>
      </c>
      <c r="I16" s="247" t="str">
        <f>IF('Project&amp;Support'!O8&lt;&gt;"",'Project&amp;Support'!O8,"")</f>
        <v/>
      </c>
      <c r="J16" s="247" t="str">
        <f>IF('Project&amp;Support'!P8&lt;&gt;"",'Project&amp;Support'!P8,"")</f>
        <v>s</v>
      </c>
      <c r="K16" s="247" t="str">
        <f>IF('Project&amp;Support'!Q8&lt;&gt;"",'Project&amp;Support'!Q8,"")</f>
        <v>s</v>
      </c>
      <c r="L16" s="247" t="str">
        <f>IF('Project&amp;Support'!R8&lt;&gt;"",'Project&amp;Support'!R8,"")</f>
        <v>s</v>
      </c>
      <c r="M16" s="247" t="str">
        <f>IF('Project&amp;Support'!S8&lt;&gt;"",'Project&amp;Support'!S8,"")</f>
        <v/>
      </c>
      <c r="N16" s="247" t="str">
        <f>IF('Project&amp;Support'!T8&lt;&gt;"",'Project&amp;Support'!T8,"")</f>
        <v/>
      </c>
      <c r="O16" s="247" t="str">
        <f>IF('Project&amp;Support'!U8&lt;&gt;"",'Project&amp;Support'!U8,"")</f>
        <v/>
      </c>
      <c r="P16" s="247" t="str">
        <f>IF('Project&amp;Support'!V8&lt;&gt;"",'Project&amp;Support'!V8,"")</f>
        <v/>
      </c>
      <c r="Q16" s="247" t="str">
        <f>IF('Project&amp;Support'!W8&lt;&gt;"",'Project&amp;Support'!W8,"")</f>
        <v/>
      </c>
      <c r="R16" s="247" t="str">
        <f>IF('Project&amp;Support'!X8&lt;&gt;"",'Project&amp;Support'!X8,"")</f>
        <v>s</v>
      </c>
      <c r="S16" s="247" t="str">
        <f>IF('Project&amp;Support'!Y8&lt;&gt;"",'Project&amp;Support'!Y8,"")</f>
        <v/>
      </c>
      <c r="T16" s="247" t="str">
        <f>IF('Project&amp;Support'!Z8&lt;&gt;"",'Project&amp;Support'!Z8,"")</f>
        <v>s</v>
      </c>
      <c r="U16" s="247" t="str">
        <f>IF('Project&amp;Support'!AA8&lt;&gt;"",'Project&amp;Support'!AA8,"")</f>
        <v/>
      </c>
      <c r="V16" s="245"/>
    </row>
    <row r="17" spans="1:22" s="246" customFormat="1">
      <c r="A17" s="153" t="str">
        <f>'Project&amp;Support'!B9</f>
        <v>S3-HR</v>
      </c>
      <c r="B17" s="153" t="str">
        <f>'Project&amp;Support'!H9</f>
        <v>All Projects</v>
      </c>
      <c r="C17" s="153" t="str">
        <f>'Project&amp;Support'!I9</f>
        <v>Support</v>
      </c>
      <c r="D17" s="247" t="str">
        <f>IF('Project&amp;Support'!J9&lt;&gt;"",'Project&amp;Support'!J9,"")</f>
        <v/>
      </c>
      <c r="E17" s="247" t="str">
        <f>IF('Project&amp;Support'!K9&lt;&gt;"",'Project&amp;Support'!K9,"")</f>
        <v/>
      </c>
      <c r="F17" s="247" t="str">
        <f>IF('Project&amp;Support'!L9&lt;&gt;"",'Project&amp;Support'!L9,"")</f>
        <v/>
      </c>
      <c r="G17" s="247" t="str">
        <f>IF('Project&amp;Support'!M9&lt;&gt;"",'Project&amp;Support'!M9,"")</f>
        <v/>
      </c>
      <c r="H17" s="247" t="str">
        <f>IF('Project&amp;Support'!N9&lt;&gt;"",'Project&amp;Support'!N9,"")</f>
        <v/>
      </c>
      <c r="I17" s="247" t="str">
        <f>IF('Project&amp;Support'!O9&lt;&gt;"",'Project&amp;Support'!O9,"")</f>
        <v/>
      </c>
      <c r="J17" s="247" t="str">
        <f>IF('Project&amp;Support'!P9&lt;&gt;"",'Project&amp;Support'!P9,"")</f>
        <v/>
      </c>
      <c r="K17" s="247" t="str">
        <f>IF('Project&amp;Support'!Q9&lt;&gt;"",'Project&amp;Support'!Q9,"")</f>
        <v/>
      </c>
      <c r="L17" s="247" t="str">
        <f>IF('Project&amp;Support'!R9&lt;&gt;"",'Project&amp;Support'!R9,"")</f>
        <v/>
      </c>
      <c r="M17" s="247" t="str">
        <f>IF('Project&amp;Support'!S9&lt;&gt;"",'Project&amp;Support'!S9,"")</f>
        <v/>
      </c>
      <c r="N17" s="247" t="str">
        <f>IF('Project&amp;Support'!T9&lt;&gt;"",'Project&amp;Support'!T9,"")</f>
        <v>s</v>
      </c>
      <c r="O17" s="247" t="str">
        <f>IF('Project&amp;Support'!U9&lt;&gt;"",'Project&amp;Support'!U9,"")</f>
        <v/>
      </c>
      <c r="P17" s="247" t="str">
        <f>IF('Project&amp;Support'!V9&lt;&gt;"",'Project&amp;Support'!V9,"")</f>
        <v/>
      </c>
      <c r="Q17" s="247" t="str">
        <f>IF('Project&amp;Support'!W9&lt;&gt;"",'Project&amp;Support'!W9,"")</f>
        <v/>
      </c>
      <c r="R17" s="247" t="str">
        <f>IF('Project&amp;Support'!X9&lt;&gt;"",'Project&amp;Support'!X9,"")</f>
        <v/>
      </c>
      <c r="S17" s="247" t="str">
        <f>IF('Project&amp;Support'!Y9&lt;&gt;"",'Project&amp;Support'!Y9,"")</f>
        <v/>
      </c>
      <c r="T17" s="247" t="str">
        <f>IF('Project&amp;Support'!Z9&lt;&gt;"",'Project&amp;Support'!Z9,"")</f>
        <v/>
      </c>
      <c r="U17" s="247" t="str">
        <f>IF('Project&amp;Support'!AA9&lt;&gt;"",'Project&amp;Support'!AA9,"")</f>
        <v/>
      </c>
      <c r="V17" s="245"/>
    </row>
    <row r="18" spans="1:22" s="246" customFormat="1">
      <c r="A18" s="153" t="str">
        <f>'Project&amp;Support'!B10</f>
        <v>S4-PPQA</v>
      </c>
      <c r="B18" s="153" t="str">
        <f>'Project&amp;Support'!H10</f>
        <v>All Projects</v>
      </c>
      <c r="C18" s="153" t="str">
        <f>'Project&amp;Support'!I10</f>
        <v>Support</v>
      </c>
      <c r="D18" s="247" t="str">
        <f>IF('Project&amp;Support'!J10&lt;&gt;"",'Project&amp;Support'!J10,"")</f>
        <v/>
      </c>
      <c r="E18" s="247" t="str">
        <f>IF('Project&amp;Support'!K10&lt;&gt;"",'Project&amp;Support'!K10,"")</f>
        <v/>
      </c>
      <c r="F18" s="247" t="str">
        <f>IF('Project&amp;Support'!L10&lt;&gt;"",'Project&amp;Support'!L10,"")</f>
        <v>s</v>
      </c>
      <c r="G18" s="247" t="str">
        <f>IF('Project&amp;Support'!M10&lt;&gt;"",'Project&amp;Support'!M10,"")</f>
        <v/>
      </c>
      <c r="H18" s="247" t="str">
        <f>IF('Project&amp;Support'!N10&lt;&gt;"",'Project&amp;Support'!N10,"")</f>
        <v/>
      </c>
      <c r="I18" s="247" t="str">
        <f>IF('Project&amp;Support'!O10&lt;&gt;"",'Project&amp;Support'!O10,"")</f>
        <v/>
      </c>
      <c r="J18" s="247" t="str">
        <f>IF('Project&amp;Support'!P10&lt;&gt;"",'Project&amp;Support'!P10,"")</f>
        <v/>
      </c>
      <c r="K18" s="247" t="str">
        <f>IF('Project&amp;Support'!Q10&lt;&gt;"",'Project&amp;Support'!Q10,"")</f>
        <v/>
      </c>
      <c r="L18" s="247" t="str">
        <f>IF('Project&amp;Support'!R10&lt;&gt;"",'Project&amp;Support'!R10,"")</f>
        <v/>
      </c>
      <c r="M18" s="247" t="str">
        <f>IF('Project&amp;Support'!S10&lt;&gt;"",'Project&amp;Support'!S10,"")</f>
        <v/>
      </c>
      <c r="N18" s="247" t="str">
        <f>IF('Project&amp;Support'!T10&lt;&gt;"",'Project&amp;Support'!T10,"")</f>
        <v/>
      </c>
      <c r="O18" s="247" t="str">
        <f>IF('Project&amp;Support'!U10&lt;&gt;"",'Project&amp;Support'!U10,"")</f>
        <v/>
      </c>
      <c r="P18" s="247" t="str">
        <f>IF('Project&amp;Support'!V10&lt;&gt;"",'Project&amp;Support'!V10,"")</f>
        <v/>
      </c>
      <c r="Q18" s="247" t="str">
        <f>IF('Project&amp;Support'!W10&lt;&gt;"",'Project&amp;Support'!W10,"")</f>
        <v/>
      </c>
      <c r="R18" s="247" t="str">
        <f>IF('Project&amp;Support'!X10&lt;&gt;"",'Project&amp;Support'!X10,"")</f>
        <v/>
      </c>
      <c r="S18" s="247" t="str">
        <f>IF('Project&amp;Support'!Y10&lt;&gt;"",'Project&amp;Support'!Y10,"")</f>
        <v/>
      </c>
      <c r="T18" s="247" t="str">
        <f>IF('Project&amp;Support'!Z10&lt;&gt;"",'Project&amp;Support'!Z10,"")</f>
        <v/>
      </c>
      <c r="U18" s="247" t="str">
        <f>IF('Project&amp;Support'!AA10&lt;&gt;"",'Project&amp;Support'!AA10,"")</f>
        <v/>
      </c>
      <c r="V18" s="245"/>
    </row>
    <row r="19" spans="1:22" s="246" customFormat="1" hidden="1">
      <c r="A19" s="153">
        <f>'Project&amp;Support'!B11</f>
        <v>0</v>
      </c>
      <c r="B19" s="153">
        <f>'Project&amp;Support'!H11</f>
        <v>0</v>
      </c>
      <c r="C19" s="153">
        <f>'Project&amp;Support'!I11</f>
        <v>0</v>
      </c>
      <c r="D19" s="247" t="str">
        <f>IF('Project&amp;Support'!J11&lt;&gt;"",'Project&amp;Support'!J11,"")</f>
        <v/>
      </c>
      <c r="E19" s="247" t="str">
        <f>IF('Project&amp;Support'!K11&lt;&gt;"",'Project&amp;Support'!K11,"")</f>
        <v/>
      </c>
      <c r="F19" s="247" t="str">
        <f>IF('Project&amp;Support'!L11&lt;&gt;"",'Project&amp;Support'!L11,"")</f>
        <v/>
      </c>
      <c r="G19" s="247" t="str">
        <f>IF('Project&amp;Support'!M11&lt;&gt;"",'Project&amp;Support'!M11,"")</f>
        <v/>
      </c>
      <c r="H19" s="247" t="str">
        <f>IF('Project&amp;Support'!N11&lt;&gt;"",'Project&amp;Support'!N11,"")</f>
        <v/>
      </c>
      <c r="I19" s="247" t="str">
        <f>IF('Project&amp;Support'!O11&lt;&gt;"",'Project&amp;Support'!O11,"")</f>
        <v/>
      </c>
      <c r="J19" s="247" t="str">
        <f>IF('Project&amp;Support'!P11&lt;&gt;"",'Project&amp;Support'!P11,"")</f>
        <v/>
      </c>
      <c r="K19" s="247" t="str">
        <f>IF('Project&amp;Support'!Q11&lt;&gt;"",'Project&amp;Support'!Q11,"")</f>
        <v/>
      </c>
      <c r="L19" s="247" t="str">
        <f>IF('Project&amp;Support'!R11&lt;&gt;"",'Project&amp;Support'!R11,"")</f>
        <v/>
      </c>
      <c r="M19" s="247" t="str">
        <f>IF('Project&amp;Support'!S11&lt;&gt;"",'Project&amp;Support'!S11,"")</f>
        <v/>
      </c>
      <c r="N19" s="247" t="str">
        <f>IF('Project&amp;Support'!T11&lt;&gt;"",'Project&amp;Support'!T11,"")</f>
        <v/>
      </c>
      <c r="O19" s="247" t="str">
        <f>IF('Project&amp;Support'!U11&lt;&gt;"",'Project&amp;Support'!U11,"")</f>
        <v/>
      </c>
      <c r="P19" s="247" t="str">
        <f>IF('Project&amp;Support'!V11&lt;&gt;"",'Project&amp;Support'!V11,"")</f>
        <v/>
      </c>
      <c r="Q19" s="247" t="str">
        <f>IF('Project&amp;Support'!W11&lt;&gt;"",'Project&amp;Support'!W11,"")</f>
        <v/>
      </c>
      <c r="R19" s="247" t="str">
        <f>IF('Project&amp;Support'!X11&lt;&gt;"",'Project&amp;Support'!X11,"")</f>
        <v/>
      </c>
      <c r="S19" s="247" t="str">
        <f>IF('Project&amp;Support'!Y11&lt;&gt;"",'Project&amp;Support'!Y11,"")</f>
        <v/>
      </c>
      <c r="T19" s="247" t="str">
        <f>IF('Project&amp;Support'!Z11&lt;&gt;"",'Project&amp;Support'!Z11,"")</f>
        <v/>
      </c>
      <c r="U19" s="247" t="str">
        <f>IF('Project&amp;Support'!AA11&lt;&gt;"",'Project&amp;Support'!AA11,"")</f>
        <v/>
      </c>
      <c r="V19" s="245"/>
    </row>
    <row r="20" spans="1:22" s="246" customFormat="1" hidden="1">
      <c r="A20" s="153">
        <f>'Project&amp;Support'!B12</f>
        <v>0</v>
      </c>
      <c r="B20" s="153">
        <f>'Project&amp;Support'!H12</f>
        <v>0</v>
      </c>
      <c r="C20" s="153">
        <f>'Project&amp;Support'!I12</f>
        <v>0</v>
      </c>
      <c r="D20" s="247" t="str">
        <f>IF('Project&amp;Support'!J12&lt;&gt;"",'Project&amp;Support'!J12,"")</f>
        <v/>
      </c>
      <c r="E20" s="247" t="str">
        <f>IF('Project&amp;Support'!K12&lt;&gt;"",'Project&amp;Support'!K12,"")</f>
        <v/>
      </c>
      <c r="F20" s="247" t="str">
        <f>IF('Project&amp;Support'!L12&lt;&gt;"",'Project&amp;Support'!L12,"")</f>
        <v/>
      </c>
      <c r="G20" s="247" t="str">
        <f>IF('Project&amp;Support'!M12&lt;&gt;"",'Project&amp;Support'!M12,"")</f>
        <v/>
      </c>
      <c r="H20" s="247" t="str">
        <f>IF('Project&amp;Support'!N12&lt;&gt;"",'Project&amp;Support'!N12,"")</f>
        <v/>
      </c>
      <c r="I20" s="247" t="str">
        <f>IF('Project&amp;Support'!O12&lt;&gt;"",'Project&amp;Support'!O12,"")</f>
        <v/>
      </c>
      <c r="J20" s="247" t="str">
        <f>IF('Project&amp;Support'!P12&lt;&gt;"",'Project&amp;Support'!P12,"")</f>
        <v/>
      </c>
      <c r="K20" s="247" t="str">
        <f>IF('Project&amp;Support'!Q12&lt;&gt;"",'Project&amp;Support'!Q12,"")</f>
        <v/>
      </c>
      <c r="L20" s="247" t="str">
        <f>IF('Project&amp;Support'!R12&lt;&gt;"",'Project&amp;Support'!R12,"")</f>
        <v/>
      </c>
      <c r="M20" s="247" t="str">
        <f>IF('Project&amp;Support'!S12&lt;&gt;"",'Project&amp;Support'!S12,"")</f>
        <v/>
      </c>
      <c r="N20" s="247" t="str">
        <f>IF('Project&amp;Support'!T12&lt;&gt;"",'Project&amp;Support'!T12,"")</f>
        <v/>
      </c>
      <c r="O20" s="247" t="str">
        <f>IF('Project&amp;Support'!U12&lt;&gt;"",'Project&amp;Support'!U12,"")</f>
        <v/>
      </c>
      <c r="P20" s="247" t="str">
        <f>IF('Project&amp;Support'!V12&lt;&gt;"",'Project&amp;Support'!V12,"")</f>
        <v/>
      </c>
      <c r="Q20" s="247" t="str">
        <f>IF('Project&amp;Support'!W12&lt;&gt;"",'Project&amp;Support'!W12,"")</f>
        <v/>
      </c>
      <c r="R20" s="247" t="str">
        <f>IF('Project&amp;Support'!X12&lt;&gt;"",'Project&amp;Support'!X12,"")</f>
        <v/>
      </c>
      <c r="S20" s="247" t="str">
        <f>IF('Project&amp;Support'!Y12&lt;&gt;"",'Project&amp;Support'!Y12,"")</f>
        <v/>
      </c>
      <c r="T20" s="247" t="str">
        <f>IF('Project&amp;Support'!Z12&lt;&gt;"",'Project&amp;Support'!Z12,"")</f>
        <v/>
      </c>
      <c r="U20" s="247" t="str">
        <f>IF('Project&amp;Support'!AA12&lt;&gt;"",'Project&amp;Support'!AA12,"")</f>
        <v/>
      </c>
      <c r="V20" s="245"/>
    </row>
    <row r="21" spans="1:22" s="246" customFormat="1" hidden="1">
      <c r="A21" s="153">
        <f>'Project&amp;Support'!B13</f>
        <v>0</v>
      </c>
      <c r="B21" s="153">
        <f>'Project&amp;Support'!H13</f>
        <v>0</v>
      </c>
      <c r="C21" s="153">
        <f>'Project&amp;Support'!I13</f>
        <v>0</v>
      </c>
      <c r="D21" s="247" t="str">
        <f>IF('Project&amp;Support'!J13&lt;&gt;"",'Project&amp;Support'!J13,"")</f>
        <v/>
      </c>
      <c r="E21" s="247" t="str">
        <f>IF('Project&amp;Support'!K13&lt;&gt;"",'Project&amp;Support'!K13,"")</f>
        <v/>
      </c>
      <c r="F21" s="247" t="str">
        <f>IF('Project&amp;Support'!L13&lt;&gt;"",'Project&amp;Support'!L13,"")</f>
        <v/>
      </c>
      <c r="G21" s="247" t="str">
        <f>IF('Project&amp;Support'!M13&lt;&gt;"",'Project&amp;Support'!M13,"")</f>
        <v/>
      </c>
      <c r="H21" s="247" t="str">
        <f>IF('Project&amp;Support'!N13&lt;&gt;"",'Project&amp;Support'!N13,"")</f>
        <v/>
      </c>
      <c r="I21" s="247" t="str">
        <f>IF('Project&amp;Support'!O13&lt;&gt;"",'Project&amp;Support'!O13,"")</f>
        <v/>
      </c>
      <c r="J21" s="247" t="str">
        <f>IF('Project&amp;Support'!P13&lt;&gt;"",'Project&amp;Support'!P13,"")</f>
        <v/>
      </c>
      <c r="K21" s="247" t="str">
        <f>IF('Project&amp;Support'!Q13&lt;&gt;"",'Project&amp;Support'!Q13,"")</f>
        <v/>
      </c>
      <c r="L21" s="247" t="str">
        <f>IF('Project&amp;Support'!R13&lt;&gt;"",'Project&amp;Support'!R13,"")</f>
        <v/>
      </c>
      <c r="M21" s="247" t="str">
        <f>IF('Project&amp;Support'!S13&lt;&gt;"",'Project&amp;Support'!S13,"")</f>
        <v/>
      </c>
      <c r="N21" s="247" t="str">
        <f>IF('Project&amp;Support'!T13&lt;&gt;"",'Project&amp;Support'!T13,"")</f>
        <v/>
      </c>
      <c r="O21" s="247" t="str">
        <f>IF('Project&amp;Support'!U13&lt;&gt;"",'Project&amp;Support'!U13,"")</f>
        <v/>
      </c>
      <c r="P21" s="247" t="str">
        <f>IF('Project&amp;Support'!V13&lt;&gt;"",'Project&amp;Support'!V13,"")</f>
        <v/>
      </c>
      <c r="Q21" s="247" t="str">
        <f>IF('Project&amp;Support'!W13&lt;&gt;"",'Project&amp;Support'!W13,"")</f>
        <v/>
      </c>
      <c r="R21" s="247" t="str">
        <f>IF('Project&amp;Support'!X13&lt;&gt;"",'Project&amp;Support'!X13,"")</f>
        <v/>
      </c>
      <c r="S21" s="247" t="str">
        <f>IF('Project&amp;Support'!Y13&lt;&gt;"",'Project&amp;Support'!Y13,"")</f>
        <v/>
      </c>
      <c r="T21" s="247" t="str">
        <f>IF('Project&amp;Support'!Z13&lt;&gt;"",'Project&amp;Support'!Z13,"")</f>
        <v/>
      </c>
      <c r="U21" s="247" t="str">
        <f>IF('Project&amp;Support'!AA13&lt;&gt;"",'Project&amp;Support'!AA13,"")</f>
        <v/>
      </c>
      <c r="V21" s="245"/>
    </row>
    <row r="22" spans="1:22" s="246" customFormat="1" hidden="1">
      <c r="A22" s="153">
        <f>'Project&amp;Support'!B14</f>
        <v>0</v>
      </c>
      <c r="B22" s="153">
        <f>'Project&amp;Support'!H14</f>
        <v>0</v>
      </c>
      <c r="C22" s="153">
        <f>'Project&amp;Support'!I14</f>
        <v>0</v>
      </c>
      <c r="D22" s="247" t="str">
        <f>IF('Project&amp;Support'!J14&lt;&gt;"",'Project&amp;Support'!J14,"")</f>
        <v/>
      </c>
      <c r="E22" s="247" t="str">
        <f>IF('Project&amp;Support'!K14&lt;&gt;"",'Project&amp;Support'!K14,"")</f>
        <v/>
      </c>
      <c r="F22" s="247" t="str">
        <f>IF('Project&amp;Support'!L14&lt;&gt;"",'Project&amp;Support'!L14,"")</f>
        <v/>
      </c>
      <c r="G22" s="247" t="str">
        <f>IF('Project&amp;Support'!M14&lt;&gt;"",'Project&amp;Support'!M14,"")</f>
        <v/>
      </c>
      <c r="H22" s="247" t="str">
        <f>IF('Project&amp;Support'!N14&lt;&gt;"",'Project&amp;Support'!N14,"")</f>
        <v/>
      </c>
      <c r="I22" s="247" t="str">
        <f>IF('Project&amp;Support'!O14&lt;&gt;"",'Project&amp;Support'!O14,"")</f>
        <v/>
      </c>
      <c r="J22" s="247" t="str">
        <f>IF('Project&amp;Support'!P14&lt;&gt;"",'Project&amp;Support'!P14,"")</f>
        <v/>
      </c>
      <c r="K22" s="247" t="str">
        <f>IF('Project&amp;Support'!Q14&lt;&gt;"",'Project&amp;Support'!Q14,"")</f>
        <v/>
      </c>
      <c r="L22" s="247" t="str">
        <f>IF('Project&amp;Support'!R14&lt;&gt;"",'Project&amp;Support'!R14,"")</f>
        <v/>
      </c>
      <c r="M22" s="247" t="str">
        <f>IF('Project&amp;Support'!S14&lt;&gt;"",'Project&amp;Support'!S14,"")</f>
        <v/>
      </c>
      <c r="N22" s="247" t="str">
        <f>IF('Project&amp;Support'!T14&lt;&gt;"",'Project&amp;Support'!T14,"")</f>
        <v/>
      </c>
      <c r="O22" s="247" t="str">
        <f>IF('Project&amp;Support'!U14&lt;&gt;"",'Project&amp;Support'!U14,"")</f>
        <v/>
      </c>
      <c r="P22" s="247" t="str">
        <f>IF('Project&amp;Support'!V14&lt;&gt;"",'Project&amp;Support'!V14,"")</f>
        <v/>
      </c>
      <c r="Q22" s="247" t="str">
        <f>IF('Project&amp;Support'!W14&lt;&gt;"",'Project&amp;Support'!W14,"")</f>
        <v/>
      </c>
      <c r="R22" s="247" t="str">
        <f>IF('Project&amp;Support'!X14&lt;&gt;"",'Project&amp;Support'!X14,"")</f>
        <v/>
      </c>
      <c r="S22" s="247" t="str">
        <f>IF('Project&amp;Support'!Y14&lt;&gt;"",'Project&amp;Support'!Y14,"")</f>
        <v/>
      </c>
      <c r="T22" s="247" t="str">
        <f>IF('Project&amp;Support'!Z14&lt;&gt;"",'Project&amp;Support'!Z14,"")</f>
        <v/>
      </c>
      <c r="U22" s="247" t="str">
        <f>IF('Project&amp;Support'!AA14&lt;&gt;"",'Project&amp;Support'!AA14,"")</f>
        <v/>
      </c>
      <c r="V22" s="245"/>
    </row>
    <row r="23" spans="1:22" s="246" customFormat="1" hidden="1">
      <c r="A23" s="153">
        <f>'Project&amp;Support'!B15</f>
        <v>0</v>
      </c>
      <c r="B23" s="153">
        <f>'Project&amp;Support'!H15</f>
        <v>0</v>
      </c>
      <c r="C23" s="153">
        <f>'Project&amp;Support'!I15</f>
        <v>0</v>
      </c>
      <c r="D23" s="247" t="str">
        <f>IF('Project&amp;Support'!J15&lt;&gt;"",'Project&amp;Support'!J15,"")</f>
        <v/>
      </c>
      <c r="E23" s="247" t="str">
        <f>IF('Project&amp;Support'!K15&lt;&gt;"",'Project&amp;Support'!K15,"")</f>
        <v/>
      </c>
      <c r="F23" s="247" t="str">
        <f>IF('Project&amp;Support'!L15&lt;&gt;"",'Project&amp;Support'!L15,"")</f>
        <v/>
      </c>
      <c r="G23" s="247" t="str">
        <f>IF('Project&amp;Support'!M15&lt;&gt;"",'Project&amp;Support'!M15,"")</f>
        <v/>
      </c>
      <c r="H23" s="247" t="str">
        <f>IF('Project&amp;Support'!N15&lt;&gt;"",'Project&amp;Support'!N15,"")</f>
        <v/>
      </c>
      <c r="I23" s="247" t="str">
        <f>IF('Project&amp;Support'!O15&lt;&gt;"",'Project&amp;Support'!O15,"")</f>
        <v/>
      </c>
      <c r="J23" s="247" t="str">
        <f>IF('Project&amp;Support'!P15&lt;&gt;"",'Project&amp;Support'!P15,"")</f>
        <v/>
      </c>
      <c r="K23" s="247" t="str">
        <f>IF('Project&amp;Support'!Q15&lt;&gt;"",'Project&amp;Support'!Q15,"")</f>
        <v/>
      </c>
      <c r="L23" s="247" t="str">
        <f>IF('Project&amp;Support'!R15&lt;&gt;"",'Project&amp;Support'!R15,"")</f>
        <v/>
      </c>
      <c r="M23" s="247" t="str">
        <f>IF('Project&amp;Support'!S15&lt;&gt;"",'Project&amp;Support'!S15,"")</f>
        <v/>
      </c>
      <c r="N23" s="247" t="str">
        <f>IF('Project&amp;Support'!T15&lt;&gt;"",'Project&amp;Support'!T15,"")</f>
        <v/>
      </c>
      <c r="O23" s="247" t="str">
        <f>IF('Project&amp;Support'!U15&lt;&gt;"",'Project&amp;Support'!U15,"")</f>
        <v/>
      </c>
      <c r="P23" s="247" t="str">
        <f>IF('Project&amp;Support'!V15&lt;&gt;"",'Project&amp;Support'!V15,"")</f>
        <v/>
      </c>
      <c r="Q23" s="247" t="str">
        <f>IF('Project&amp;Support'!W15&lt;&gt;"",'Project&amp;Support'!W15,"")</f>
        <v/>
      </c>
      <c r="R23" s="247" t="str">
        <f>IF('Project&amp;Support'!X15&lt;&gt;"",'Project&amp;Support'!X15,"")</f>
        <v/>
      </c>
      <c r="S23" s="247" t="str">
        <f>IF('Project&amp;Support'!Y15&lt;&gt;"",'Project&amp;Support'!Y15,"")</f>
        <v/>
      </c>
      <c r="T23" s="247" t="str">
        <f>IF('Project&amp;Support'!Z15&lt;&gt;"",'Project&amp;Support'!Z15,"")</f>
        <v/>
      </c>
      <c r="U23" s="247" t="str">
        <f>IF('Project&amp;Support'!AA15&lt;&gt;"",'Project&amp;Support'!AA15,"")</f>
        <v/>
      </c>
      <c r="V23" s="245"/>
    </row>
    <row r="24" spans="1:22" s="246" customFormat="1">
      <c r="A24" s="152"/>
      <c r="B24" s="152"/>
      <c r="C24" s="152"/>
      <c r="D24" s="245"/>
      <c r="E24" s="245"/>
      <c r="F24" s="245"/>
      <c r="G24" s="245"/>
      <c r="H24" s="245"/>
      <c r="I24" s="245"/>
      <c r="J24" s="245"/>
      <c r="K24" s="245"/>
      <c r="L24" s="245"/>
      <c r="M24" s="245"/>
      <c r="N24" s="245"/>
      <c r="O24" s="245"/>
      <c r="P24" s="245"/>
      <c r="Q24" s="245"/>
      <c r="R24" s="245"/>
      <c r="S24" s="245"/>
      <c r="T24" s="245"/>
      <c r="U24" s="245"/>
      <c r="V24" s="245"/>
    </row>
    <row r="25" spans="1:22" hidden="1">
      <c r="A25" s="153">
        <f>'Project&amp;Support'!B11</f>
        <v>0</v>
      </c>
      <c r="B25" s="153">
        <f>'Project&amp;Support'!H11</f>
        <v>0</v>
      </c>
      <c r="C25" s="398"/>
      <c r="D25" s="247" t="str">
        <f>IF('Project&amp;Support'!J11&lt;&gt;"",'Project&amp;Support'!J11,"")</f>
        <v/>
      </c>
      <c r="E25" s="247" t="str">
        <f>IF('Project&amp;Support'!K11&lt;&gt;"",'Project&amp;Support'!K11,"")</f>
        <v/>
      </c>
      <c r="F25" s="247" t="str">
        <f>IF('Project&amp;Support'!L11&lt;&gt;"",'Project&amp;Support'!L11,"")</f>
        <v/>
      </c>
      <c r="G25" s="247" t="str">
        <f>IF('Project&amp;Support'!M11&lt;&gt;"",'Project&amp;Support'!M11,"")</f>
        <v/>
      </c>
      <c r="H25" s="247" t="str">
        <f>IF('Project&amp;Support'!N11&lt;&gt;"",'Project&amp;Support'!N11,"")</f>
        <v/>
      </c>
      <c r="I25" s="247" t="str">
        <f>IF('Project&amp;Support'!O11&lt;&gt;"",'Project&amp;Support'!O11,"")</f>
        <v/>
      </c>
      <c r="J25" s="247" t="str">
        <f>IF('Project&amp;Support'!P11&lt;&gt;"",'Project&amp;Support'!P11,"")</f>
        <v/>
      </c>
      <c r="K25" s="247" t="str">
        <f>IF('Project&amp;Support'!Q11&lt;&gt;"",'Project&amp;Support'!Q11,"")</f>
        <v/>
      </c>
      <c r="L25" s="247" t="str">
        <f>IF('Project&amp;Support'!R11&lt;&gt;"",'Project&amp;Support'!R11,"")</f>
        <v/>
      </c>
      <c r="M25" s="247" t="str">
        <f>IF('Project&amp;Support'!S11&lt;&gt;"",'Project&amp;Support'!S11,"")</f>
        <v/>
      </c>
      <c r="N25" s="247" t="str">
        <f>IF('Project&amp;Support'!T11&lt;&gt;"",'Project&amp;Support'!T11,"")</f>
        <v/>
      </c>
      <c r="O25" s="247" t="str">
        <f>IF('Project&amp;Support'!U11&lt;&gt;"",'Project&amp;Support'!U11,"")</f>
        <v/>
      </c>
      <c r="P25" s="247" t="str">
        <f>IF('Project&amp;Support'!V11&lt;&gt;"",'Project&amp;Support'!V11,"")</f>
        <v/>
      </c>
      <c r="Q25" s="247" t="str">
        <f>IF('Project&amp;Support'!W11&lt;&gt;"",'Project&amp;Support'!W11,"")</f>
        <v/>
      </c>
      <c r="R25" s="247" t="str">
        <f>IF('Project&amp;Support'!X11&lt;&gt;"",'Project&amp;Support'!X11,"")</f>
        <v/>
      </c>
      <c r="S25" s="247" t="str">
        <f>IF('Project&amp;Support'!Y11&lt;&gt;"",'Project&amp;Support'!Y11,"")</f>
        <v/>
      </c>
      <c r="T25" s="247" t="str">
        <f>IF('Project&amp;Support'!Z11&lt;&gt;"",'Project&amp;Support'!Z11,"")</f>
        <v/>
      </c>
      <c r="U25" s="247" t="str">
        <f>IF('Project&amp;Support'!AA11&lt;&gt;"",'Project&amp;Support'!AA11,"")</f>
        <v/>
      </c>
    </row>
    <row r="26" spans="1:22" ht="18.5">
      <c r="A26" s="243"/>
      <c r="B26" s="243"/>
      <c r="C26" s="243"/>
      <c r="D26" s="244"/>
      <c r="E26" s="244"/>
      <c r="F26" s="244"/>
      <c r="G26" s="244"/>
      <c r="H26" s="244"/>
      <c r="I26" s="244"/>
      <c r="J26" s="244"/>
      <c r="K26" s="244"/>
      <c r="L26" s="244"/>
      <c r="M26" s="244"/>
      <c r="N26" s="244"/>
      <c r="O26" s="244"/>
      <c r="P26" s="244"/>
      <c r="Q26" s="244"/>
      <c r="R26" s="244"/>
      <c r="S26" s="244"/>
      <c r="T26" s="244"/>
      <c r="U26" s="244"/>
    </row>
    <row r="27" spans="1:22">
      <c r="D27" s="247" t="s">
        <v>1170</v>
      </c>
      <c r="E27" s="234" t="s">
        <v>1211</v>
      </c>
      <c r="G27" s="247" t="s">
        <v>1184</v>
      </c>
      <c r="H27" s="150" t="s">
        <v>1212</v>
      </c>
    </row>
  </sheetData>
  <conditionalFormatting sqref="V10">
    <cfRule type="cellIs" dxfId="10" priority="11" operator="equal">
      <formula>"x"</formula>
    </cfRule>
    <cfRule type="cellIs" dxfId="9" priority="12" operator="equal">
      <formula>0</formula>
    </cfRule>
  </conditionalFormatting>
  <conditionalFormatting sqref="D24:T24 G27 D27 D19:U23 D25:U25">
    <cfRule type="cellIs" dxfId="8" priority="8" operator="equal">
      <formula>"s"</formula>
    </cfRule>
    <cfRule type="cellIs" dxfId="7" priority="9" operator="equal">
      <formula>"a"</formula>
    </cfRule>
    <cfRule type="cellIs" dxfId="6" priority="10" operator="equal">
      <formula>0</formula>
    </cfRule>
  </conditionalFormatting>
  <conditionalFormatting sqref="U24">
    <cfRule type="cellIs" dxfId="5" priority="4" operator="equal">
      <formula>"s"</formula>
    </cfRule>
    <cfRule type="cellIs" dxfId="4" priority="5" operator="equal">
      <formula>"a"</formula>
    </cfRule>
    <cfRule type="cellIs" dxfId="3" priority="6" operator="equal">
      <formula>0</formula>
    </cfRule>
  </conditionalFormatting>
  <conditionalFormatting sqref="D11:U18">
    <cfRule type="cellIs" dxfId="2" priority="1" operator="equal">
      <formula>"s"</formula>
    </cfRule>
    <cfRule type="cellIs" dxfId="1" priority="2" operator="equal">
      <formula>"a"</formula>
    </cfRule>
    <cfRule type="cellIs" dxfId="0" priority="3" operator="equal">
      <formula>0</formula>
    </cfRule>
  </conditionalFormatting>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0F830-8247-4CD5-A4CD-EE82D0397927}">
  <dimension ref="A1:E22"/>
  <sheetViews>
    <sheetView topLeftCell="A4" workbookViewId="0">
      <selection activeCell="D5" sqref="D5"/>
    </sheetView>
  </sheetViews>
  <sheetFormatPr defaultRowHeight="14.5"/>
  <cols>
    <col min="1" max="1" width="14.26953125" style="8" customWidth="1"/>
    <col min="2" max="2" width="25.6328125" style="8" customWidth="1"/>
    <col min="3" max="3" width="20.90625" style="8" customWidth="1"/>
    <col min="4" max="4" width="84.7265625" style="8" customWidth="1"/>
    <col min="5" max="5" width="17.6328125" style="8" customWidth="1"/>
    <col min="6" max="16384" width="8.7265625" style="8"/>
  </cols>
  <sheetData>
    <row r="1" spans="1:5" ht="21">
      <c r="A1" s="203" t="s">
        <v>1121</v>
      </c>
      <c r="B1" s="203" t="s">
        <v>1123</v>
      </c>
      <c r="C1" s="226" t="s">
        <v>1122</v>
      </c>
      <c r="D1" s="203" t="s">
        <v>382</v>
      </c>
      <c r="E1" s="203" t="s">
        <v>1126</v>
      </c>
    </row>
    <row r="2" spans="1:5" ht="63" customHeight="1">
      <c r="A2" s="529" t="str">
        <f>_xlfn.CONCAT('P1PA-SS'!B138,"(",'P1PA-SS'!B139,")")</f>
        <v>All projects(AP)</v>
      </c>
      <c r="B2" s="228" t="str">
        <f>'Project&amp;Support'!B3</f>
        <v>P1-Falcon9</v>
      </c>
      <c r="C2" s="229">
        <f>'Project&amp;Support'!AB3</f>
        <v>10</v>
      </c>
      <c r="D2" s="228" t="str">
        <f>'Project&amp;Support'!C3</f>
        <v>Falcon project description</v>
      </c>
      <c r="E2" s="529" t="str">
        <f>_xlfn.CONCAT(StartupInfo!B5,", ",StartupInfo!B6,", ",StartupInfo!B7,CHAR(13),CHAR(10),StartupInfo!B8,", ",StartupInfo!B9)</f>
        <v>Room 1, Dome 1, No. 1 First Street, Base Alpha City_x000D_
Tharsis, Planet04</v>
      </c>
    </row>
    <row r="3" spans="1:5" ht="63" customHeight="1">
      <c r="A3" s="529"/>
      <c r="B3" s="228" t="str">
        <f>'Project&amp;Support'!B4</f>
        <v>P2-Raptor</v>
      </c>
      <c r="C3" s="229">
        <f>'Project&amp;Support'!AB4</f>
        <v>11</v>
      </c>
      <c r="D3" s="228" t="str">
        <f>'Project&amp;Support'!C4</f>
        <v>Raptor project description</v>
      </c>
      <c r="E3" s="529"/>
    </row>
    <row r="4" spans="1:5" ht="63" customHeight="1">
      <c r="A4" s="529"/>
      <c r="B4" s="228" t="str">
        <f>'Project&amp;Support'!B5</f>
        <v>P3-Starship</v>
      </c>
      <c r="C4" s="229">
        <f>'Project&amp;Support'!AB5</f>
        <v>9</v>
      </c>
      <c r="D4" s="228" t="str">
        <f>'Project&amp;Support'!C5</f>
        <v>Startship project description</v>
      </c>
      <c r="E4" s="529"/>
    </row>
    <row r="5" spans="1:5" ht="63" customHeight="1">
      <c r="A5" s="529"/>
      <c r="B5" s="228" t="str">
        <f>'Project&amp;Support'!B6</f>
        <v>P4-SupperHeavy</v>
      </c>
      <c r="C5" s="229">
        <f>'Project&amp;Support'!AB6</f>
        <v>7</v>
      </c>
      <c r="D5" s="228" t="str">
        <f>'Project&amp;Support'!C6</f>
        <v>Super Heavy description</v>
      </c>
      <c r="E5" s="529"/>
    </row>
    <row r="6" spans="1:5" ht="42" hidden="1">
      <c r="A6" s="529"/>
      <c r="B6" s="228" t="str">
        <f>'Project&amp;Support'!B7</f>
        <v>S1-CM</v>
      </c>
      <c r="C6" s="229">
        <f>'Project&amp;Support'!AB7</f>
        <v>1</v>
      </c>
      <c r="D6" s="228" t="str">
        <f>'Project&amp;Support'!C7</f>
        <v>The Configuration Management (CM) function, manages baselines for projects and the organisation.</v>
      </c>
      <c r="E6" s="529"/>
    </row>
    <row r="7" spans="1:5" ht="105" hidden="1">
      <c r="A7" s="529"/>
      <c r="B7" s="228" t="str">
        <f>'Project&amp;Support'!B8</f>
        <v>S2-EPG-MA</v>
      </c>
      <c r="C7" s="229">
        <f>'Project&amp;Support'!AB8</f>
        <v>1</v>
      </c>
      <c r="D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7" s="529"/>
    </row>
    <row r="8" spans="1:5" ht="63" hidden="1">
      <c r="A8" s="529"/>
      <c r="B8" s="228" t="str">
        <f>'Project&amp;Support'!B9</f>
        <v>S3-HR</v>
      </c>
      <c r="C8" s="229">
        <f>'Project&amp;Support'!AB9</f>
        <v>1</v>
      </c>
      <c r="D8" s="228" t="str">
        <f>'Project&amp;Support'!C9</f>
        <v>The Human Resources (HR) function is responsible for training, skills and knowledge management. It maintains the records of staff training and training evaluation.</v>
      </c>
      <c r="E8" s="529"/>
    </row>
    <row r="9" spans="1:5" ht="42" hidden="1">
      <c r="A9" s="529"/>
      <c r="B9" s="228" t="str">
        <f>'Project&amp;Support'!B10</f>
        <v>S4-PPQA</v>
      </c>
      <c r="C9" s="229">
        <f>'Project&amp;Support'!AB10</f>
        <v>1</v>
      </c>
      <c r="D9" s="228" t="str">
        <f>'Project&amp;Support'!C10</f>
        <v xml:space="preserve">The Process and Product Quality Assurance (PPQA) team manage and performs process quality assurance. </v>
      </c>
      <c r="E9" s="529"/>
    </row>
    <row r="10" spans="1:5" ht="21" hidden="1">
      <c r="A10" s="529"/>
      <c r="B10" s="228">
        <f>'Project&amp;Support'!B11</f>
        <v>0</v>
      </c>
      <c r="C10" s="229">
        <f>'Project&amp;Support'!AB11</f>
        <v>0</v>
      </c>
      <c r="D10" s="228">
        <f>'Project&amp;Support'!C11</f>
        <v>0</v>
      </c>
      <c r="E10" s="529"/>
    </row>
    <row r="11" spans="1:5" ht="21" hidden="1">
      <c r="A11" s="529"/>
      <c r="B11" s="228">
        <f>'Project&amp;Support'!B12</f>
        <v>0</v>
      </c>
      <c r="C11" s="229">
        <f>'Project&amp;Support'!AB12</f>
        <v>0</v>
      </c>
      <c r="D11" s="228">
        <f>'Project&amp;Support'!C12</f>
        <v>0</v>
      </c>
      <c r="E11" s="529"/>
    </row>
    <row r="12" spans="1:5">
      <c r="A12" s="223"/>
      <c r="B12" s="223"/>
      <c r="C12" s="222"/>
      <c r="D12" s="223"/>
      <c r="E12" s="223"/>
    </row>
    <row r="13" spans="1:5">
      <c r="A13" s="223"/>
      <c r="B13" s="223"/>
      <c r="C13" s="222"/>
      <c r="D13" s="223"/>
      <c r="E13" s="223"/>
    </row>
    <row r="14" spans="1:5">
      <c r="A14" s="223"/>
      <c r="B14" s="223"/>
      <c r="C14" s="222"/>
      <c r="D14" s="223"/>
      <c r="E14" s="223"/>
    </row>
    <row r="15" spans="1:5" ht="21">
      <c r="A15" s="203" t="s">
        <v>1121</v>
      </c>
      <c r="B15" s="203" t="s">
        <v>1124</v>
      </c>
      <c r="C15" s="226" t="s">
        <v>1122</v>
      </c>
      <c r="D15" s="203" t="s">
        <v>382</v>
      </c>
      <c r="E15" s="203"/>
    </row>
    <row r="16" spans="1:5" ht="42">
      <c r="A16" s="526" t="s">
        <v>1125</v>
      </c>
      <c r="B16" s="228" t="str">
        <f>'Project&amp;Support'!B7</f>
        <v>S1-CM</v>
      </c>
      <c r="C16" s="230">
        <f>'Project&amp;Support'!AB7</f>
        <v>1</v>
      </c>
      <c r="D16" s="228" t="str">
        <f>'Project&amp;Support'!C7</f>
        <v>The Configuration Management (CM) function, manages baselines for projects and the organisation.</v>
      </c>
      <c r="E16" s="530" t="str">
        <f>StartupInfo!B11</f>
        <v>Room 1, Dome 1, No. 1 First Street, Base Alpha City, Tharsis, Planet04, China</v>
      </c>
    </row>
    <row r="17" spans="1:5" ht="105">
      <c r="A17" s="527"/>
      <c r="B17" s="228" t="str">
        <f>'Project&amp;Support'!B8</f>
        <v>S2-EPG-MA</v>
      </c>
      <c r="C17" s="230">
        <f>'Project&amp;Support'!AB8</f>
        <v>1</v>
      </c>
      <c r="D17" s="228" t="str">
        <f>'Project&amp;Support'!C8</f>
        <v>The Engineering Process Group (EPG)/Measurement Analysis (MA) team provides process management capability including establishing processes, standards, process measurements, process performance models, performance management baselines and directing its implementation and adoption.</v>
      </c>
      <c r="E17" s="531"/>
    </row>
    <row r="18" spans="1:5" ht="63">
      <c r="A18" s="527"/>
      <c r="B18" s="228" t="str">
        <f>'Project&amp;Support'!B9</f>
        <v>S3-HR</v>
      </c>
      <c r="C18" s="230">
        <f>'Project&amp;Support'!AB9</f>
        <v>1</v>
      </c>
      <c r="D18" s="228" t="str">
        <f>'Project&amp;Support'!C9</f>
        <v>The Human Resources (HR) function is responsible for training, skills and knowledge management. It maintains the records of staff training and training evaluation.</v>
      </c>
      <c r="E18" s="531"/>
    </row>
    <row r="19" spans="1:5" ht="42">
      <c r="A19" s="527"/>
      <c r="B19" s="228" t="str">
        <f>'Project&amp;Support'!B10</f>
        <v>S4-PPQA</v>
      </c>
      <c r="C19" s="230">
        <f>'Project&amp;Support'!AB10</f>
        <v>1</v>
      </c>
      <c r="D19" s="228" t="str">
        <f>'Project&amp;Support'!C10</f>
        <v xml:space="preserve">The Process and Product Quality Assurance (PPQA) team manage and performs process quality assurance. </v>
      </c>
      <c r="E19" s="531"/>
    </row>
    <row r="20" spans="1:5" ht="126" hidden="1" customHeight="1">
      <c r="A20" s="527"/>
      <c r="B20" s="228">
        <f>'Project&amp;Support'!B11</f>
        <v>0</v>
      </c>
      <c r="C20" s="230">
        <f>'Project&amp;Support'!AB11</f>
        <v>0</v>
      </c>
      <c r="D20" s="228">
        <f>'Project&amp;Support'!C11</f>
        <v>0</v>
      </c>
      <c r="E20" s="531"/>
    </row>
    <row r="21" spans="1:5" ht="126" hidden="1" customHeight="1">
      <c r="A21" s="528"/>
      <c r="B21" s="228">
        <f>'Project&amp;Support'!B12</f>
        <v>0</v>
      </c>
      <c r="C21" s="230">
        <f>'Project&amp;Support'!AB12</f>
        <v>0</v>
      </c>
      <c r="D21" s="228">
        <f>'Project&amp;Support'!C12</f>
        <v>0</v>
      </c>
      <c r="E21" s="532"/>
    </row>
    <row r="22" spans="1:5">
      <c r="A22" s="225"/>
      <c r="B22" s="224"/>
      <c r="C22" s="227"/>
      <c r="D22" s="224"/>
      <c r="E22" s="224"/>
    </row>
  </sheetData>
  <mergeCells count="4">
    <mergeCell ref="A16:A21"/>
    <mergeCell ref="E2:E11"/>
    <mergeCell ref="A2:A11"/>
    <mergeCell ref="E16:E21"/>
  </mergeCells>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56CE741-82FB-4B8A-B633-2D097A774BFE}">
  <dimension ref="B2:E13"/>
  <sheetViews>
    <sheetView workbookViewId="0">
      <selection activeCell="D24" sqref="D24"/>
    </sheetView>
  </sheetViews>
  <sheetFormatPr defaultColWidth="8.7265625" defaultRowHeight="15.5"/>
  <cols>
    <col min="1" max="1" width="8.7265625" style="384"/>
    <col min="2" max="2" width="39.7265625" style="384" customWidth="1"/>
    <col min="3" max="3" width="40.1796875" style="384" customWidth="1"/>
    <col min="4" max="4" width="64.26953125" style="384" customWidth="1"/>
    <col min="5" max="5" width="39.7265625" style="384" customWidth="1"/>
    <col min="6" max="16384" width="8.7265625" style="384"/>
  </cols>
  <sheetData>
    <row r="2" spans="2:5">
      <c r="B2" s="382" t="s">
        <v>1108</v>
      </c>
      <c r="C2" s="382" t="s">
        <v>1109</v>
      </c>
      <c r="D2" s="382" t="s">
        <v>1110</v>
      </c>
      <c r="E2" s="382" t="s">
        <v>848</v>
      </c>
    </row>
    <row r="3" spans="2:5" s="218" customFormat="1" ht="30" customHeight="1">
      <c r="B3" s="405" t="s">
        <v>593</v>
      </c>
      <c r="C3" s="405" t="str">
        <f>'Agreement 3'!B28</f>
        <v>Prof Kessler, Donald</v>
      </c>
      <c r="D3" s="405"/>
      <c r="E3" s="406">
        <f>'P1PA-SS'!B69</f>
        <v>44302</v>
      </c>
    </row>
    <row r="4" spans="2:5" s="218" customFormat="1" ht="30" customHeight="1">
      <c r="B4" s="405" t="s">
        <v>1112</v>
      </c>
      <c r="C4" s="405" t="str">
        <f>'Agreement 3'!B7</f>
        <v>van Zyl, Pieter</v>
      </c>
      <c r="D4" s="405"/>
      <c r="E4" s="406">
        <f>E3</f>
        <v>44302</v>
      </c>
    </row>
    <row r="5" spans="2:5" s="218" customFormat="1" ht="30" customHeight="1">
      <c r="B5" s="405" t="s">
        <v>1111</v>
      </c>
      <c r="C5" s="405" t="str">
        <f>'P1PA-SS'!B91</f>
        <v>ATM-1</v>
      </c>
      <c r="D5" s="405"/>
      <c r="E5" s="406">
        <f>E4</f>
        <v>44302</v>
      </c>
    </row>
    <row r="6" spans="2:5" s="218" customFormat="1" ht="30" customHeight="1">
      <c r="B6" s="405" t="s">
        <v>1111</v>
      </c>
      <c r="C6" s="405" t="str">
        <f>'P1PA-SS'!B92</f>
        <v>ATM-2</v>
      </c>
      <c r="D6" s="405"/>
      <c r="E6" s="406">
        <f>E5</f>
        <v>44302</v>
      </c>
    </row>
    <row r="7" spans="2:5" s="218" customFormat="1" ht="30" customHeight="1">
      <c r="B7" s="405" t="s">
        <v>1111</v>
      </c>
      <c r="C7" s="405" t="str">
        <f>'P1PA-SS'!B93</f>
        <v>ATM-3</v>
      </c>
      <c r="D7" s="405"/>
      <c r="E7" s="406">
        <f t="shared" ref="E7:E13" si="0">E6</f>
        <v>44302</v>
      </c>
    </row>
    <row r="8" spans="2:5" s="218" customFormat="1" ht="30" customHeight="1">
      <c r="B8" s="405" t="s">
        <v>1111</v>
      </c>
      <c r="C8" s="405" t="str">
        <f>'P1PA-SS'!B94</f>
        <v>ATM-4</v>
      </c>
      <c r="D8" s="405"/>
      <c r="E8" s="406">
        <f t="shared" si="0"/>
        <v>44302</v>
      </c>
    </row>
    <row r="9" spans="2:5" s="218" customFormat="1" ht="30" customHeight="1">
      <c r="B9" s="405" t="s">
        <v>1111</v>
      </c>
      <c r="C9" s="405" t="str">
        <f>'P1PA-SS'!B95</f>
        <v>ATM-5</v>
      </c>
      <c r="D9" s="405"/>
      <c r="E9" s="406">
        <f t="shared" si="0"/>
        <v>44302</v>
      </c>
    </row>
    <row r="10" spans="2:5" s="218" customFormat="1" ht="30" customHeight="1">
      <c r="B10" s="405" t="s">
        <v>1111</v>
      </c>
      <c r="C10" s="405" t="str">
        <f>'P1PA-SS'!B96</f>
        <v>ATM-6</v>
      </c>
      <c r="D10" s="405"/>
      <c r="E10" s="406">
        <f t="shared" si="0"/>
        <v>44302</v>
      </c>
    </row>
    <row r="11" spans="2:5" s="218" customFormat="1" ht="30" customHeight="1">
      <c r="B11" s="405" t="s">
        <v>1111</v>
      </c>
      <c r="C11" s="405" t="str">
        <f>'P1PA-SS'!B97</f>
        <v>ATM-7</v>
      </c>
      <c r="D11" s="405"/>
      <c r="E11" s="406">
        <f t="shared" si="0"/>
        <v>44302</v>
      </c>
    </row>
    <row r="12" spans="2:5" s="218" customFormat="1" ht="30" customHeight="1">
      <c r="B12" s="405" t="s">
        <v>1111</v>
      </c>
      <c r="C12" s="405" t="str">
        <f>'P1PA-SS'!B98</f>
        <v>ATM-8</v>
      </c>
      <c r="D12" s="405"/>
      <c r="E12" s="406">
        <f t="shared" si="0"/>
        <v>44302</v>
      </c>
    </row>
    <row r="13" spans="2:5" s="218" customFormat="1" ht="30" customHeight="1">
      <c r="B13" s="405" t="s">
        <v>1111</v>
      </c>
      <c r="C13" s="405" t="str">
        <f>'P1PA-SS'!B99</f>
        <v>ATM-9</v>
      </c>
      <c r="D13" s="405"/>
      <c r="E13" s="406">
        <f t="shared" si="0"/>
        <v>44302</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E05204-AB92-4FF2-87F0-EC94900FE18F}">
  <dimension ref="B1:M108"/>
  <sheetViews>
    <sheetView topLeftCell="B1" workbookViewId="0">
      <selection activeCell="B24" sqref="A24:XFD32"/>
    </sheetView>
  </sheetViews>
  <sheetFormatPr defaultColWidth="8.7265625" defaultRowHeight="15.5"/>
  <cols>
    <col min="1" max="1" width="8.7265625" style="384"/>
    <col min="2" max="2" width="9.453125" style="384" customWidth="1"/>
    <col min="3" max="3" width="54.54296875" style="218" customWidth="1"/>
    <col min="4" max="4" width="61" style="218" customWidth="1"/>
    <col min="5" max="16384" width="8.7265625" style="384"/>
  </cols>
  <sheetData>
    <row r="1" spans="2:13">
      <c r="E1" s="383"/>
      <c r="F1" s="383"/>
      <c r="G1" s="383"/>
      <c r="H1" s="383"/>
      <c r="I1" s="383"/>
      <c r="J1" s="383"/>
      <c r="K1" s="383"/>
      <c r="L1" s="383"/>
      <c r="M1" s="383"/>
    </row>
    <row r="2" spans="2:13">
      <c r="B2" s="533" t="s">
        <v>1118</v>
      </c>
      <c r="C2" s="534"/>
      <c r="D2" s="534"/>
      <c r="E2" s="383"/>
      <c r="F2" s="383"/>
      <c r="G2" s="383"/>
      <c r="H2" s="383"/>
      <c r="I2" s="383"/>
      <c r="J2" s="383"/>
      <c r="K2" s="383"/>
      <c r="L2" s="383"/>
      <c r="M2" s="383"/>
    </row>
    <row r="3" spans="2:13" ht="31">
      <c r="B3" s="410">
        <v>1</v>
      </c>
      <c r="C3" s="405" t="s">
        <v>1213</v>
      </c>
      <c r="D3" s="405" t="s">
        <v>1214</v>
      </c>
    </row>
    <row r="4" spans="2:13" ht="31">
      <c r="B4" s="410">
        <v>2</v>
      </c>
      <c r="C4" s="405" t="s">
        <v>1215</v>
      </c>
      <c r="D4" s="405" t="s">
        <v>1216</v>
      </c>
    </row>
    <row r="5" spans="2:13" ht="31">
      <c r="B5" s="410">
        <v>3</v>
      </c>
      <c r="C5" s="405" t="s">
        <v>1217</v>
      </c>
      <c r="D5" s="405" t="s">
        <v>1218</v>
      </c>
    </row>
    <row r="6" spans="2:13">
      <c r="B6" s="410">
        <v>4</v>
      </c>
      <c r="C6" s="405" t="s">
        <v>1119</v>
      </c>
      <c r="D6" s="405" t="s">
        <v>1120</v>
      </c>
    </row>
    <row r="7" spans="2:13" ht="31">
      <c r="B7" s="410">
        <v>5</v>
      </c>
      <c r="C7" s="405" t="s">
        <v>1219</v>
      </c>
      <c r="D7" s="405" t="s">
        <v>1220</v>
      </c>
    </row>
    <row r="8" spans="2:13" hidden="1">
      <c r="B8" s="410">
        <v>6</v>
      </c>
      <c r="C8" s="405"/>
      <c r="D8" s="405"/>
    </row>
    <row r="9" spans="2:13" hidden="1">
      <c r="B9" s="410">
        <v>7</v>
      </c>
      <c r="C9" s="405"/>
      <c r="D9" s="405"/>
    </row>
    <row r="10" spans="2:13" hidden="1">
      <c r="B10" s="410">
        <v>8</v>
      </c>
      <c r="C10" s="405"/>
      <c r="D10" s="405"/>
    </row>
    <row r="11" spans="2:13" hidden="1">
      <c r="B11" s="410">
        <v>9</v>
      </c>
      <c r="C11" s="405"/>
      <c r="D11" s="405"/>
    </row>
    <row r="12" spans="2:13" hidden="1">
      <c r="B12" s="410">
        <v>10</v>
      </c>
      <c r="C12" s="405"/>
      <c r="D12" s="405"/>
    </row>
    <row r="13" spans="2:13" hidden="1">
      <c r="B13" s="410">
        <v>11</v>
      </c>
      <c r="C13" s="405"/>
      <c r="D13" s="405"/>
    </row>
    <row r="14" spans="2:13" hidden="1">
      <c r="B14" s="410">
        <v>12</v>
      </c>
      <c r="C14" s="405"/>
      <c r="D14" s="405"/>
    </row>
    <row r="15" spans="2:13" hidden="1">
      <c r="B15" s="410">
        <v>13</v>
      </c>
      <c r="C15" s="405"/>
      <c r="D15" s="405"/>
    </row>
    <row r="16" spans="2:13" hidden="1">
      <c r="B16" s="410">
        <v>14</v>
      </c>
      <c r="C16" s="405"/>
      <c r="D16" s="405"/>
    </row>
    <row r="17" spans="2:4">
      <c r="B17" s="217"/>
      <c r="D17" s="407"/>
    </row>
    <row r="18" spans="2:4">
      <c r="B18" s="533" t="s">
        <v>1117</v>
      </c>
      <c r="C18" s="534"/>
      <c r="D18" s="534"/>
    </row>
    <row r="19" spans="2:4" ht="31">
      <c r="B19" s="410">
        <v>1</v>
      </c>
      <c r="C19" s="405" t="s">
        <v>1221</v>
      </c>
      <c r="D19" s="405" t="s">
        <v>1222</v>
      </c>
    </row>
    <row r="20" spans="2:4" ht="46.5">
      <c r="B20" s="410">
        <v>2</v>
      </c>
      <c r="C20" s="405" t="s">
        <v>1223</v>
      </c>
      <c r="D20" s="405" t="s">
        <v>1224</v>
      </c>
    </row>
    <row r="21" spans="2:4" ht="46.5">
      <c r="B21" s="410">
        <v>3</v>
      </c>
      <c r="C21" s="405" t="s">
        <v>1225</v>
      </c>
      <c r="D21" s="405" t="s">
        <v>1226</v>
      </c>
    </row>
    <row r="22" spans="2:4" ht="46.5">
      <c r="B22" s="410">
        <v>4</v>
      </c>
      <c r="C22" s="405" t="s">
        <v>1227</v>
      </c>
      <c r="D22" s="405" t="s">
        <v>1228</v>
      </c>
    </row>
    <row r="23" spans="2:4" ht="46.5">
      <c r="B23" s="410">
        <v>5</v>
      </c>
      <c r="C23" s="405" t="s">
        <v>1229</v>
      </c>
      <c r="D23" s="405" t="s">
        <v>1230</v>
      </c>
    </row>
    <row r="24" spans="2:4" hidden="1">
      <c r="B24" s="410">
        <v>6</v>
      </c>
      <c r="C24" s="405"/>
      <c r="D24" s="405"/>
    </row>
    <row r="25" spans="2:4" hidden="1">
      <c r="B25" s="410">
        <v>7</v>
      </c>
      <c r="C25" s="405"/>
      <c r="D25" s="405"/>
    </row>
    <row r="26" spans="2:4" hidden="1">
      <c r="B26" s="410">
        <v>8</v>
      </c>
      <c r="C26" s="405"/>
      <c r="D26" s="405"/>
    </row>
    <row r="27" spans="2:4" hidden="1">
      <c r="B27" s="410">
        <v>9</v>
      </c>
      <c r="C27" s="405"/>
      <c r="D27" s="405"/>
    </row>
    <row r="28" spans="2:4" hidden="1">
      <c r="B28" s="410">
        <v>10</v>
      </c>
      <c r="C28" s="405"/>
      <c r="D28" s="405"/>
    </row>
    <row r="29" spans="2:4" hidden="1">
      <c r="B29" s="410">
        <v>11</v>
      </c>
      <c r="C29" s="405"/>
      <c r="D29" s="405"/>
    </row>
    <row r="30" spans="2:4" hidden="1">
      <c r="B30" s="410">
        <v>12</v>
      </c>
      <c r="C30" s="405"/>
      <c r="D30" s="405"/>
    </row>
    <row r="31" spans="2:4" hidden="1">
      <c r="B31" s="410">
        <v>13</v>
      </c>
      <c r="C31" s="405"/>
      <c r="D31" s="405"/>
    </row>
    <row r="32" spans="2:4" hidden="1">
      <c r="B32" s="410">
        <v>14</v>
      </c>
      <c r="C32" s="405"/>
      <c r="D32" s="405"/>
    </row>
    <row r="33" spans="2:4">
      <c r="B33" s="216"/>
      <c r="C33" s="411"/>
      <c r="D33" s="408"/>
    </row>
    <row r="95" spans="2:4" s="409" customFormat="1">
      <c r="B95" s="384"/>
      <c r="C95" s="218"/>
      <c r="D95" s="218"/>
    </row>
    <row r="96" spans="2:4" s="409" customFormat="1">
      <c r="B96" s="384"/>
      <c r="C96" s="218"/>
      <c r="D96" s="218"/>
    </row>
    <row r="107" spans="2:4">
      <c r="B107" s="409"/>
      <c r="C107" s="407"/>
      <c r="D107" s="407"/>
    </row>
    <row r="108" spans="2:4">
      <c r="B108" s="409"/>
      <c r="C108" s="407"/>
      <c r="D108" s="407"/>
    </row>
  </sheetData>
  <mergeCells count="2">
    <mergeCell ref="B2:D2"/>
    <mergeCell ref="B18:D18"/>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0F873B-9EB2-4945-A9B1-21D1087A2049}">
  <sheetPr codeName="Sheet9"/>
  <dimension ref="B2:AN258"/>
  <sheetViews>
    <sheetView topLeftCell="W1" workbookViewId="0">
      <selection activeCell="AN5" sqref="AN5:AN6"/>
    </sheetView>
  </sheetViews>
  <sheetFormatPr defaultRowHeight="14.5"/>
  <cols>
    <col min="2" max="2" width="22.453125" customWidth="1"/>
    <col min="4" max="4" width="45.453125" customWidth="1"/>
    <col min="5" max="5" width="14.453125" customWidth="1"/>
    <col min="6" max="6" width="16.81640625" customWidth="1"/>
    <col min="18" max="18" width="21" customWidth="1"/>
    <col min="37" max="37" width="10.7265625" customWidth="1"/>
  </cols>
  <sheetData>
    <row r="2" spans="2:40">
      <c r="B2" s="9" t="s">
        <v>289</v>
      </c>
    </row>
    <row r="4" spans="2:40">
      <c r="B4" s="10" t="s">
        <v>17</v>
      </c>
      <c r="D4" s="10" t="s">
        <v>292</v>
      </c>
      <c r="F4" s="10" t="s">
        <v>405</v>
      </c>
      <c r="H4" s="10" t="s">
        <v>413</v>
      </c>
      <c r="J4" s="10" t="s">
        <v>421</v>
      </c>
      <c r="L4" s="10" t="s">
        <v>428</v>
      </c>
      <c r="N4" s="10" t="s">
        <v>438</v>
      </c>
      <c r="P4" s="10" t="s">
        <v>582</v>
      </c>
      <c r="R4" s="10" t="s">
        <v>606</v>
      </c>
      <c r="T4" s="10" t="s">
        <v>610</v>
      </c>
      <c r="V4" s="10" t="s">
        <v>622</v>
      </c>
      <c r="X4" s="10" t="s">
        <v>635</v>
      </c>
      <c r="Z4" s="10" t="s">
        <v>640</v>
      </c>
      <c r="AB4" s="10" t="s">
        <v>666</v>
      </c>
      <c r="AD4" s="10" t="s">
        <v>669</v>
      </c>
      <c r="AF4" s="10" t="s">
        <v>686</v>
      </c>
      <c r="AH4" s="10" t="s">
        <v>705</v>
      </c>
      <c r="AJ4" s="25" t="s">
        <v>728</v>
      </c>
      <c r="AL4" s="25" t="s">
        <v>1171</v>
      </c>
      <c r="AN4" s="25" t="s">
        <v>1666</v>
      </c>
    </row>
    <row r="5" spans="2:40">
      <c r="B5" t="s">
        <v>36</v>
      </c>
      <c r="D5" t="s">
        <v>293</v>
      </c>
      <c r="E5" t="s">
        <v>411</v>
      </c>
      <c r="F5" t="s">
        <v>406</v>
      </c>
      <c r="H5" t="s">
        <v>414</v>
      </c>
      <c r="J5" t="s">
        <v>422</v>
      </c>
      <c r="L5" t="s">
        <v>429</v>
      </c>
      <c r="N5" t="s">
        <v>443</v>
      </c>
      <c r="P5" t="s">
        <v>583</v>
      </c>
      <c r="R5" t="s">
        <v>607</v>
      </c>
      <c r="T5" s="16" t="s">
        <v>612</v>
      </c>
      <c r="V5" t="s">
        <v>623</v>
      </c>
      <c r="X5" t="s">
        <v>636</v>
      </c>
      <c r="Z5" t="s">
        <v>641</v>
      </c>
      <c r="AB5" t="s">
        <v>660</v>
      </c>
      <c r="AD5" t="s">
        <v>420</v>
      </c>
      <c r="AF5" t="s">
        <v>687</v>
      </c>
      <c r="AH5" t="s">
        <v>706</v>
      </c>
      <c r="AJ5" s="16" t="s">
        <v>729</v>
      </c>
      <c r="AL5" t="s">
        <v>795</v>
      </c>
      <c r="AN5" t="s">
        <v>735</v>
      </c>
    </row>
    <row r="6" spans="2:40">
      <c r="B6" t="s">
        <v>272</v>
      </c>
      <c r="D6" t="s">
        <v>294</v>
      </c>
      <c r="E6" t="s">
        <v>411</v>
      </c>
      <c r="F6" t="s">
        <v>407</v>
      </c>
      <c r="H6" t="s">
        <v>415</v>
      </c>
      <c r="J6" t="s">
        <v>423</v>
      </c>
      <c r="L6" t="s">
        <v>430</v>
      </c>
      <c r="N6" t="s">
        <v>444</v>
      </c>
      <c r="P6" t="s">
        <v>584</v>
      </c>
      <c r="R6" t="s">
        <v>608</v>
      </c>
      <c r="T6" s="16" t="s">
        <v>613</v>
      </c>
      <c r="V6" t="s">
        <v>624</v>
      </c>
      <c r="X6" t="s">
        <v>637</v>
      </c>
      <c r="Z6" t="s">
        <v>642</v>
      </c>
      <c r="AB6" t="s">
        <v>661</v>
      </c>
      <c r="AD6" t="s">
        <v>670</v>
      </c>
      <c r="AF6" t="s">
        <v>700</v>
      </c>
      <c r="AH6" t="s">
        <v>707</v>
      </c>
      <c r="AJ6" s="16" t="s">
        <v>730</v>
      </c>
      <c r="AL6" t="s">
        <v>796</v>
      </c>
      <c r="AN6" t="s">
        <v>1012</v>
      </c>
    </row>
    <row r="7" spans="2:40">
      <c r="B7" t="s">
        <v>37</v>
      </c>
      <c r="D7" t="s">
        <v>295</v>
      </c>
      <c r="E7" t="s">
        <v>411</v>
      </c>
      <c r="F7" t="s">
        <v>408</v>
      </c>
      <c r="H7" t="s">
        <v>416</v>
      </c>
      <c r="J7" t="s">
        <v>424</v>
      </c>
      <c r="L7" t="s">
        <v>431</v>
      </c>
      <c r="N7" t="s">
        <v>445</v>
      </c>
      <c r="P7" t="s">
        <v>585</v>
      </c>
      <c r="R7" t="s">
        <v>609</v>
      </c>
      <c r="T7" s="16" t="s">
        <v>614</v>
      </c>
      <c r="V7" t="s">
        <v>625</v>
      </c>
      <c r="X7" t="s">
        <v>638</v>
      </c>
      <c r="Z7" t="s">
        <v>643</v>
      </c>
      <c r="AB7" t="s">
        <v>662</v>
      </c>
      <c r="AD7" t="s">
        <v>671</v>
      </c>
      <c r="AF7" t="s">
        <v>688</v>
      </c>
      <c r="AH7" t="s">
        <v>708</v>
      </c>
      <c r="AJ7" s="16" t="s">
        <v>731</v>
      </c>
      <c r="AL7" t="s">
        <v>797</v>
      </c>
    </row>
    <row r="8" spans="2:40">
      <c r="B8" t="s">
        <v>38</v>
      </c>
      <c r="D8" t="s">
        <v>296</v>
      </c>
      <c r="E8" t="s">
        <v>411</v>
      </c>
      <c r="F8" t="s">
        <v>409</v>
      </c>
      <c r="H8" t="s">
        <v>417</v>
      </c>
      <c r="J8" t="s">
        <v>425</v>
      </c>
      <c r="L8" t="s">
        <v>432</v>
      </c>
      <c r="N8" t="s">
        <v>446</v>
      </c>
      <c r="T8" s="16" t="s">
        <v>615</v>
      </c>
      <c r="V8" t="s">
        <v>626</v>
      </c>
      <c r="X8" t="s">
        <v>639</v>
      </c>
      <c r="Z8" t="s">
        <v>644</v>
      </c>
      <c r="AB8" t="s">
        <v>663</v>
      </c>
      <c r="AD8" t="s">
        <v>672</v>
      </c>
      <c r="AF8" t="s">
        <v>689</v>
      </c>
      <c r="AH8" t="s">
        <v>709</v>
      </c>
      <c r="AJ8" s="16" t="s">
        <v>733</v>
      </c>
      <c r="AL8" t="s">
        <v>672</v>
      </c>
    </row>
    <row r="9" spans="2:40">
      <c r="B9" t="s">
        <v>39</v>
      </c>
      <c r="D9" t="s">
        <v>297</v>
      </c>
      <c r="E9" t="s">
        <v>411</v>
      </c>
      <c r="F9" t="s">
        <v>410</v>
      </c>
      <c r="H9" t="s">
        <v>418</v>
      </c>
      <c r="L9" t="s">
        <v>433</v>
      </c>
      <c r="N9" t="s">
        <v>447</v>
      </c>
      <c r="T9" s="16" t="s">
        <v>616</v>
      </c>
      <c r="V9" t="s">
        <v>434</v>
      </c>
      <c r="X9" t="s">
        <v>434</v>
      </c>
      <c r="Z9" t="s">
        <v>645</v>
      </c>
      <c r="AB9" t="s">
        <v>664</v>
      </c>
      <c r="AD9" t="s">
        <v>673</v>
      </c>
      <c r="AF9" t="s">
        <v>690</v>
      </c>
      <c r="AH9" t="s">
        <v>434</v>
      </c>
      <c r="AJ9" s="16" t="s">
        <v>732</v>
      </c>
      <c r="AL9" t="s">
        <v>1172</v>
      </c>
    </row>
    <row r="10" spans="2:40">
      <c r="B10" t="s">
        <v>40</v>
      </c>
      <c r="D10" t="s">
        <v>298</v>
      </c>
      <c r="E10" t="s">
        <v>411</v>
      </c>
      <c r="L10" t="s">
        <v>434</v>
      </c>
      <c r="N10" t="s">
        <v>448</v>
      </c>
      <c r="T10" s="16" t="s">
        <v>617</v>
      </c>
      <c r="Z10" t="s">
        <v>646</v>
      </c>
      <c r="AB10" t="s">
        <v>665</v>
      </c>
      <c r="AD10" t="s">
        <v>674</v>
      </c>
      <c r="AF10" t="s">
        <v>691</v>
      </c>
      <c r="AJ10" s="16" t="s">
        <v>434</v>
      </c>
      <c r="AL10" t="s">
        <v>434</v>
      </c>
    </row>
    <row r="11" spans="2:40">
      <c r="B11" t="s">
        <v>41</v>
      </c>
      <c r="D11" t="s">
        <v>299</v>
      </c>
      <c r="E11" t="s">
        <v>411</v>
      </c>
      <c r="N11" t="s">
        <v>449</v>
      </c>
      <c r="T11" s="16" t="s">
        <v>434</v>
      </c>
      <c r="Z11" t="s">
        <v>647</v>
      </c>
      <c r="AB11" t="s">
        <v>434</v>
      </c>
      <c r="AD11" t="s">
        <v>434</v>
      </c>
      <c r="AF11" t="s">
        <v>692</v>
      </c>
    </row>
    <row r="12" spans="2:40">
      <c r="B12" t="s">
        <v>42</v>
      </c>
      <c r="D12" t="s">
        <v>300</v>
      </c>
      <c r="E12" t="s">
        <v>411</v>
      </c>
      <c r="N12" t="s">
        <v>450</v>
      </c>
      <c r="Z12" t="s">
        <v>648</v>
      </c>
      <c r="AF12" t="s">
        <v>693</v>
      </c>
    </row>
    <row r="13" spans="2:40">
      <c r="B13" t="s">
        <v>43</v>
      </c>
      <c r="D13" t="s">
        <v>301</v>
      </c>
      <c r="E13" t="s">
        <v>411</v>
      </c>
      <c r="N13" t="s">
        <v>451</v>
      </c>
      <c r="Z13" t="s">
        <v>649</v>
      </c>
      <c r="AF13" t="s">
        <v>694</v>
      </c>
    </row>
    <row r="14" spans="2:40">
      <c r="B14" t="s">
        <v>273</v>
      </c>
      <c r="D14" t="s">
        <v>302</v>
      </c>
      <c r="E14" t="s">
        <v>411</v>
      </c>
      <c r="N14" t="s">
        <v>452</v>
      </c>
      <c r="Z14" t="s">
        <v>650</v>
      </c>
      <c r="AF14" t="s">
        <v>695</v>
      </c>
    </row>
    <row r="15" spans="2:40">
      <c r="B15" t="s">
        <v>44</v>
      </c>
      <c r="D15" t="s">
        <v>303</v>
      </c>
      <c r="E15" t="s">
        <v>411</v>
      </c>
      <c r="N15" t="s">
        <v>453</v>
      </c>
      <c r="Z15" t="s">
        <v>651</v>
      </c>
      <c r="AF15" t="s">
        <v>696</v>
      </c>
    </row>
    <row r="16" spans="2:40">
      <c r="B16" t="s">
        <v>45</v>
      </c>
      <c r="D16" t="s">
        <v>304</v>
      </c>
      <c r="E16" t="s">
        <v>411</v>
      </c>
      <c r="N16" t="s">
        <v>454</v>
      </c>
      <c r="Z16" t="s">
        <v>652</v>
      </c>
      <c r="AF16" t="s">
        <v>697</v>
      </c>
    </row>
    <row r="17" spans="2:32">
      <c r="B17" t="s">
        <v>46</v>
      </c>
      <c r="D17" t="s">
        <v>305</v>
      </c>
      <c r="E17" t="s">
        <v>411</v>
      </c>
      <c r="N17" t="s">
        <v>455</v>
      </c>
      <c r="Z17" t="s">
        <v>653</v>
      </c>
      <c r="AF17" t="s">
        <v>698</v>
      </c>
    </row>
    <row r="18" spans="2:32">
      <c r="B18" t="s">
        <v>47</v>
      </c>
      <c r="D18" t="s">
        <v>306</v>
      </c>
      <c r="E18" t="s">
        <v>411</v>
      </c>
      <c r="N18" t="s">
        <v>456</v>
      </c>
      <c r="AF18" t="s">
        <v>699</v>
      </c>
    </row>
    <row r="19" spans="2:32">
      <c r="B19" t="s">
        <v>48</v>
      </c>
      <c r="D19" t="s">
        <v>307</v>
      </c>
      <c r="E19" t="s">
        <v>411</v>
      </c>
      <c r="N19" t="s">
        <v>457</v>
      </c>
      <c r="AF19" t="s">
        <v>434</v>
      </c>
    </row>
    <row r="20" spans="2:32">
      <c r="B20" t="s">
        <v>49</v>
      </c>
      <c r="D20" t="s">
        <v>308</v>
      </c>
      <c r="E20" t="s">
        <v>411</v>
      </c>
      <c r="N20" t="s">
        <v>458</v>
      </c>
    </row>
    <row r="21" spans="2:32">
      <c r="B21" t="s">
        <v>50</v>
      </c>
      <c r="D21" t="s">
        <v>309</v>
      </c>
      <c r="E21" t="s">
        <v>411</v>
      </c>
      <c r="N21" t="s">
        <v>459</v>
      </c>
    </row>
    <row r="22" spans="2:32">
      <c r="B22" t="s">
        <v>51</v>
      </c>
      <c r="D22" t="s">
        <v>310</v>
      </c>
      <c r="E22" t="s">
        <v>411</v>
      </c>
      <c r="N22" t="s">
        <v>460</v>
      </c>
    </row>
    <row r="23" spans="2:32">
      <c r="B23" t="s">
        <v>52</v>
      </c>
      <c r="D23" t="s">
        <v>311</v>
      </c>
      <c r="E23" t="s">
        <v>411</v>
      </c>
      <c r="N23" t="s">
        <v>461</v>
      </c>
    </row>
    <row r="24" spans="2:32">
      <c r="B24" t="s">
        <v>53</v>
      </c>
      <c r="D24" t="s">
        <v>312</v>
      </c>
      <c r="E24" t="s">
        <v>411</v>
      </c>
      <c r="N24" t="s">
        <v>462</v>
      </c>
    </row>
    <row r="25" spans="2:32">
      <c r="B25" t="s">
        <v>54</v>
      </c>
      <c r="D25" t="s">
        <v>313</v>
      </c>
      <c r="E25" t="s">
        <v>411</v>
      </c>
      <c r="N25" t="s">
        <v>463</v>
      </c>
    </row>
    <row r="26" spans="2:32">
      <c r="B26" t="s">
        <v>55</v>
      </c>
      <c r="D26" t="s">
        <v>314</v>
      </c>
      <c r="E26" t="s">
        <v>411</v>
      </c>
      <c r="N26" t="s">
        <v>464</v>
      </c>
    </row>
    <row r="27" spans="2:32">
      <c r="B27" t="s">
        <v>56</v>
      </c>
      <c r="D27" t="s">
        <v>315</v>
      </c>
      <c r="E27" t="s">
        <v>411</v>
      </c>
      <c r="N27" t="s">
        <v>465</v>
      </c>
    </row>
    <row r="28" spans="2:32">
      <c r="B28" t="s">
        <v>57</v>
      </c>
      <c r="D28" t="s">
        <v>316</v>
      </c>
      <c r="E28" t="s">
        <v>411</v>
      </c>
      <c r="N28" t="s">
        <v>466</v>
      </c>
    </row>
    <row r="29" spans="2:32">
      <c r="B29" t="s">
        <v>58</v>
      </c>
      <c r="D29" t="s">
        <v>317</v>
      </c>
      <c r="E29" t="s">
        <v>411</v>
      </c>
      <c r="N29" t="s">
        <v>467</v>
      </c>
    </row>
    <row r="30" spans="2:32">
      <c r="B30" t="s">
        <v>59</v>
      </c>
      <c r="D30" t="s">
        <v>318</v>
      </c>
      <c r="E30" t="s">
        <v>411</v>
      </c>
      <c r="N30" t="s">
        <v>468</v>
      </c>
    </row>
    <row r="31" spans="2:32">
      <c r="B31" t="s">
        <v>60</v>
      </c>
      <c r="D31" t="s">
        <v>319</v>
      </c>
      <c r="E31" t="s">
        <v>411</v>
      </c>
      <c r="N31" t="s">
        <v>469</v>
      </c>
    </row>
    <row r="32" spans="2:32">
      <c r="B32" t="s">
        <v>61</v>
      </c>
      <c r="D32" t="s">
        <v>320</v>
      </c>
      <c r="E32" t="s">
        <v>411</v>
      </c>
      <c r="N32" t="s">
        <v>470</v>
      </c>
    </row>
    <row r="33" spans="2:31">
      <c r="B33" t="s">
        <v>274</v>
      </c>
      <c r="D33" t="s">
        <v>321</v>
      </c>
      <c r="E33" t="s">
        <v>411</v>
      </c>
      <c r="N33" t="s">
        <v>471</v>
      </c>
    </row>
    <row r="34" spans="2:31">
      <c r="B34" t="s">
        <v>62</v>
      </c>
      <c r="D34" t="s">
        <v>322</v>
      </c>
      <c r="E34" t="s">
        <v>411</v>
      </c>
      <c r="N34" t="s">
        <v>472</v>
      </c>
    </row>
    <row r="35" spans="2:31">
      <c r="B35" t="s">
        <v>63</v>
      </c>
      <c r="D35" t="s">
        <v>323</v>
      </c>
      <c r="E35" t="s">
        <v>411</v>
      </c>
      <c r="N35" t="s">
        <v>473</v>
      </c>
    </row>
    <row r="36" spans="2:31">
      <c r="B36" t="s">
        <v>64</v>
      </c>
      <c r="D36" t="s">
        <v>324</v>
      </c>
      <c r="E36" t="s">
        <v>411</v>
      </c>
      <c r="N36" t="s">
        <v>474</v>
      </c>
      <c r="U36" s="76" t="s">
        <v>947</v>
      </c>
      <c r="V36" s="76">
        <v>1</v>
      </c>
      <c r="W36" s="76">
        <v>2</v>
      </c>
      <c r="X36" s="76">
        <v>3</v>
      </c>
      <c r="Y36" s="76">
        <v>4</v>
      </c>
      <c r="Z36" s="76">
        <v>5</v>
      </c>
    </row>
    <row r="37" spans="2:31">
      <c r="B37" t="s">
        <v>65</v>
      </c>
      <c r="D37" t="s">
        <v>325</v>
      </c>
      <c r="E37" t="s">
        <v>411</v>
      </c>
      <c r="N37" t="s">
        <v>475</v>
      </c>
      <c r="U37" t="s">
        <v>895</v>
      </c>
      <c r="V37">
        <f t="shared" ref="V37:V56" si="0">AA37</f>
        <v>1</v>
      </c>
      <c r="W37">
        <f t="shared" ref="W37:Z56" si="1">V37+AB37</f>
        <v>3</v>
      </c>
      <c r="X37">
        <f t="shared" si="1"/>
        <v>8</v>
      </c>
      <c r="Y37">
        <f t="shared" si="1"/>
        <v>10</v>
      </c>
      <c r="Z37">
        <f>Y37+AE37</f>
        <v>11</v>
      </c>
      <c r="AA37">
        <v>1</v>
      </c>
      <c r="AB37">
        <v>2</v>
      </c>
      <c r="AC37">
        <v>5</v>
      </c>
      <c r="AD37">
        <v>2</v>
      </c>
      <c r="AE37">
        <v>1</v>
      </c>
    </row>
    <row r="38" spans="2:31">
      <c r="B38" t="s">
        <v>66</v>
      </c>
      <c r="D38" t="s">
        <v>326</v>
      </c>
      <c r="E38" t="s">
        <v>411</v>
      </c>
      <c r="N38" t="s">
        <v>476</v>
      </c>
      <c r="U38" t="s">
        <v>751</v>
      </c>
      <c r="V38">
        <f t="shared" si="0"/>
        <v>1</v>
      </c>
      <c r="W38">
        <f t="shared" si="1"/>
        <v>7</v>
      </c>
      <c r="X38">
        <f t="shared" si="1"/>
        <v>7</v>
      </c>
      <c r="Y38">
        <f t="shared" si="1"/>
        <v>7</v>
      </c>
      <c r="Z38">
        <f t="shared" si="1"/>
        <v>7</v>
      </c>
      <c r="AA38">
        <v>1</v>
      </c>
      <c r="AB38">
        <v>6</v>
      </c>
    </row>
    <row r="39" spans="2:31">
      <c r="B39" t="s">
        <v>67</v>
      </c>
      <c r="D39" t="s">
        <v>327</v>
      </c>
      <c r="E39" t="s">
        <v>411</v>
      </c>
      <c r="N39" t="s">
        <v>477</v>
      </c>
      <c r="U39" t="s">
        <v>896</v>
      </c>
      <c r="V39">
        <f t="shared" si="0"/>
        <v>2</v>
      </c>
      <c r="W39">
        <f t="shared" si="1"/>
        <v>7</v>
      </c>
      <c r="X39">
        <f t="shared" si="1"/>
        <v>8</v>
      </c>
      <c r="Y39">
        <f t="shared" si="1"/>
        <v>8</v>
      </c>
      <c r="Z39">
        <f t="shared" si="1"/>
        <v>8</v>
      </c>
      <c r="AA39">
        <v>2</v>
      </c>
      <c r="AB39">
        <v>5</v>
      </c>
      <c r="AC39">
        <v>1</v>
      </c>
    </row>
    <row r="40" spans="2:31">
      <c r="B40" t="s">
        <v>68</v>
      </c>
      <c r="D40" t="s">
        <v>328</v>
      </c>
      <c r="E40" t="s">
        <v>411</v>
      </c>
      <c r="N40" t="s">
        <v>478</v>
      </c>
      <c r="U40" t="s">
        <v>892</v>
      </c>
      <c r="V40">
        <f t="shared" si="0"/>
        <v>1</v>
      </c>
      <c r="W40">
        <f t="shared" si="1"/>
        <v>4</v>
      </c>
      <c r="X40">
        <f t="shared" si="1"/>
        <v>6</v>
      </c>
      <c r="Y40">
        <f t="shared" si="1"/>
        <v>6</v>
      </c>
      <c r="Z40">
        <f t="shared" si="1"/>
        <v>6</v>
      </c>
      <c r="AA40">
        <v>1</v>
      </c>
      <c r="AB40">
        <v>3</v>
      </c>
      <c r="AC40">
        <v>2</v>
      </c>
    </row>
    <row r="41" spans="2:31">
      <c r="B41" t="s">
        <v>69</v>
      </c>
      <c r="D41" t="s">
        <v>329</v>
      </c>
      <c r="E41" t="s">
        <v>411</v>
      </c>
      <c r="N41" t="s">
        <v>479</v>
      </c>
      <c r="U41" t="s">
        <v>910</v>
      </c>
      <c r="V41">
        <f t="shared" si="0"/>
        <v>1</v>
      </c>
      <c r="W41">
        <f t="shared" si="1"/>
        <v>5</v>
      </c>
      <c r="X41">
        <f t="shared" si="1"/>
        <v>7</v>
      </c>
      <c r="Y41">
        <f t="shared" si="1"/>
        <v>8</v>
      </c>
      <c r="Z41">
        <f t="shared" si="1"/>
        <v>8</v>
      </c>
      <c r="AA41">
        <v>1</v>
      </c>
      <c r="AB41">
        <v>4</v>
      </c>
      <c r="AC41">
        <v>2</v>
      </c>
      <c r="AD41">
        <v>1</v>
      </c>
    </row>
    <row r="42" spans="2:31">
      <c r="B42" t="s">
        <v>70</v>
      </c>
      <c r="D42" t="s">
        <v>330</v>
      </c>
      <c r="E42" t="s">
        <v>411</v>
      </c>
      <c r="N42" t="s">
        <v>480</v>
      </c>
      <c r="U42" t="s">
        <v>911</v>
      </c>
      <c r="V42">
        <f t="shared" si="0"/>
        <v>1</v>
      </c>
      <c r="W42">
        <f t="shared" si="1"/>
        <v>3</v>
      </c>
      <c r="X42">
        <f t="shared" si="1"/>
        <v>6</v>
      </c>
      <c r="Y42">
        <f t="shared" si="1"/>
        <v>6</v>
      </c>
      <c r="Z42">
        <f t="shared" si="1"/>
        <v>6</v>
      </c>
      <c r="AA42">
        <v>1</v>
      </c>
      <c r="AB42">
        <v>2</v>
      </c>
      <c r="AC42">
        <v>3</v>
      </c>
    </row>
    <row r="43" spans="2:31">
      <c r="B43" t="s">
        <v>71</v>
      </c>
      <c r="D43" t="s">
        <v>331</v>
      </c>
      <c r="E43" t="s">
        <v>411</v>
      </c>
      <c r="N43" t="s">
        <v>481</v>
      </c>
      <c r="U43" t="s">
        <v>893</v>
      </c>
      <c r="V43">
        <f t="shared" si="0"/>
        <v>2</v>
      </c>
      <c r="W43">
        <f t="shared" si="1"/>
        <v>6</v>
      </c>
      <c r="X43">
        <f t="shared" si="1"/>
        <v>10</v>
      </c>
      <c r="Y43">
        <f t="shared" si="1"/>
        <v>10</v>
      </c>
      <c r="Z43">
        <f t="shared" si="1"/>
        <v>10</v>
      </c>
      <c r="AA43">
        <v>2</v>
      </c>
      <c r="AB43">
        <v>4</v>
      </c>
      <c r="AC43">
        <v>4</v>
      </c>
    </row>
    <row r="44" spans="2:31">
      <c r="B44" t="s">
        <v>72</v>
      </c>
      <c r="D44" t="s">
        <v>332</v>
      </c>
      <c r="E44" t="s">
        <v>411</v>
      </c>
      <c r="N44" t="s">
        <v>482</v>
      </c>
      <c r="U44" t="s">
        <v>888</v>
      </c>
      <c r="V44">
        <f t="shared" si="0"/>
        <v>2</v>
      </c>
      <c r="W44">
        <f t="shared" si="1"/>
        <v>8</v>
      </c>
      <c r="X44">
        <f t="shared" si="1"/>
        <v>14</v>
      </c>
      <c r="Y44">
        <f t="shared" si="1"/>
        <v>19</v>
      </c>
      <c r="Z44">
        <f t="shared" si="1"/>
        <v>22</v>
      </c>
      <c r="AA44">
        <v>2</v>
      </c>
      <c r="AB44">
        <v>6</v>
      </c>
      <c r="AC44">
        <v>6</v>
      </c>
      <c r="AD44">
        <v>5</v>
      </c>
      <c r="AE44">
        <v>3</v>
      </c>
    </row>
    <row r="45" spans="2:31">
      <c r="B45" t="s">
        <v>73</v>
      </c>
      <c r="D45" t="s">
        <v>333</v>
      </c>
      <c r="E45" t="s">
        <v>411</v>
      </c>
      <c r="N45" t="s">
        <v>483</v>
      </c>
      <c r="U45" t="s">
        <v>753</v>
      </c>
      <c r="V45">
        <f t="shared" si="0"/>
        <v>1</v>
      </c>
      <c r="W45">
        <f t="shared" si="1"/>
        <v>3</v>
      </c>
      <c r="X45">
        <f t="shared" si="1"/>
        <v>9</v>
      </c>
      <c r="Y45">
        <f t="shared" si="1"/>
        <v>9</v>
      </c>
      <c r="Z45">
        <f t="shared" si="1"/>
        <v>9</v>
      </c>
      <c r="AA45">
        <v>1</v>
      </c>
      <c r="AB45">
        <v>2</v>
      </c>
      <c r="AC45">
        <v>6</v>
      </c>
    </row>
    <row r="46" spans="2:31">
      <c r="B46" t="s">
        <v>74</v>
      </c>
      <c r="D46" t="s">
        <v>334</v>
      </c>
      <c r="E46" t="s">
        <v>411</v>
      </c>
      <c r="N46" t="s">
        <v>484</v>
      </c>
      <c r="U46" t="s">
        <v>889</v>
      </c>
      <c r="V46">
        <f t="shared" si="0"/>
        <v>1</v>
      </c>
      <c r="W46">
        <f t="shared" si="1"/>
        <v>4</v>
      </c>
      <c r="X46">
        <f t="shared" si="1"/>
        <v>11</v>
      </c>
      <c r="Y46">
        <f t="shared" si="1"/>
        <v>11</v>
      </c>
      <c r="Z46">
        <f t="shared" si="1"/>
        <v>11</v>
      </c>
      <c r="AA46">
        <v>1</v>
      </c>
      <c r="AB46">
        <v>3</v>
      </c>
      <c r="AC46">
        <v>7</v>
      </c>
    </row>
    <row r="47" spans="2:31">
      <c r="B47" t="s">
        <v>75</v>
      </c>
      <c r="D47" t="s">
        <v>335</v>
      </c>
      <c r="E47" t="s">
        <v>411</v>
      </c>
      <c r="N47" t="s">
        <v>485</v>
      </c>
      <c r="U47" t="s">
        <v>890</v>
      </c>
      <c r="V47">
        <f t="shared" si="0"/>
        <v>3</v>
      </c>
      <c r="W47">
        <f t="shared" si="1"/>
        <v>5</v>
      </c>
      <c r="X47">
        <f t="shared" si="1"/>
        <v>11</v>
      </c>
      <c r="Y47">
        <f t="shared" si="1"/>
        <v>11</v>
      </c>
      <c r="Z47">
        <f t="shared" si="1"/>
        <v>11</v>
      </c>
      <c r="AA47">
        <v>3</v>
      </c>
      <c r="AB47">
        <v>2</v>
      </c>
      <c r="AC47">
        <v>6</v>
      </c>
    </row>
    <row r="48" spans="2:31">
      <c r="B48" t="s">
        <v>76</v>
      </c>
      <c r="D48" t="s">
        <v>336</v>
      </c>
      <c r="E48" t="s">
        <v>411</v>
      </c>
      <c r="N48" t="s">
        <v>486</v>
      </c>
      <c r="U48" t="s">
        <v>883</v>
      </c>
      <c r="V48">
        <f t="shared" si="0"/>
        <v>1</v>
      </c>
      <c r="W48">
        <f t="shared" si="1"/>
        <v>7</v>
      </c>
      <c r="X48">
        <f t="shared" si="1"/>
        <v>10</v>
      </c>
      <c r="Y48">
        <f t="shared" si="1"/>
        <v>10</v>
      </c>
      <c r="Z48">
        <f t="shared" si="1"/>
        <v>10</v>
      </c>
      <c r="AA48">
        <v>1</v>
      </c>
      <c r="AB48">
        <v>6</v>
      </c>
      <c r="AC48">
        <v>3</v>
      </c>
    </row>
    <row r="49" spans="2:30">
      <c r="B49" t="s">
        <v>77</v>
      </c>
      <c r="D49" t="s">
        <v>337</v>
      </c>
      <c r="E49" t="s">
        <v>411</v>
      </c>
      <c r="N49" t="s">
        <v>487</v>
      </c>
      <c r="U49" t="s">
        <v>894</v>
      </c>
      <c r="V49">
        <f t="shared" si="0"/>
        <v>2</v>
      </c>
      <c r="W49">
        <f t="shared" si="1"/>
        <v>10</v>
      </c>
      <c r="X49">
        <f t="shared" si="1"/>
        <v>14</v>
      </c>
      <c r="Y49">
        <f t="shared" si="1"/>
        <v>15</v>
      </c>
      <c r="Z49">
        <f t="shared" si="1"/>
        <v>15</v>
      </c>
      <c r="AA49">
        <v>2</v>
      </c>
      <c r="AB49">
        <v>8</v>
      </c>
      <c r="AC49">
        <v>4</v>
      </c>
      <c r="AD49">
        <v>1</v>
      </c>
    </row>
    <row r="50" spans="2:30">
      <c r="B50" t="s">
        <v>275</v>
      </c>
      <c r="D50" t="s">
        <v>338</v>
      </c>
      <c r="E50" t="s">
        <v>411</v>
      </c>
      <c r="N50" t="s">
        <v>488</v>
      </c>
      <c r="U50" t="s">
        <v>836</v>
      </c>
      <c r="V50">
        <f t="shared" si="0"/>
        <v>1</v>
      </c>
      <c r="W50">
        <f t="shared" si="1"/>
        <v>5</v>
      </c>
      <c r="X50">
        <f t="shared" si="1"/>
        <v>6</v>
      </c>
      <c r="Y50">
        <f t="shared" si="1"/>
        <v>6</v>
      </c>
      <c r="Z50">
        <f t="shared" si="1"/>
        <v>6</v>
      </c>
      <c r="AA50">
        <v>1</v>
      </c>
      <c r="AB50">
        <v>4</v>
      </c>
      <c r="AC50">
        <v>1</v>
      </c>
    </row>
    <row r="51" spans="2:30">
      <c r="B51" t="s">
        <v>78</v>
      </c>
      <c r="D51" t="s">
        <v>339</v>
      </c>
      <c r="E51" t="s">
        <v>411</v>
      </c>
      <c r="N51" t="s">
        <v>581</v>
      </c>
      <c r="U51" t="s">
        <v>885</v>
      </c>
      <c r="V51">
        <f t="shared" si="0"/>
        <v>1</v>
      </c>
      <c r="W51">
        <f t="shared" si="1"/>
        <v>5</v>
      </c>
      <c r="X51">
        <f t="shared" si="1"/>
        <v>6</v>
      </c>
      <c r="Y51">
        <f t="shared" si="1"/>
        <v>6</v>
      </c>
      <c r="Z51">
        <f t="shared" si="1"/>
        <v>6</v>
      </c>
      <c r="AA51">
        <v>1</v>
      </c>
      <c r="AB51">
        <v>4</v>
      </c>
      <c r="AC51">
        <v>1</v>
      </c>
    </row>
    <row r="52" spans="2:30">
      <c r="B52" t="s">
        <v>79</v>
      </c>
      <c r="D52" t="s">
        <v>340</v>
      </c>
      <c r="E52" t="s">
        <v>411</v>
      </c>
      <c r="N52" t="s">
        <v>580</v>
      </c>
      <c r="U52" t="s">
        <v>886</v>
      </c>
      <c r="V52">
        <f t="shared" si="0"/>
        <v>1</v>
      </c>
      <c r="W52">
        <f t="shared" si="1"/>
        <v>7</v>
      </c>
      <c r="X52">
        <f t="shared" si="1"/>
        <v>14</v>
      </c>
      <c r="Y52">
        <f t="shared" si="1"/>
        <v>14</v>
      </c>
      <c r="Z52">
        <f t="shared" si="1"/>
        <v>14</v>
      </c>
      <c r="AA52">
        <v>1</v>
      </c>
      <c r="AB52">
        <v>6</v>
      </c>
      <c r="AC52">
        <v>7</v>
      </c>
    </row>
    <row r="53" spans="2:30">
      <c r="B53" t="s">
        <v>18</v>
      </c>
      <c r="D53" t="s">
        <v>341</v>
      </c>
      <c r="E53" t="s">
        <v>411</v>
      </c>
      <c r="N53" t="s">
        <v>579</v>
      </c>
      <c r="U53" t="s">
        <v>891</v>
      </c>
      <c r="V53">
        <f t="shared" si="0"/>
        <v>1</v>
      </c>
      <c r="W53">
        <f t="shared" si="1"/>
        <v>3</v>
      </c>
      <c r="X53">
        <f t="shared" si="1"/>
        <v>8</v>
      </c>
      <c r="Y53">
        <f t="shared" si="1"/>
        <v>8</v>
      </c>
      <c r="Z53">
        <f t="shared" si="1"/>
        <v>8</v>
      </c>
      <c r="AA53">
        <v>1</v>
      </c>
      <c r="AB53">
        <v>2</v>
      </c>
      <c r="AC53">
        <v>5</v>
      </c>
    </row>
    <row r="54" spans="2:30">
      <c r="B54" t="s">
        <v>80</v>
      </c>
      <c r="D54" t="s">
        <v>342</v>
      </c>
      <c r="E54" t="s">
        <v>411</v>
      </c>
      <c r="N54" t="s">
        <v>578</v>
      </c>
      <c r="U54" t="s">
        <v>897</v>
      </c>
      <c r="V54">
        <f t="shared" si="0"/>
        <v>3</v>
      </c>
      <c r="W54">
        <f t="shared" si="1"/>
        <v>7</v>
      </c>
      <c r="X54">
        <f t="shared" si="1"/>
        <v>9</v>
      </c>
      <c r="Y54">
        <f t="shared" si="1"/>
        <v>9</v>
      </c>
      <c r="Z54">
        <f t="shared" si="1"/>
        <v>9</v>
      </c>
      <c r="AA54">
        <v>3</v>
      </c>
      <c r="AB54">
        <v>4</v>
      </c>
      <c r="AC54">
        <v>2</v>
      </c>
    </row>
    <row r="55" spans="2:30">
      <c r="B55" t="s">
        <v>81</v>
      </c>
      <c r="D55" t="s">
        <v>343</v>
      </c>
      <c r="E55" t="s">
        <v>411</v>
      </c>
      <c r="N55" t="s">
        <v>577</v>
      </c>
      <c r="U55" t="s">
        <v>884</v>
      </c>
      <c r="V55">
        <f t="shared" si="0"/>
        <v>1</v>
      </c>
      <c r="W55">
        <f t="shared" si="1"/>
        <v>4</v>
      </c>
      <c r="X55">
        <f t="shared" si="1"/>
        <v>10</v>
      </c>
      <c r="Y55">
        <f t="shared" si="1"/>
        <v>10</v>
      </c>
      <c r="Z55">
        <f t="shared" si="1"/>
        <v>10</v>
      </c>
      <c r="AA55">
        <v>1</v>
      </c>
      <c r="AB55">
        <v>3</v>
      </c>
      <c r="AC55">
        <v>6</v>
      </c>
    </row>
    <row r="56" spans="2:30">
      <c r="B56" t="s">
        <v>82</v>
      </c>
      <c r="D56" t="s">
        <v>344</v>
      </c>
      <c r="E56" t="s">
        <v>411</v>
      </c>
      <c r="N56" t="s">
        <v>576</v>
      </c>
      <c r="U56" t="s">
        <v>887</v>
      </c>
      <c r="V56">
        <f t="shared" si="0"/>
        <v>2</v>
      </c>
      <c r="W56">
        <f t="shared" si="1"/>
        <v>5</v>
      </c>
      <c r="X56">
        <f t="shared" si="1"/>
        <v>7</v>
      </c>
      <c r="Y56">
        <f t="shared" si="1"/>
        <v>7</v>
      </c>
      <c r="Z56">
        <f t="shared" si="1"/>
        <v>7</v>
      </c>
      <c r="AA56">
        <v>2</v>
      </c>
      <c r="AB56">
        <v>3</v>
      </c>
      <c r="AC56">
        <v>2</v>
      </c>
    </row>
    <row r="57" spans="2:30">
      <c r="B57" t="s">
        <v>83</v>
      </c>
      <c r="D57" t="s">
        <v>345</v>
      </c>
      <c r="E57" t="s">
        <v>411</v>
      </c>
      <c r="N57" t="s">
        <v>575</v>
      </c>
    </row>
    <row r="58" spans="2:30">
      <c r="B58" t="s">
        <v>84</v>
      </c>
      <c r="D58" t="s">
        <v>346</v>
      </c>
      <c r="E58" t="s">
        <v>411</v>
      </c>
      <c r="N58" t="s">
        <v>574</v>
      </c>
    </row>
    <row r="59" spans="2:30">
      <c r="B59" t="s">
        <v>85</v>
      </c>
      <c r="D59" t="s">
        <v>347</v>
      </c>
      <c r="E59" t="s">
        <v>411</v>
      </c>
      <c r="N59" t="s">
        <v>573</v>
      </c>
    </row>
    <row r="60" spans="2:30">
      <c r="B60" t="s">
        <v>86</v>
      </c>
      <c r="D60" t="s">
        <v>348</v>
      </c>
      <c r="E60" t="s">
        <v>411</v>
      </c>
      <c r="N60" t="s">
        <v>572</v>
      </c>
    </row>
    <row r="61" spans="2:30">
      <c r="B61" t="s">
        <v>87</v>
      </c>
      <c r="D61" t="s">
        <v>349</v>
      </c>
      <c r="E61" t="s">
        <v>411</v>
      </c>
      <c r="N61" t="s">
        <v>571</v>
      </c>
    </row>
    <row r="62" spans="2:30">
      <c r="B62" t="s">
        <v>285</v>
      </c>
      <c r="D62" t="s">
        <v>350</v>
      </c>
      <c r="E62" t="s">
        <v>411</v>
      </c>
      <c r="N62" t="s">
        <v>570</v>
      </c>
    </row>
    <row r="63" spans="2:30">
      <c r="B63" t="s">
        <v>88</v>
      </c>
      <c r="D63" t="s">
        <v>351</v>
      </c>
      <c r="E63" t="s">
        <v>411</v>
      </c>
      <c r="N63" t="s">
        <v>569</v>
      </c>
    </row>
    <row r="64" spans="2:30">
      <c r="B64" t="s">
        <v>89</v>
      </c>
      <c r="D64" t="s">
        <v>352</v>
      </c>
      <c r="E64" t="s">
        <v>411</v>
      </c>
      <c r="N64" t="s">
        <v>568</v>
      </c>
    </row>
    <row r="65" spans="2:14">
      <c r="B65" t="s">
        <v>284</v>
      </c>
      <c r="D65" t="s">
        <v>353</v>
      </c>
      <c r="E65" t="s">
        <v>411</v>
      </c>
      <c r="N65" t="s">
        <v>567</v>
      </c>
    </row>
    <row r="66" spans="2:14">
      <c r="B66" t="s">
        <v>90</v>
      </c>
      <c r="D66" t="s">
        <v>354</v>
      </c>
      <c r="E66" t="s">
        <v>411</v>
      </c>
      <c r="N66" t="s">
        <v>566</v>
      </c>
    </row>
    <row r="67" spans="2:14">
      <c r="B67" t="s">
        <v>91</v>
      </c>
      <c r="D67" t="s">
        <v>355</v>
      </c>
      <c r="E67" t="s">
        <v>411</v>
      </c>
      <c r="N67" t="s">
        <v>565</v>
      </c>
    </row>
    <row r="68" spans="2:14">
      <c r="B68" t="s">
        <v>92</v>
      </c>
      <c r="D68" t="s">
        <v>356</v>
      </c>
      <c r="E68" t="s">
        <v>411</v>
      </c>
      <c r="N68" t="s">
        <v>564</v>
      </c>
    </row>
    <row r="69" spans="2:14">
      <c r="B69" t="s">
        <v>93</v>
      </c>
      <c r="D69" t="s">
        <v>357</v>
      </c>
      <c r="E69" t="s">
        <v>411</v>
      </c>
      <c r="N69" t="s">
        <v>563</v>
      </c>
    </row>
    <row r="70" spans="2:14">
      <c r="B70" t="s">
        <v>94</v>
      </c>
      <c r="D70" t="s">
        <v>358</v>
      </c>
      <c r="E70" t="s">
        <v>411</v>
      </c>
      <c r="N70" t="s">
        <v>562</v>
      </c>
    </row>
    <row r="71" spans="2:14">
      <c r="B71" t="s">
        <v>95</v>
      </c>
      <c r="D71" t="s">
        <v>359</v>
      </c>
      <c r="E71" t="s">
        <v>411</v>
      </c>
      <c r="N71" t="s">
        <v>561</v>
      </c>
    </row>
    <row r="72" spans="2:14">
      <c r="B72" t="s">
        <v>96</v>
      </c>
      <c r="D72" t="s">
        <v>360</v>
      </c>
      <c r="E72" t="s">
        <v>411</v>
      </c>
      <c r="N72" t="s">
        <v>560</v>
      </c>
    </row>
    <row r="73" spans="2:14">
      <c r="B73" t="s">
        <v>97</v>
      </c>
      <c r="D73" t="s">
        <v>361</v>
      </c>
      <c r="E73" t="s">
        <v>411</v>
      </c>
      <c r="N73" t="s">
        <v>559</v>
      </c>
    </row>
    <row r="74" spans="2:14">
      <c r="B74" t="s">
        <v>98</v>
      </c>
      <c r="D74" t="s">
        <v>362</v>
      </c>
      <c r="E74" t="s">
        <v>411</v>
      </c>
      <c r="N74" t="s">
        <v>558</v>
      </c>
    </row>
    <row r="75" spans="2:14">
      <c r="B75" t="s">
        <v>99</v>
      </c>
      <c r="D75" t="s">
        <v>363</v>
      </c>
      <c r="E75" t="s">
        <v>411</v>
      </c>
      <c r="N75" t="s">
        <v>557</v>
      </c>
    </row>
    <row r="76" spans="2:14">
      <c r="B76" t="s">
        <v>100</v>
      </c>
      <c r="D76" t="s">
        <v>364</v>
      </c>
      <c r="E76" t="s">
        <v>411</v>
      </c>
      <c r="N76" t="s">
        <v>556</v>
      </c>
    </row>
    <row r="77" spans="2:14">
      <c r="B77" t="s">
        <v>101</v>
      </c>
      <c r="D77" t="s">
        <v>365</v>
      </c>
      <c r="E77" t="s">
        <v>411</v>
      </c>
      <c r="N77" t="s">
        <v>555</v>
      </c>
    </row>
    <row r="78" spans="2:14">
      <c r="B78" t="s">
        <v>102</v>
      </c>
      <c r="D78" t="s">
        <v>366</v>
      </c>
      <c r="E78" t="s">
        <v>411</v>
      </c>
      <c r="N78" t="s">
        <v>554</v>
      </c>
    </row>
    <row r="79" spans="2:14">
      <c r="B79" t="s">
        <v>103</v>
      </c>
      <c r="D79" t="s">
        <v>367</v>
      </c>
      <c r="E79" t="s">
        <v>411</v>
      </c>
      <c r="N79" t="s">
        <v>553</v>
      </c>
    </row>
    <row r="80" spans="2:14">
      <c r="B80" t="s">
        <v>104</v>
      </c>
      <c r="D80" t="s">
        <v>368</v>
      </c>
      <c r="E80" t="s">
        <v>411</v>
      </c>
      <c r="N80" t="s">
        <v>552</v>
      </c>
    </row>
    <row r="81" spans="2:14">
      <c r="B81" t="s">
        <v>105</v>
      </c>
      <c r="D81" t="s">
        <v>369</v>
      </c>
      <c r="E81" t="s">
        <v>411</v>
      </c>
      <c r="N81" t="s">
        <v>551</v>
      </c>
    </row>
    <row r="82" spans="2:14">
      <c r="B82" t="s">
        <v>106</v>
      </c>
      <c r="D82" t="s">
        <v>370</v>
      </c>
      <c r="E82" t="s">
        <v>411</v>
      </c>
      <c r="N82" t="s">
        <v>550</v>
      </c>
    </row>
    <row r="83" spans="2:14">
      <c r="B83" t="s">
        <v>107</v>
      </c>
      <c r="D83" t="s">
        <v>371</v>
      </c>
      <c r="E83" t="s">
        <v>411</v>
      </c>
      <c r="N83" t="s">
        <v>549</v>
      </c>
    </row>
    <row r="84" spans="2:14">
      <c r="B84" t="s">
        <v>108</v>
      </c>
      <c r="D84" t="s">
        <v>372</v>
      </c>
      <c r="E84" t="s">
        <v>411</v>
      </c>
      <c r="N84" t="s">
        <v>548</v>
      </c>
    </row>
    <row r="85" spans="2:14">
      <c r="B85" t="s">
        <v>109</v>
      </c>
      <c r="D85" t="s">
        <v>373</v>
      </c>
      <c r="E85" t="s">
        <v>411</v>
      </c>
      <c r="N85" t="s">
        <v>547</v>
      </c>
    </row>
    <row r="86" spans="2:14">
      <c r="B86" t="s">
        <v>110</v>
      </c>
      <c r="D86" t="s">
        <v>374</v>
      </c>
      <c r="E86" t="s">
        <v>411</v>
      </c>
      <c r="N86" t="s">
        <v>546</v>
      </c>
    </row>
    <row r="87" spans="2:14">
      <c r="B87" t="s">
        <v>111</v>
      </c>
      <c r="D87" t="s">
        <v>375</v>
      </c>
      <c r="E87" t="s">
        <v>411</v>
      </c>
      <c r="N87" t="s">
        <v>545</v>
      </c>
    </row>
    <row r="88" spans="2:14">
      <c r="B88" t="s">
        <v>112</v>
      </c>
      <c r="D88" t="s">
        <v>376</v>
      </c>
      <c r="E88" t="s">
        <v>411</v>
      </c>
      <c r="N88" t="s">
        <v>544</v>
      </c>
    </row>
    <row r="89" spans="2:14">
      <c r="B89" t="s">
        <v>113</v>
      </c>
      <c r="D89" t="s">
        <v>377</v>
      </c>
      <c r="E89" t="s">
        <v>411</v>
      </c>
      <c r="N89" t="s">
        <v>543</v>
      </c>
    </row>
    <row r="90" spans="2:14">
      <c r="B90" t="s">
        <v>114</v>
      </c>
      <c r="D90" t="s">
        <v>378</v>
      </c>
      <c r="E90" t="s">
        <v>411</v>
      </c>
      <c r="N90" t="s">
        <v>542</v>
      </c>
    </row>
    <row r="91" spans="2:14">
      <c r="B91" t="s">
        <v>115</v>
      </c>
      <c r="D91" t="s">
        <v>379</v>
      </c>
      <c r="E91" t="s">
        <v>411</v>
      </c>
      <c r="N91" t="s">
        <v>541</v>
      </c>
    </row>
    <row r="92" spans="2:14">
      <c r="B92" t="s">
        <v>116</v>
      </c>
      <c r="D92" t="s">
        <v>380</v>
      </c>
      <c r="E92" t="s">
        <v>411</v>
      </c>
      <c r="N92" t="s">
        <v>540</v>
      </c>
    </row>
    <row r="93" spans="2:14">
      <c r="B93" t="s">
        <v>117</v>
      </c>
      <c r="N93" t="s">
        <v>539</v>
      </c>
    </row>
    <row r="94" spans="2:14">
      <c r="B94" t="s">
        <v>118</v>
      </c>
      <c r="N94" t="s">
        <v>538</v>
      </c>
    </row>
    <row r="95" spans="2:14">
      <c r="B95" t="s">
        <v>119</v>
      </c>
      <c r="N95" t="s">
        <v>537</v>
      </c>
    </row>
    <row r="96" spans="2:14">
      <c r="B96" t="s">
        <v>120</v>
      </c>
      <c r="N96" t="s">
        <v>536</v>
      </c>
    </row>
    <row r="97" spans="2:14">
      <c r="B97" t="s">
        <v>121</v>
      </c>
      <c r="N97" t="s">
        <v>535</v>
      </c>
    </row>
    <row r="98" spans="2:14">
      <c r="B98" t="s">
        <v>122</v>
      </c>
      <c r="N98" t="s">
        <v>534</v>
      </c>
    </row>
    <row r="99" spans="2:14">
      <c r="B99" t="s">
        <v>123</v>
      </c>
      <c r="N99" t="s">
        <v>533</v>
      </c>
    </row>
    <row r="100" spans="2:14">
      <c r="B100" t="s">
        <v>124</v>
      </c>
      <c r="N100" t="s">
        <v>532</v>
      </c>
    </row>
    <row r="101" spans="2:14">
      <c r="B101" t="s">
        <v>125</v>
      </c>
      <c r="N101" t="s">
        <v>531</v>
      </c>
    </row>
    <row r="102" spans="2:14">
      <c r="B102" t="s">
        <v>126</v>
      </c>
      <c r="N102" t="s">
        <v>530</v>
      </c>
    </row>
    <row r="103" spans="2:14">
      <c r="B103" t="s">
        <v>127</v>
      </c>
      <c r="N103" t="s">
        <v>529</v>
      </c>
    </row>
    <row r="104" spans="2:14">
      <c r="B104" t="s">
        <v>128</v>
      </c>
      <c r="N104" t="s">
        <v>528</v>
      </c>
    </row>
    <row r="105" spans="2:14">
      <c r="B105" t="s">
        <v>129</v>
      </c>
      <c r="N105" t="s">
        <v>527</v>
      </c>
    </row>
    <row r="106" spans="2:14">
      <c r="B106" t="s">
        <v>130</v>
      </c>
      <c r="N106" t="s">
        <v>526</v>
      </c>
    </row>
    <row r="107" spans="2:14">
      <c r="B107" t="s">
        <v>131</v>
      </c>
      <c r="N107" t="s">
        <v>525</v>
      </c>
    </row>
    <row r="108" spans="2:14">
      <c r="B108" t="s">
        <v>132</v>
      </c>
      <c r="N108" t="s">
        <v>524</v>
      </c>
    </row>
    <row r="109" spans="2:14">
      <c r="B109" t="s">
        <v>133</v>
      </c>
      <c r="N109" t="s">
        <v>523</v>
      </c>
    </row>
    <row r="110" spans="2:14">
      <c r="B110" t="s">
        <v>134</v>
      </c>
      <c r="N110" t="s">
        <v>522</v>
      </c>
    </row>
    <row r="111" spans="2:14">
      <c r="B111" t="s">
        <v>135</v>
      </c>
      <c r="N111" t="s">
        <v>521</v>
      </c>
    </row>
    <row r="112" spans="2:14">
      <c r="B112" t="s">
        <v>136</v>
      </c>
      <c r="N112" t="s">
        <v>520</v>
      </c>
    </row>
    <row r="113" spans="2:14">
      <c r="B113" t="s">
        <v>137</v>
      </c>
      <c r="N113" t="s">
        <v>519</v>
      </c>
    </row>
    <row r="114" spans="2:14">
      <c r="B114" t="s">
        <v>138</v>
      </c>
      <c r="N114" t="s">
        <v>518</v>
      </c>
    </row>
    <row r="115" spans="2:14">
      <c r="B115" t="s">
        <v>139</v>
      </c>
      <c r="N115" t="s">
        <v>517</v>
      </c>
    </row>
    <row r="116" spans="2:14">
      <c r="B116" t="s">
        <v>140</v>
      </c>
      <c r="N116" t="s">
        <v>516</v>
      </c>
    </row>
    <row r="117" spans="2:14">
      <c r="B117" t="s">
        <v>141</v>
      </c>
      <c r="N117" t="s">
        <v>515</v>
      </c>
    </row>
    <row r="118" spans="2:14">
      <c r="B118" t="s">
        <v>142</v>
      </c>
      <c r="N118" t="s">
        <v>514</v>
      </c>
    </row>
    <row r="119" spans="2:14">
      <c r="B119" t="s">
        <v>143</v>
      </c>
      <c r="N119" t="s">
        <v>513</v>
      </c>
    </row>
    <row r="120" spans="2:14">
      <c r="B120" t="s">
        <v>144</v>
      </c>
      <c r="N120" t="s">
        <v>512</v>
      </c>
    </row>
    <row r="121" spans="2:14">
      <c r="B121" t="s">
        <v>145</v>
      </c>
      <c r="N121" t="s">
        <v>511</v>
      </c>
    </row>
    <row r="122" spans="2:14">
      <c r="B122" t="s">
        <v>146</v>
      </c>
      <c r="N122" t="s">
        <v>510</v>
      </c>
    </row>
    <row r="123" spans="2:14">
      <c r="B123" t="s">
        <v>147</v>
      </c>
      <c r="N123" t="s">
        <v>509</v>
      </c>
    </row>
    <row r="124" spans="2:14">
      <c r="B124" t="s">
        <v>148</v>
      </c>
      <c r="N124" t="s">
        <v>508</v>
      </c>
    </row>
    <row r="125" spans="2:14">
      <c r="B125" t="s">
        <v>149</v>
      </c>
      <c r="N125" t="s">
        <v>507</v>
      </c>
    </row>
    <row r="126" spans="2:14">
      <c r="B126" t="s">
        <v>150</v>
      </c>
      <c r="N126" t="s">
        <v>506</v>
      </c>
    </row>
    <row r="127" spans="2:14">
      <c r="B127" t="s">
        <v>151</v>
      </c>
      <c r="N127" t="s">
        <v>505</v>
      </c>
    </row>
    <row r="128" spans="2:14">
      <c r="B128" t="s">
        <v>152</v>
      </c>
      <c r="N128" t="s">
        <v>504</v>
      </c>
    </row>
    <row r="129" spans="2:14">
      <c r="B129" t="s">
        <v>153</v>
      </c>
      <c r="N129" t="s">
        <v>503</v>
      </c>
    </row>
    <row r="130" spans="2:14">
      <c r="B130" t="s">
        <v>154</v>
      </c>
      <c r="N130" t="s">
        <v>502</v>
      </c>
    </row>
    <row r="131" spans="2:14">
      <c r="B131" t="s">
        <v>155</v>
      </c>
      <c r="N131" t="s">
        <v>501</v>
      </c>
    </row>
    <row r="132" spans="2:14">
      <c r="B132" t="s">
        <v>156</v>
      </c>
      <c r="N132" t="s">
        <v>500</v>
      </c>
    </row>
    <row r="133" spans="2:14">
      <c r="B133" t="s">
        <v>157</v>
      </c>
      <c r="N133" t="s">
        <v>499</v>
      </c>
    </row>
    <row r="134" spans="2:14">
      <c r="B134" t="s">
        <v>158</v>
      </c>
      <c r="N134" t="s">
        <v>498</v>
      </c>
    </row>
    <row r="135" spans="2:14">
      <c r="B135" t="s">
        <v>159</v>
      </c>
      <c r="N135" t="s">
        <v>497</v>
      </c>
    </row>
    <row r="136" spans="2:14">
      <c r="B136" t="s">
        <v>160</v>
      </c>
      <c r="N136" t="s">
        <v>496</v>
      </c>
    </row>
    <row r="137" spans="2:14">
      <c r="B137" t="s">
        <v>161</v>
      </c>
      <c r="N137" t="s">
        <v>495</v>
      </c>
    </row>
    <row r="138" spans="2:14">
      <c r="B138" t="s">
        <v>162</v>
      </c>
      <c r="N138" t="s">
        <v>494</v>
      </c>
    </row>
    <row r="139" spans="2:14">
      <c r="B139" t="s">
        <v>163</v>
      </c>
      <c r="N139" t="s">
        <v>493</v>
      </c>
    </row>
    <row r="140" spans="2:14">
      <c r="B140" t="s">
        <v>164</v>
      </c>
      <c r="N140" t="s">
        <v>492</v>
      </c>
    </row>
    <row r="141" spans="2:14">
      <c r="B141" t="s">
        <v>165</v>
      </c>
      <c r="N141" t="s">
        <v>491</v>
      </c>
    </row>
    <row r="142" spans="2:14">
      <c r="B142" t="s">
        <v>166</v>
      </c>
      <c r="N142" t="s">
        <v>490</v>
      </c>
    </row>
    <row r="143" spans="2:14">
      <c r="B143" t="s">
        <v>167</v>
      </c>
      <c r="N143" t="s">
        <v>489</v>
      </c>
    </row>
    <row r="144" spans="2:14">
      <c r="B144" t="s">
        <v>168</v>
      </c>
    </row>
    <row r="145" spans="2:2">
      <c r="B145" t="s">
        <v>169</v>
      </c>
    </row>
    <row r="146" spans="2:2">
      <c r="B146" t="s">
        <v>170</v>
      </c>
    </row>
    <row r="147" spans="2:2">
      <c r="B147" t="s">
        <v>171</v>
      </c>
    </row>
    <row r="148" spans="2:2">
      <c r="B148" t="s">
        <v>172</v>
      </c>
    </row>
    <row r="149" spans="2:2">
      <c r="B149" t="s">
        <v>173</v>
      </c>
    </row>
    <row r="150" spans="2:2">
      <c r="B150" t="s">
        <v>174</v>
      </c>
    </row>
    <row r="151" spans="2:2">
      <c r="B151" t="s">
        <v>175</v>
      </c>
    </row>
    <row r="152" spans="2:2">
      <c r="B152" t="s">
        <v>176</v>
      </c>
    </row>
    <row r="153" spans="2:2">
      <c r="B153" t="s">
        <v>177</v>
      </c>
    </row>
    <row r="154" spans="2:2">
      <c r="B154" t="s">
        <v>178</v>
      </c>
    </row>
    <row r="155" spans="2:2">
      <c r="B155" t="s">
        <v>179</v>
      </c>
    </row>
    <row r="156" spans="2:2">
      <c r="B156" t="s">
        <v>180</v>
      </c>
    </row>
    <row r="157" spans="2:2">
      <c r="B157" t="s">
        <v>181</v>
      </c>
    </row>
    <row r="158" spans="2:2">
      <c r="B158" t="s">
        <v>182</v>
      </c>
    </row>
    <row r="159" spans="2:2">
      <c r="B159" t="s">
        <v>183</v>
      </c>
    </row>
    <row r="160" spans="2:2">
      <c r="B160" t="s">
        <v>184</v>
      </c>
    </row>
    <row r="161" spans="2:2">
      <c r="B161" t="s">
        <v>185</v>
      </c>
    </row>
    <row r="162" spans="2:2">
      <c r="B162" t="s">
        <v>186</v>
      </c>
    </row>
    <row r="163" spans="2:2">
      <c r="B163" t="s">
        <v>187</v>
      </c>
    </row>
    <row r="164" spans="2:2">
      <c r="B164" t="s">
        <v>188</v>
      </c>
    </row>
    <row r="165" spans="2:2">
      <c r="B165" t="s">
        <v>189</v>
      </c>
    </row>
    <row r="166" spans="2:2">
      <c r="B166" t="s">
        <v>190</v>
      </c>
    </row>
    <row r="167" spans="2:2">
      <c r="B167" t="s">
        <v>191</v>
      </c>
    </row>
    <row r="168" spans="2:2">
      <c r="B168" t="s">
        <v>192</v>
      </c>
    </row>
    <row r="169" spans="2:2">
      <c r="B169" t="s">
        <v>193</v>
      </c>
    </row>
    <row r="170" spans="2:2">
      <c r="B170" t="s">
        <v>194</v>
      </c>
    </row>
    <row r="171" spans="2:2">
      <c r="B171" t="s">
        <v>195</v>
      </c>
    </row>
    <row r="172" spans="2:2">
      <c r="B172" t="s">
        <v>196</v>
      </c>
    </row>
    <row r="173" spans="2:2">
      <c r="B173" t="s">
        <v>197</v>
      </c>
    </row>
    <row r="174" spans="2:2">
      <c r="B174" t="s">
        <v>198</v>
      </c>
    </row>
    <row r="175" spans="2:2">
      <c r="B175" t="s">
        <v>199</v>
      </c>
    </row>
    <row r="176" spans="2:2">
      <c r="B176" t="s">
        <v>200</v>
      </c>
    </row>
    <row r="177" spans="2:2">
      <c r="B177" t="s">
        <v>201</v>
      </c>
    </row>
    <row r="178" spans="2:2">
      <c r="B178" t="s">
        <v>202</v>
      </c>
    </row>
    <row r="179" spans="2:2">
      <c r="B179" t="s">
        <v>203</v>
      </c>
    </row>
    <row r="180" spans="2:2">
      <c r="B180" t="s">
        <v>204</v>
      </c>
    </row>
    <row r="181" spans="2:2">
      <c r="B181" t="s">
        <v>205</v>
      </c>
    </row>
    <row r="182" spans="2:2">
      <c r="B182" t="s">
        <v>206</v>
      </c>
    </row>
    <row r="183" spans="2:2">
      <c r="B183" t="s">
        <v>207</v>
      </c>
    </row>
    <row r="184" spans="2:2">
      <c r="B184" t="s">
        <v>208</v>
      </c>
    </row>
    <row r="185" spans="2:2">
      <c r="B185" t="s">
        <v>209</v>
      </c>
    </row>
    <row r="186" spans="2:2">
      <c r="B186" t="s">
        <v>210</v>
      </c>
    </row>
    <row r="187" spans="2:2">
      <c r="B187" t="s">
        <v>211</v>
      </c>
    </row>
    <row r="188" spans="2:2">
      <c r="B188" t="s">
        <v>286</v>
      </c>
    </row>
    <row r="189" spans="2:2">
      <c r="B189" t="s">
        <v>212</v>
      </c>
    </row>
    <row r="190" spans="2:2">
      <c r="B190" t="s">
        <v>213</v>
      </c>
    </row>
    <row r="191" spans="2:2">
      <c r="B191" t="s">
        <v>214</v>
      </c>
    </row>
    <row r="192" spans="2:2">
      <c r="B192" t="s">
        <v>215</v>
      </c>
    </row>
    <row r="193" spans="2:2">
      <c r="B193" t="s">
        <v>216</v>
      </c>
    </row>
    <row r="194" spans="2:2">
      <c r="B194" t="s">
        <v>287</v>
      </c>
    </row>
    <row r="195" spans="2:2">
      <c r="B195" t="s">
        <v>217</v>
      </c>
    </row>
    <row r="196" spans="2:2">
      <c r="B196" t="s">
        <v>218</v>
      </c>
    </row>
    <row r="197" spans="2:2">
      <c r="B197" t="s">
        <v>219</v>
      </c>
    </row>
    <row r="198" spans="2:2">
      <c r="B198" t="s">
        <v>220</v>
      </c>
    </row>
    <row r="199" spans="2:2">
      <c r="B199" t="s">
        <v>221</v>
      </c>
    </row>
    <row r="200" spans="2:2">
      <c r="B200" t="s">
        <v>222</v>
      </c>
    </row>
    <row r="201" spans="2:2">
      <c r="B201" t="s">
        <v>223</v>
      </c>
    </row>
    <row r="202" spans="2:2">
      <c r="B202" t="s">
        <v>224</v>
      </c>
    </row>
    <row r="203" spans="2:2">
      <c r="B203" t="s">
        <v>225</v>
      </c>
    </row>
    <row r="204" spans="2:2">
      <c r="B204" t="s">
        <v>226</v>
      </c>
    </row>
    <row r="205" spans="2:2">
      <c r="B205" t="s">
        <v>227</v>
      </c>
    </row>
    <row r="206" spans="2:2">
      <c r="B206" t="s">
        <v>228</v>
      </c>
    </row>
    <row r="207" spans="2:2">
      <c r="B207" t="s">
        <v>276</v>
      </c>
    </row>
    <row r="208" spans="2:2">
      <c r="B208" t="s">
        <v>229</v>
      </c>
    </row>
    <row r="209" spans="2:2">
      <c r="B209" t="s">
        <v>230</v>
      </c>
    </row>
    <row r="210" spans="2:2">
      <c r="B210" t="s">
        <v>231</v>
      </c>
    </row>
    <row r="211" spans="2:2">
      <c r="B211" t="s">
        <v>232</v>
      </c>
    </row>
    <row r="212" spans="2:2">
      <c r="B212" t="s">
        <v>288</v>
      </c>
    </row>
    <row r="213" spans="2:2">
      <c r="B213" t="s">
        <v>233</v>
      </c>
    </row>
    <row r="214" spans="2:2">
      <c r="B214" t="s">
        <v>277</v>
      </c>
    </row>
    <row r="215" spans="2:2">
      <c r="B215" t="s">
        <v>234</v>
      </c>
    </row>
    <row r="216" spans="2:2">
      <c r="B216" t="s">
        <v>235</v>
      </c>
    </row>
    <row r="217" spans="2:2">
      <c r="B217" t="s">
        <v>278</v>
      </c>
    </row>
    <row r="218" spans="2:2">
      <c r="B218" t="s">
        <v>279</v>
      </c>
    </row>
    <row r="219" spans="2:2">
      <c r="B219" t="s">
        <v>236</v>
      </c>
    </row>
    <row r="220" spans="2:2">
      <c r="B220" t="s">
        <v>237</v>
      </c>
    </row>
    <row r="221" spans="2:2">
      <c r="B221" t="s">
        <v>280</v>
      </c>
    </row>
    <row r="222" spans="2:2">
      <c r="B222" t="s">
        <v>238</v>
      </c>
    </row>
    <row r="223" spans="2:2">
      <c r="B223" t="s">
        <v>239</v>
      </c>
    </row>
    <row r="224" spans="2:2">
      <c r="B224" t="s">
        <v>240</v>
      </c>
    </row>
    <row r="225" spans="2:2">
      <c r="B225" t="s">
        <v>241</v>
      </c>
    </row>
    <row r="226" spans="2:2">
      <c r="B226" t="s">
        <v>242</v>
      </c>
    </row>
    <row r="227" spans="2:2">
      <c r="B227" t="s">
        <v>243</v>
      </c>
    </row>
    <row r="228" spans="2:2">
      <c r="B228" t="s">
        <v>244</v>
      </c>
    </row>
    <row r="229" spans="2:2">
      <c r="B229" t="s">
        <v>245</v>
      </c>
    </row>
    <row r="230" spans="2:2">
      <c r="B230" t="s">
        <v>246</v>
      </c>
    </row>
    <row r="231" spans="2:2">
      <c r="B231" t="s">
        <v>247</v>
      </c>
    </row>
    <row r="232" spans="2:2">
      <c r="B232" t="s">
        <v>248</v>
      </c>
    </row>
    <row r="233" spans="2:2">
      <c r="B233" t="s">
        <v>249</v>
      </c>
    </row>
    <row r="234" spans="2:2">
      <c r="B234" t="s">
        <v>281</v>
      </c>
    </row>
    <row r="235" spans="2:2">
      <c r="B235" t="s">
        <v>250</v>
      </c>
    </row>
    <row r="236" spans="2:2">
      <c r="B236" t="s">
        <v>251</v>
      </c>
    </row>
    <row r="237" spans="2:2">
      <c r="B237" t="s">
        <v>252</v>
      </c>
    </row>
    <row r="238" spans="2:2">
      <c r="B238" t="s">
        <v>253</v>
      </c>
    </row>
    <row r="239" spans="2:2">
      <c r="B239" t="s">
        <v>282</v>
      </c>
    </row>
    <row r="240" spans="2:2">
      <c r="B240" t="s">
        <v>254</v>
      </c>
    </row>
    <row r="241" spans="2:2">
      <c r="B241" t="s">
        <v>255</v>
      </c>
    </row>
    <row r="242" spans="2:2">
      <c r="B242" t="s">
        <v>256</v>
      </c>
    </row>
    <row r="243" spans="2:2">
      <c r="B243" t="s">
        <v>257</v>
      </c>
    </row>
    <row r="244" spans="2:2">
      <c r="B244" t="s">
        <v>258</v>
      </c>
    </row>
    <row r="245" spans="2:2">
      <c r="B245" t="s">
        <v>259</v>
      </c>
    </row>
    <row r="246" spans="2:2">
      <c r="B246" t="s">
        <v>260</v>
      </c>
    </row>
    <row r="247" spans="2:2">
      <c r="B247" t="s">
        <v>261</v>
      </c>
    </row>
    <row r="248" spans="2:2">
      <c r="B248" t="s">
        <v>262</v>
      </c>
    </row>
    <row r="249" spans="2:2">
      <c r="B249" t="s">
        <v>263</v>
      </c>
    </row>
    <row r="250" spans="2:2">
      <c r="B250" t="s">
        <v>264</v>
      </c>
    </row>
    <row r="251" spans="2:2">
      <c r="B251" t="s">
        <v>265</v>
      </c>
    </row>
    <row r="252" spans="2:2">
      <c r="B252" t="s">
        <v>266</v>
      </c>
    </row>
    <row r="253" spans="2:2">
      <c r="B253" t="s">
        <v>267</v>
      </c>
    </row>
    <row r="254" spans="2:2">
      <c r="B254" t="s">
        <v>283</v>
      </c>
    </row>
    <row r="255" spans="2:2">
      <c r="B255" t="s">
        <v>268</v>
      </c>
    </row>
    <row r="256" spans="2:2">
      <c r="B256" t="s">
        <v>269</v>
      </c>
    </row>
    <row r="257" spans="2:2">
      <c r="B257" t="s">
        <v>270</v>
      </c>
    </row>
    <row r="258" spans="2:2">
      <c r="B258" t="s">
        <v>271</v>
      </c>
    </row>
  </sheetData>
  <sortState xmlns:xlrd2="http://schemas.microsoft.com/office/spreadsheetml/2017/richdata2" ref="AL5:AL10">
    <sortCondition ref="AL5:AL10"/>
  </sortState>
  <phoneticPr fontId="54" type="noConversion"/>
  <hyperlinks>
    <hyperlink ref="B2" r:id="rId1" xr:uid="{3B99F441-F71E-49AF-8036-478E13C4781D}"/>
  </hyperlinks>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302922-BA09-4A38-82FE-94FAF7F5E96F}">
  <dimension ref="A1:C23"/>
  <sheetViews>
    <sheetView workbookViewId="0"/>
  </sheetViews>
  <sheetFormatPr defaultRowHeight="14.5"/>
  <cols>
    <col min="1" max="1" width="13.1796875" style="125" customWidth="1"/>
    <col min="2" max="3" width="25.81640625" style="125" customWidth="1"/>
    <col min="4" max="16384" width="8.7265625" style="125"/>
  </cols>
  <sheetData>
    <row r="1" spans="1:3">
      <c r="A1" s="125" t="s">
        <v>1316</v>
      </c>
    </row>
    <row r="2" spans="1:3">
      <c r="A2" s="125" t="s">
        <v>1317</v>
      </c>
      <c r="B2" s="125" t="s">
        <v>1344</v>
      </c>
      <c r="C2" s="125" t="s">
        <v>1345</v>
      </c>
    </row>
    <row r="3" spans="1:3">
      <c r="A3" s="125" t="s">
        <v>886</v>
      </c>
      <c r="B3" s="125" t="s">
        <v>1336</v>
      </c>
      <c r="C3" s="125" t="s">
        <v>1318</v>
      </c>
    </row>
    <row r="4" spans="1:3">
      <c r="A4" s="125" t="s">
        <v>836</v>
      </c>
      <c r="B4" s="125" t="s">
        <v>1319</v>
      </c>
      <c r="C4" s="125" t="s">
        <v>1319</v>
      </c>
    </row>
    <row r="5" spans="1:3">
      <c r="A5" s="125" t="s">
        <v>887</v>
      </c>
      <c r="B5" s="125" t="s">
        <v>1320</v>
      </c>
      <c r="C5" s="125" t="s">
        <v>1320</v>
      </c>
    </row>
    <row r="6" spans="1:3">
      <c r="A6" s="125" t="s">
        <v>885</v>
      </c>
      <c r="B6" s="125" t="s">
        <v>1337</v>
      </c>
      <c r="C6" s="125" t="s">
        <v>1321</v>
      </c>
    </row>
    <row r="7" spans="1:3">
      <c r="A7" s="125" t="s">
        <v>884</v>
      </c>
      <c r="B7" s="125" t="s">
        <v>1338</v>
      </c>
      <c r="C7" s="125" t="s">
        <v>1322</v>
      </c>
    </row>
    <row r="8" spans="1:3">
      <c r="A8" s="125" t="s">
        <v>883</v>
      </c>
      <c r="B8" s="125" t="s">
        <v>1323</v>
      </c>
      <c r="C8" s="125" t="s">
        <v>1323</v>
      </c>
    </row>
    <row r="9" spans="1:3">
      <c r="A9" s="125" t="s">
        <v>892</v>
      </c>
      <c r="B9" s="125" t="s">
        <v>1324</v>
      </c>
      <c r="C9" s="125" t="s">
        <v>1324</v>
      </c>
    </row>
    <row r="10" spans="1:3">
      <c r="A10" s="125" t="s">
        <v>894</v>
      </c>
      <c r="B10" s="125" t="s">
        <v>1339</v>
      </c>
      <c r="C10" s="125" t="s">
        <v>1325</v>
      </c>
    </row>
    <row r="11" spans="1:3">
      <c r="A11" s="125" t="s">
        <v>893</v>
      </c>
      <c r="B11" s="125" t="s">
        <v>1340</v>
      </c>
      <c r="C11" s="125" t="s">
        <v>1326</v>
      </c>
    </row>
    <row r="12" spans="1:3">
      <c r="A12" s="125" t="s">
        <v>891</v>
      </c>
      <c r="B12" s="125" t="s">
        <v>1341</v>
      </c>
      <c r="C12" s="125" t="s">
        <v>1327</v>
      </c>
    </row>
    <row r="13" spans="1:3">
      <c r="A13" s="125" t="s">
        <v>753</v>
      </c>
      <c r="B13" s="125" t="s">
        <v>31</v>
      </c>
      <c r="C13" s="125" t="s">
        <v>1328</v>
      </c>
    </row>
    <row r="14" spans="1:3">
      <c r="A14" s="125" t="s">
        <v>895</v>
      </c>
      <c r="B14" s="125" t="s">
        <v>32</v>
      </c>
      <c r="C14" s="125" t="s">
        <v>1329</v>
      </c>
    </row>
    <row r="15" spans="1:3">
      <c r="A15" s="125" t="s">
        <v>896</v>
      </c>
      <c r="B15" s="125" t="s">
        <v>33</v>
      </c>
      <c r="C15" s="125" t="s">
        <v>1330</v>
      </c>
    </row>
    <row r="16" spans="1:3">
      <c r="A16" s="125" t="s">
        <v>751</v>
      </c>
      <c r="B16" s="125" t="s">
        <v>34</v>
      </c>
      <c r="C16" s="125" t="s">
        <v>1331</v>
      </c>
    </row>
    <row r="17" spans="1:3">
      <c r="A17" s="125" t="s">
        <v>890</v>
      </c>
      <c r="B17" s="125" t="s">
        <v>35</v>
      </c>
      <c r="C17" s="125" t="s">
        <v>1332</v>
      </c>
    </row>
    <row r="18" spans="1:3">
      <c r="A18" s="125" t="s">
        <v>889</v>
      </c>
      <c r="B18" s="125" t="s">
        <v>17</v>
      </c>
      <c r="C18" s="125" t="s">
        <v>32</v>
      </c>
    </row>
    <row r="19" spans="1:3">
      <c r="A19" s="125" t="s">
        <v>888</v>
      </c>
      <c r="B19" s="125" t="s">
        <v>1342</v>
      </c>
      <c r="C19" s="125" t="s">
        <v>1333</v>
      </c>
    </row>
    <row r="20" spans="1:3">
      <c r="A20" s="125" t="s">
        <v>910</v>
      </c>
      <c r="C20" s="125" t="s">
        <v>34</v>
      </c>
    </row>
    <row r="21" spans="1:3">
      <c r="A21" s="125" t="s">
        <v>911</v>
      </c>
      <c r="C21" s="125" t="s">
        <v>35</v>
      </c>
    </row>
    <row r="22" spans="1:3">
      <c r="C22" s="125" t="s">
        <v>1334</v>
      </c>
    </row>
    <row r="23" spans="1:3">
      <c r="C23" s="125" t="s">
        <v>1335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1F513751AC33344AB32CFD2920EFE649" ma:contentTypeVersion="11" ma:contentTypeDescription="Create a new document." ma:contentTypeScope="" ma:versionID="683516f7d70434a0e4dbd6c476be8d5b">
  <xsd:schema xmlns:xsd="http://www.w3.org/2001/XMLSchema" xmlns:xs="http://www.w3.org/2001/XMLSchema" xmlns:p="http://schemas.microsoft.com/office/2006/metadata/properties" xmlns:ns2="72e3a154-4955-46c3-9573-e9dec3e1f195" xmlns:ns3="ec500478-62e0-46fc-87f1-cfa988e486b4" targetNamespace="http://schemas.microsoft.com/office/2006/metadata/properties" ma:root="true" ma:fieldsID="cf4a15c6a1eec5dbba94230cc6a50510" ns2:_="" ns3:_="">
    <xsd:import namespace="72e3a154-4955-46c3-9573-e9dec3e1f195"/>
    <xsd:import namespace="ec500478-62e0-46fc-87f1-cfa988e486b4"/>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72e3a154-4955-46c3-9573-e9dec3e1f19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OCR" ma:index="11" nillable="true" ma:displayName="Extracted Text" ma:internalName="MediaServiceOCR" ma:readOnly="true">
      <xsd:simpleType>
        <xsd:restriction base="dms:Note">
          <xsd:maxLength value="255"/>
        </xsd:restriction>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ServiceAutoKeyPoints" ma:index="14" nillable="true" ma:displayName="MediaServiceAutoKeyPoints" ma:hidden="true" ma:internalName="MediaServiceAutoKeyPoints" ma:readOnly="true">
      <xsd:simpleType>
        <xsd:restriction base="dms:Note"/>
      </xsd:simpleType>
    </xsd:element>
    <xsd:element name="MediaServiceKeyPoints" ma:index="15" nillable="true" ma:displayName="KeyPoints" ma:internalName="MediaServiceKeyPoints" ma:readOnly="true">
      <xsd:simpleType>
        <xsd:restriction base="dms:Note">
          <xsd:maxLength value="255"/>
        </xsd:restriction>
      </xsd:simpleType>
    </xsd:element>
    <xsd:element name="MediaServiceDateTaken" ma:index="18" nillable="true" ma:displayName="MediaServiceDateTaken" ma:hidden="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c500478-62e0-46fc-87f1-cfa988e486b4" elementFormDefault="qualified">
    <xsd:import namespace="http://schemas.microsoft.com/office/2006/documentManagement/types"/>
    <xsd:import namespace="http://schemas.microsoft.com/office/infopath/2007/PartnerControls"/>
    <xsd:element name="SharedWithUsers" ma:index="16"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7"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41716C53-4EA1-4C26-8807-9A61F8DDF271}">
  <ds:schemaRefs>
    <ds:schemaRef ds:uri="http://purl.org/dc/elements/1.1/"/>
    <ds:schemaRef ds:uri="http://schemas.microsoft.com/office/2006/metadata/properties"/>
    <ds:schemaRef ds:uri="http://purl.org/dc/terms/"/>
    <ds:schemaRef ds:uri="http://schemas.openxmlformats.org/package/2006/metadata/core-properties"/>
    <ds:schemaRef ds:uri="72e3a154-4955-46c3-9573-e9dec3e1f195"/>
    <ds:schemaRef ds:uri="http://schemas.microsoft.com/office/2006/documentManagement/types"/>
    <ds:schemaRef ds:uri="http://schemas.microsoft.com/office/infopath/2007/PartnerControls"/>
    <ds:schemaRef ds:uri="ec500478-62e0-46fc-87f1-cfa988e486b4"/>
    <ds:schemaRef ds:uri="http://www.w3.org/XML/1998/namespace"/>
    <ds:schemaRef ds:uri="http://purl.org/dc/dcmitype/"/>
  </ds:schemaRefs>
</ds:datastoreItem>
</file>

<file path=customXml/itemProps2.xml><?xml version="1.0" encoding="utf-8"?>
<ds:datastoreItem xmlns:ds="http://schemas.openxmlformats.org/officeDocument/2006/customXml" ds:itemID="{7A148512-6BC5-4C28-9682-34F7D085C54B}">
  <ds:schemaRefs>
    <ds:schemaRef ds:uri="http://schemas.microsoft.com/sharepoint/v3/contenttype/forms"/>
  </ds:schemaRefs>
</ds:datastoreItem>
</file>

<file path=customXml/itemProps3.xml><?xml version="1.0" encoding="utf-8"?>
<ds:datastoreItem xmlns:ds="http://schemas.openxmlformats.org/officeDocument/2006/customXml" ds:itemID="{4FC96C87-1E7F-4C84-96EE-D73096841C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72e3a154-4955-46c3-9573-e9dec3e1f195"/>
    <ds:schemaRef ds:uri="ec500478-62e0-46fc-87f1-cfa988e486b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48</vt:i4>
      </vt:variant>
      <vt:variant>
        <vt:lpstr>Named Ranges</vt:lpstr>
      </vt:variant>
      <vt:variant>
        <vt:i4>33</vt:i4>
      </vt:variant>
    </vt:vector>
  </HeadingPairs>
  <TitlesOfParts>
    <vt:vector size="81" baseType="lpstr">
      <vt:lpstr>Copyright</vt:lpstr>
      <vt:lpstr>Release</vt:lpstr>
      <vt:lpstr>Guide</vt:lpstr>
      <vt:lpstr>Control</vt:lpstr>
      <vt:lpstr>Agreement 3</vt:lpstr>
      <vt:lpstr>Planning</vt:lpstr>
      <vt:lpstr>StartupInfo</vt:lpstr>
      <vt:lpstr>Project&amp;Support</vt:lpstr>
      <vt:lpstr>Staff</vt:lpstr>
      <vt:lpstr>StaffGuide</vt:lpstr>
      <vt:lpstr>PvtProjectFTEs</vt:lpstr>
      <vt:lpstr>PvtStaffDistinct</vt:lpstr>
      <vt:lpstr>PvtPACheck</vt:lpstr>
      <vt:lpstr>P1PA-SS</vt:lpstr>
      <vt:lpstr>P1PA-RSG</vt:lpstr>
      <vt:lpstr>P1PA-R</vt:lpstr>
      <vt:lpstr>P2CA</vt:lpstr>
      <vt:lpstr>P3RF</vt:lpstr>
      <vt:lpstr>Schedule</vt:lpstr>
      <vt:lpstr>PvtCheck1</vt:lpstr>
      <vt:lpstr>Schedule2</vt:lpstr>
      <vt:lpstr>PvtEffort</vt:lpstr>
      <vt:lpstr>Schedule4-1P</vt:lpstr>
      <vt:lpstr>Schedule4-1A</vt:lpstr>
      <vt:lpstr>Schedule4-2</vt:lpstr>
      <vt:lpstr>ATM_PA</vt:lpstr>
      <vt:lpstr>C_Resource_Estimates</vt:lpstr>
      <vt:lpstr>C_Support</vt:lpstr>
      <vt:lpstr>C_Projects</vt:lpstr>
      <vt:lpstr>C_OUParticipants</vt:lpstr>
      <vt:lpstr>C_OUProjects</vt:lpstr>
      <vt:lpstr>C_OUPracticeAreas</vt:lpstr>
      <vt:lpstr>OULC</vt:lpstr>
      <vt:lpstr>PvtPartDistinct</vt:lpstr>
      <vt:lpstr>PvtPart_PA</vt:lpstr>
      <vt:lpstr>PvtPart_PrjSup</vt:lpstr>
      <vt:lpstr>PvtPart_Session</vt:lpstr>
      <vt:lpstr>pptxCertificate</vt:lpstr>
      <vt:lpstr>pptxCover</vt:lpstr>
      <vt:lpstr>pptxLink1</vt:lpstr>
      <vt:lpstr>pptxLink2</vt:lpstr>
      <vt:lpstr>pptxLink3</vt:lpstr>
      <vt:lpstr>pptxLink4</vt:lpstr>
      <vt:lpstr>pptxLink5</vt:lpstr>
      <vt:lpstr>pptxLink6</vt:lpstr>
      <vt:lpstr>pptxLink7</vt:lpstr>
      <vt:lpstr>Tables</vt:lpstr>
      <vt:lpstr>BASE</vt:lpstr>
      <vt:lpstr>ATM_PA!Print_Area</vt:lpstr>
      <vt:lpstr>'Project&amp;Support'!Print_Area</vt:lpstr>
      <vt:lpstr>PvtStaffDistinct!Print_Area</vt:lpstr>
      <vt:lpstr>Schedule2!Print_Area</vt:lpstr>
      <vt:lpstr>'Schedule4-1A'!Print_Area</vt:lpstr>
      <vt:lpstr>'Schedule4-1P'!Print_Area</vt:lpstr>
      <vt:lpstr>Staff!Print_Area</vt:lpstr>
      <vt:lpstr>StaffGuide!Print_Area</vt:lpstr>
      <vt:lpstr>StartupInfo!Print_Area</vt:lpstr>
      <vt:lpstr>Staff!Print_Titles</vt:lpstr>
      <vt:lpstr>StaffGuide!Print_Titles</vt:lpstr>
      <vt:lpstr>tbl_Affiliation</vt:lpstr>
      <vt:lpstr>tbl_AppraisalArtifacts</vt:lpstr>
      <vt:lpstr>tbl_appraisalrole</vt:lpstr>
      <vt:lpstr>tbl_COI</vt:lpstr>
      <vt:lpstr>tbl_CollectionApproach</vt:lpstr>
      <vt:lpstr>tbl_collectiontechnique</vt:lpstr>
      <vt:lpstr>tbl_constraints</vt:lpstr>
      <vt:lpstr>tbl_country</vt:lpstr>
      <vt:lpstr>tbl_equipment</vt:lpstr>
      <vt:lpstr>tbl_followon</vt:lpstr>
      <vt:lpstr>tbl_isic</vt:lpstr>
      <vt:lpstr>tbl_logisticalRequirement</vt:lpstr>
      <vt:lpstr>tbl_modelview</vt:lpstr>
      <vt:lpstr>tbl_PAcount</vt:lpstr>
      <vt:lpstr>tbl_projectNames</vt:lpstr>
      <vt:lpstr>tbl_reportingRelationship</vt:lpstr>
      <vt:lpstr>tbl_responsibleEntity</vt:lpstr>
      <vt:lpstr>tbl_riskCategory</vt:lpstr>
      <vt:lpstr>tbl_RolePAlookup</vt:lpstr>
      <vt:lpstr>tbl_sampling</vt:lpstr>
      <vt:lpstr>tbl_target</vt:lpstr>
      <vt:lpstr>tbl_timezone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Pieter van Zyl</cp:lastModifiedBy>
  <cp:lastPrinted>2021-01-17T11:16:17Z</cp:lastPrinted>
  <dcterms:created xsi:type="dcterms:W3CDTF">2020-09-22T13:41:36Z</dcterms:created>
  <dcterms:modified xsi:type="dcterms:W3CDTF">2021-05-08T05:52:18Z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0x0101001F513751AC33344AB32CFD2920EFE649</vt:lpwstr>
  </property>
</Properties>
</file>