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FBBC9229-7B69-4CA3-8857-2B7AD4F65FDB}" xr6:coauthVersionLast="47" xr6:coauthVersionMax="47" xr10:uidLastSave="{00000000-0000-0000-0000-000000000000}"/>
  <bookViews>
    <workbookView xWindow="-108" yWindow="-108" windowWidth="23256" windowHeight="12456" tabRatio="859" activeTab="5"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3" i="84" l="1"/>
  <c r="M22" i="84"/>
  <c r="M20" i="84"/>
  <c r="M19" i="84"/>
  <c r="M17" i="84"/>
  <c r="M16" i="84"/>
  <c r="M15" i="84"/>
  <c r="M11" i="84"/>
  <c r="M10" i="84"/>
  <c r="M9" i="84"/>
  <c r="M8" i="84"/>
  <c r="M6" i="84"/>
  <c r="M5" i="84"/>
  <c r="M4" i="84"/>
  <c r="M3" i="84"/>
  <c r="B62" i="83"/>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<sst xmlns="http://schemas.openxmlformats.org/spreadsheetml/2006/main" count="4430" uniqueCount="1774">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</sst>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9" fontId="0" fillId="0" borderId="0" xfId="0" applyNumberFormat="1" applyAlignment="1">
      <alignment horizontal="center" vertical="top"/>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b/>
        <i val="0"/>
        <color rgb="FFFF0000"/>
      </font>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2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1212</v>
      </c>
    </row>
    <row r="3" spans="1:1">
      <c r="A3" s="150" t="s">
        <v>1213</v>
      </c>
    </row>
    <row r="4" spans="1:1">
      <c r="A4" s="150"/>
    </row>
    <row r="5" spans="1:1">
      <c r="A5" s="149" t="s">
        <v>1218</v>
      </c>
    </row>
    <row r="6" spans="1:1" s="149" customFormat="1">
      <c r="A6" s="150" t="s">
        <v>1219</v>
      </c>
    </row>
    <row r="8" spans="1:1">
      <c r="A8" s="149" t="s">
        <v>1221</v>
      </c>
    </row>
    <row r="9" spans="1:1">
      <c r="A9" s="150" t="s">
        <v>1217</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1184</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1220</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1148</v>
      </c>
      <c r="G14" s="149"/>
      <c r="H14" s="149"/>
      <c r="I14" s="149"/>
      <c r="J14" s="149"/>
      <c r="K14" s="149"/>
      <c r="L14" s="149"/>
      <c r="M14" s="149"/>
      <c r="N14" s="149"/>
      <c r="O14" s="149"/>
      <c r="P14" s="8"/>
      <c r="Q14" s="8"/>
      <c r="R14" s="8"/>
      <c r="S14" s="8"/>
    </row>
    <row r="15" spans="1:32">
      <c r="A15" s="44">
        <v>38</v>
      </c>
      <c r="B15" s="45">
        <v>44175</v>
      </c>
      <c r="C15" s="44" t="s">
        <v>836</v>
      </c>
      <c r="D15" s="56" t="s">
        <v>1183</v>
      </c>
      <c r="G15" s="149"/>
      <c r="H15" s="149"/>
      <c r="I15" s="149"/>
      <c r="J15" s="149"/>
      <c r="K15" s="149"/>
      <c r="L15" s="149"/>
      <c r="M15" s="149"/>
      <c r="N15" s="149"/>
      <c r="O15" s="149"/>
      <c r="P15" s="8"/>
      <c r="Q15" s="8"/>
      <c r="R15" s="8"/>
      <c r="S15" s="8"/>
    </row>
    <row r="16" spans="1:32" ht="28.8">
      <c r="A16" s="44">
        <v>43</v>
      </c>
      <c r="B16" s="45">
        <v>44231</v>
      </c>
      <c r="C16" s="44" t="s">
        <v>1326</v>
      </c>
      <c r="D16" s="56" t="s">
        <v>1624</v>
      </c>
      <c r="G16" s="149"/>
      <c r="H16" s="149"/>
      <c r="I16" s="149"/>
      <c r="J16" s="149"/>
      <c r="K16" s="149"/>
      <c r="L16" s="149"/>
      <c r="M16" s="149"/>
      <c r="N16" s="149"/>
      <c r="O16" s="149"/>
      <c r="P16" s="8"/>
      <c r="Q16" s="8"/>
      <c r="R16" s="8"/>
      <c r="S16" s="8"/>
    </row>
    <row r="17" spans="1:19" ht="28.8">
      <c r="A17" s="44">
        <v>50</v>
      </c>
      <c r="B17" s="45">
        <v>44314</v>
      </c>
      <c r="C17" s="44" t="s">
        <v>836</v>
      </c>
      <c r="D17" s="56" t="s">
        <v>1623</v>
      </c>
      <c r="G17" s="149"/>
      <c r="H17" s="149"/>
      <c r="I17" s="149"/>
      <c r="J17" s="149"/>
      <c r="K17" s="149"/>
      <c r="L17" s="149"/>
      <c r="M17" s="149"/>
      <c r="N17" s="149"/>
      <c r="O17" s="149"/>
      <c r="P17" s="8"/>
      <c r="Q17" s="8"/>
      <c r="R17" s="8"/>
      <c r="S17" s="8"/>
    </row>
    <row r="18" spans="1:19" ht="28.8">
      <c r="A18" s="44">
        <v>51</v>
      </c>
      <c r="B18" s="45">
        <v>44318</v>
      </c>
      <c r="C18" s="44" t="s">
        <v>836</v>
      </c>
      <c r="D18" s="56" t="s">
        <v>1630</v>
      </c>
      <c r="G18" s="149"/>
      <c r="H18" s="149"/>
      <c r="I18" s="149"/>
      <c r="J18" s="149"/>
      <c r="K18" s="149"/>
      <c r="L18" s="149"/>
      <c r="M18" s="149"/>
      <c r="N18" s="149"/>
      <c r="O18" s="149"/>
      <c r="P18" s="8"/>
      <c r="Q18" s="8"/>
      <c r="R18" s="8"/>
      <c r="S18" s="8"/>
    </row>
    <row r="19" spans="1:19">
      <c r="A19" s="44">
        <v>52</v>
      </c>
      <c r="B19" s="45">
        <v>44324</v>
      </c>
      <c r="C19" s="44" t="s">
        <v>836</v>
      </c>
      <c r="D19" s="56" t="s">
        <v>1631</v>
      </c>
      <c r="G19" s="149"/>
      <c r="H19" s="149"/>
      <c r="I19" s="149"/>
      <c r="J19" s="149"/>
      <c r="K19" s="149"/>
      <c r="L19" s="149"/>
      <c r="M19" s="149"/>
    </row>
    <row r="20" spans="1:19" ht="28.8">
      <c r="A20" s="44">
        <v>53</v>
      </c>
      <c r="B20" s="45">
        <v>44343</v>
      </c>
      <c r="C20" s="44" t="s">
        <v>836</v>
      </c>
      <c r="D20" s="56" t="s">
        <v>1633</v>
      </c>
    </row>
    <row r="21" spans="1:19">
      <c r="A21" s="44">
        <v>53</v>
      </c>
      <c r="B21" s="45">
        <v>44354</v>
      </c>
      <c r="C21" s="44" t="s">
        <v>1637</v>
      </c>
      <c r="D21" s="56" t="s">
        <v>1645</v>
      </c>
    </row>
    <row r="22" spans="1:19">
      <c r="A22" s="44">
        <v>56</v>
      </c>
      <c r="B22" s="45">
        <v>44463</v>
      </c>
      <c r="C22" s="44" t="s">
        <v>836</v>
      </c>
      <c r="D22" s="56" t="s">
        <v>1644</v>
      </c>
    </row>
    <row r="23" spans="1:19">
      <c r="A23" s="44">
        <v>57</v>
      </c>
      <c r="B23" s="45">
        <v>44566</v>
      </c>
      <c r="C23" s="44" t="s">
        <v>1637</v>
      </c>
      <c r="D23" s="56" t="s">
        <v>1646</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1452</v>
      </c>
      <c r="D45" s="345" t="s">
        <v>1451</v>
      </c>
      <c r="H45" s="344" t="s">
        <v>1074</v>
      </c>
      <c r="I45" s="344"/>
      <c r="J45" s="344"/>
      <c r="K45" s="344"/>
      <c r="L45" s="344"/>
    </row>
    <row r="64" spans="2:19">
      <c r="B64" s="347" t="s">
        <v>1076</v>
      </c>
      <c r="C64" s="347"/>
      <c r="D64" s="348" t="s">
        <v>1077</v>
      </c>
      <c r="F64" s="349" t="s">
        <v>1079</v>
      </c>
      <c r="G64" s="349"/>
      <c r="H64" s="349"/>
      <c r="I64" s="349"/>
      <c r="K64" s="350" t="s">
        <v>1453</v>
      </c>
      <c r="L64" s="350"/>
      <c r="M64" s="350"/>
      <c r="N64" s="350"/>
      <c r="P64" s="352" t="s">
        <v>1075</v>
      </c>
      <c r="Q64" s="351"/>
      <c r="R64" s="351"/>
      <c r="S64" s="351"/>
    </row>
    <row r="84" spans="6:8">
      <c r="F84" s="357" t="s">
        <v>1466</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1240</v>
      </c>
      <c r="B1" s="290"/>
    </row>
    <row r="2" spans="1:2" ht="43.2">
      <c r="A2" s="116" t="s">
        <v>1241</v>
      </c>
      <c r="B2" s="116" t="s">
        <v>1242</v>
      </c>
    </row>
    <row r="3" spans="1:2">
      <c r="B3" s="291" t="s">
        <v>1243</v>
      </c>
    </row>
    <row r="4" spans="1:2">
      <c r="B4" s="292" t="s">
        <v>1244</v>
      </c>
    </row>
    <row r="5" spans="1:2" ht="28.8">
      <c r="B5" s="293" t="s">
        <v>1245</v>
      </c>
    </row>
    <row r="7" spans="1:2" ht="72">
      <c r="A7" s="116" t="s">
        <v>1246</v>
      </c>
      <c r="B7" s="116" t="s">
        <v>1247</v>
      </c>
    </row>
    <row r="9" spans="1:2" ht="28.8">
      <c r="A9" s="116" t="s">
        <v>1248</v>
      </c>
      <c r="B9" s="116" t="s">
        <v>1249</v>
      </c>
    </row>
    <row r="11" spans="1:2">
      <c r="A11" s="290" t="s">
        <v>1250</v>
      </c>
      <c r="B11" s="290"/>
    </row>
    <row r="12" spans="1:2">
      <c r="A12" s="116" t="s">
        <v>1214</v>
      </c>
      <c r="B12" s="116" t="s">
        <v>1251</v>
      </c>
    </row>
    <row r="13" spans="1:2" ht="43.2">
      <c r="A13" s="116" t="s">
        <v>1185</v>
      </c>
      <c r="B13" s="116" t="s">
        <v>1252</v>
      </c>
    </row>
    <row r="14" spans="1:2">
      <c r="A14" s="116" t="s">
        <v>1253</v>
      </c>
      <c r="B14" s="116" t="s">
        <v>1254</v>
      </c>
    </row>
    <row r="15" spans="1:2" ht="57.6">
      <c r="A15" s="116" t="s">
        <v>938</v>
      </c>
      <c r="B15" s="116" t="s">
        <v>1255</v>
      </c>
    </row>
    <row r="16" spans="1:2" ht="43.2">
      <c r="A16" s="124" t="s">
        <v>939</v>
      </c>
      <c r="B16" s="116" t="s">
        <v>1256</v>
      </c>
    </row>
    <row r="17" spans="1:2">
      <c r="A17" s="124" t="s">
        <v>951</v>
      </c>
      <c r="B17" s="116" t="s">
        <v>1257</v>
      </c>
    </row>
    <row r="18" spans="1:2" ht="28.8">
      <c r="A18" s="124" t="s">
        <v>940</v>
      </c>
      <c r="B18" s="116" t="s">
        <v>1258</v>
      </c>
    </row>
    <row r="19" spans="1:2" ht="43.2">
      <c r="A19" s="124" t="s">
        <v>1166</v>
      </c>
      <c r="B19" s="116" t="s">
        <v>1259</v>
      </c>
    </row>
    <row r="20" spans="1:2">
      <c r="A20" s="124" t="s">
        <v>992</v>
      </c>
      <c r="B20" s="116" t="s">
        <v>1260</v>
      </c>
    </row>
    <row r="21" spans="1:2">
      <c r="A21" s="124" t="s">
        <v>1261</v>
      </c>
    </row>
    <row r="22" spans="1:2">
      <c r="A22" s="124" t="s">
        <v>1262</v>
      </c>
    </row>
    <row r="23" spans="1:2">
      <c r="A23" s="124" t="s">
        <v>1263</v>
      </c>
    </row>
    <row r="24" spans="1:2">
      <c r="A24" s="124" t="s">
        <v>1264</v>
      </c>
    </row>
    <row r="25" spans="1:2">
      <c r="A25" s="124" t="s">
        <v>944</v>
      </c>
    </row>
    <row r="26" spans="1:2">
      <c r="A26" s="124" t="s">
        <v>945</v>
      </c>
    </row>
    <row r="27" spans="1:2">
      <c r="A27" s="124" t="s">
        <v>946</v>
      </c>
    </row>
    <row r="28" spans="1:2">
      <c r="A28" s="124" t="s">
        <v>1215</v>
      </c>
    </row>
    <row r="29" spans="1:2">
      <c r="A29" s="124" t="s">
        <v>1216</v>
      </c>
    </row>
    <row r="30" spans="1:2">
      <c r="A30" s="124" t="s">
        <v>664</v>
      </c>
    </row>
    <row r="31" spans="1:2">
      <c r="A31" s="124" t="s">
        <v>1265</v>
      </c>
    </row>
    <row r="32" spans="1:2">
      <c r="A32" s="124" t="s">
        <v>942</v>
      </c>
    </row>
    <row r="33" spans="1:1">
      <c r="A33" s="124" t="s">
        <v>1266</v>
      </c>
    </row>
    <row r="34" spans="1:1">
      <c r="A34" s="124" t="s">
        <v>1267</v>
      </c>
    </row>
    <row r="35" spans="1:1">
      <c r="A35" s="124" t="s">
        <v>1268</v>
      </c>
    </row>
    <row r="36" spans="1:1">
      <c r="A36" s="124" t="s">
        <v>1269</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1577</v>
      </c>
      <c r="C2" s="103" t="s">
        <v>1578</v>
      </c>
      <c r="D2" s="103" t="s">
        <v>1275</v>
      </c>
      <c r="E2" s="103" t="s">
        <v>1276</v>
      </c>
      <c r="F2" s="103" t="s">
        <v>1285</v>
      </c>
      <c r="G2" s="103" t="s">
        <v>1277</v>
      </c>
      <c r="H2" s="103" t="s">
        <v>1179</v>
      </c>
      <c r="AD2" s="311"/>
      <c r="AE2" s="311"/>
      <c r="AF2" s="311"/>
    </row>
    <row r="7" spans="1:32" s="77" customFormat="1">
      <c r="A7" t="s">
        <v>1214</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1185</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1253</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1166</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1169</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1170</v>
      </c>
      <c r="B17" s="131"/>
      <c r="C17" s="131"/>
      <c r="D17" s="131"/>
      <c r="E17" s="131"/>
      <c r="F17" s="131"/>
      <c r="G17" s="131"/>
      <c r="H17" s="131"/>
      <c r="I17" s="127">
        <f t="shared" si="0"/>
        <v>0</v>
      </c>
      <c r="K17" s="128"/>
      <c r="AD17" s="77"/>
      <c r="AE17" s="77"/>
      <c r="AF17" s="77"/>
    </row>
    <row r="18" spans="1:32" s="127" customFormat="1">
      <c r="A18" t="s">
        <v>1171</v>
      </c>
      <c r="B18" s="131"/>
      <c r="C18" s="131"/>
      <c r="D18" s="131"/>
      <c r="E18" s="131"/>
      <c r="F18" s="131"/>
      <c r="G18" s="131"/>
      <c r="H18" s="131"/>
      <c r="I18" s="127">
        <f t="shared" si="0"/>
        <v>0</v>
      </c>
      <c r="K18" s="128"/>
      <c r="AD18" s="77"/>
      <c r="AE18" s="77"/>
      <c r="AF18" s="77"/>
    </row>
    <row r="19" spans="1:32" s="127" customFormat="1">
      <c r="A19" t="s">
        <v>1553</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1215</v>
      </c>
      <c r="B23" s="131"/>
      <c r="C23" s="131"/>
      <c r="D23" s="131"/>
      <c r="E23" s="131"/>
      <c r="F23" s="131"/>
      <c r="G23" s="131"/>
      <c r="H23" s="131"/>
      <c r="I23" s="127">
        <f t="shared" si="0"/>
        <v>0</v>
      </c>
      <c r="K23" s="128"/>
      <c r="AD23" s="77"/>
      <c r="AE23" s="77"/>
      <c r="AF23" s="77"/>
    </row>
    <row r="24" spans="1:32" s="127" customFormat="1">
      <c r="A24" t="s">
        <v>1216</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1158</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1286</v>
      </c>
      <c r="B28" s="131"/>
      <c r="C28" s="131"/>
      <c r="D28" s="131"/>
      <c r="E28" s="131"/>
      <c r="F28" s="131" t="s">
        <v>410</v>
      </c>
      <c r="G28" s="131"/>
      <c r="H28" s="131"/>
      <c r="I28" s="127">
        <f t="shared" si="0"/>
        <v>1</v>
      </c>
      <c r="K28" s="128"/>
      <c r="AD28" s="77"/>
      <c r="AE28" s="77"/>
      <c r="AF28" s="77"/>
    </row>
    <row r="29" spans="1:32" s="127" customFormat="1">
      <c r="A29" t="s">
        <v>1482</v>
      </c>
      <c r="B29" s="131"/>
      <c r="C29" s="131"/>
      <c r="D29" s="131"/>
      <c r="E29" s="131"/>
      <c r="F29" s="131"/>
      <c r="G29" s="131"/>
      <c r="H29" s="131"/>
      <c r="I29" s="127">
        <f t="shared" si="0"/>
        <v>0</v>
      </c>
      <c r="K29" s="128"/>
      <c r="AD29" s="77"/>
      <c r="AE29" s="77"/>
      <c r="AF29" s="77"/>
    </row>
    <row r="30" spans="1:32">
      <c r="A30" t="s">
        <v>1483</v>
      </c>
      <c r="I30" s="127">
        <f t="shared" si="0"/>
        <v>0</v>
      </c>
    </row>
    <row r="31" spans="1:32">
      <c r="A31" t="s">
        <v>1484</v>
      </c>
      <c r="I31" s="127">
        <f t="shared" si="0"/>
        <v>0</v>
      </c>
    </row>
    <row r="32" spans="1:32">
      <c r="A32" t="s">
        <v>1037</v>
      </c>
      <c r="I32" s="127">
        <f t="shared" si="0"/>
        <v>0</v>
      </c>
    </row>
    <row r="33" spans="1:9">
      <c r="A33" t="s">
        <v>1481</v>
      </c>
      <c r="I33" s="127">
        <f t="shared" si="0"/>
        <v>0</v>
      </c>
    </row>
    <row r="34" spans="1:9">
      <c r="A34" t="s">
        <v>1321</v>
      </c>
      <c r="B34" s="131" t="s">
        <v>410</v>
      </c>
      <c r="I34" s="127">
        <f t="shared" si="0"/>
        <v>1</v>
      </c>
    </row>
    <row r="35" spans="1:9">
      <c r="A35" t="s">
        <v>1322</v>
      </c>
      <c r="B35" s="131" t="s">
        <v>410</v>
      </c>
      <c r="I35" s="127">
        <f t="shared" si="0"/>
        <v>1</v>
      </c>
    </row>
    <row r="36" spans="1:9">
      <c r="A36" t="s">
        <v>1323</v>
      </c>
      <c r="C36" s="131" t="s">
        <v>410</v>
      </c>
      <c r="I36" s="127">
        <f t="shared" si="0"/>
        <v>1</v>
      </c>
    </row>
    <row r="37" spans="1:9">
      <c r="A37" t="s">
        <v>1324</v>
      </c>
      <c r="C37" s="131" t="s">
        <v>410</v>
      </c>
      <c r="I37" s="127">
        <f t="shared" si="0"/>
        <v>1</v>
      </c>
    </row>
    <row r="38" spans="1:9">
      <c r="A38" t="s">
        <v>1325</v>
      </c>
      <c r="C38" s="131" t="s">
        <v>410</v>
      </c>
      <c r="I38" s="127">
        <f t="shared" si="0"/>
        <v>1</v>
      </c>
    </row>
    <row r="39" spans="1:9">
      <c r="A39" t="s">
        <v>1126</v>
      </c>
      <c r="I39" s="127">
        <f t="shared" si="0"/>
        <v>0</v>
      </c>
    </row>
    <row r="40" spans="1:9">
      <c r="A40" t="s">
        <v>1178</v>
      </c>
      <c r="I40" s="127">
        <f t="shared" si="0"/>
        <v>0</v>
      </c>
    </row>
    <row r="41" spans="1:9">
      <c r="A41" t="s">
        <v>1172</v>
      </c>
      <c r="I41" s="127">
        <f t="shared" si="0"/>
        <v>0</v>
      </c>
    </row>
    <row r="42" spans="1:9">
      <c r="A42" t="s">
        <v>1173</v>
      </c>
      <c r="I42" s="127">
        <f t="shared" si="0"/>
        <v>0</v>
      </c>
    </row>
    <row r="43" spans="1:9">
      <c r="A43" t="s">
        <v>1174</v>
      </c>
      <c r="I43" s="127">
        <f t="shared" si="0"/>
        <v>0</v>
      </c>
    </row>
    <row r="44" spans="1:9">
      <c r="A44" t="s">
        <v>1035</v>
      </c>
      <c r="I44" s="127">
        <f t="shared" si="0"/>
        <v>0</v>
      </c>
    </row>
    <row r="45" spans="1:9">
      <c r="A45" t="s">
        <v>1036</v>
      </c>
      <c r="I45" s="127">
        <f t="shared" si="0"/>
        <v>0</v>
      </c>
    </row>
    <row r="46" spans="1:9">
      <c r="A46" t="s">
        <v>1485</v>
      </c>
      <c r="I46" s="127">
        <f t="shared" si="0"/>
        <v>0</v>
      </c>
    </row>
    <row r="47" spans="1:9">
      <c r="A47" t="s">
        <v>1486</v>
      </c>
      <c r="I47" s="127">
        <f t="shared" si="0"/>
        <v>0</v>
      </c>
    </row>
    <row r="48" spans="1:9">
      <c r="A48" t="s">
        <v>1487</v>
      </c>
      <c r="I48" s="127">
        <f t="shared" si="0"/>
        <v>0</v>
      </c>
    </row>
    <row r="49" spans="1:9">
      <c r="A49" t="s">
        <v>1488</v>
      </c>
      <c r="I49" s="127">
        <f t="shared" si="0"/>
        <v>0</v>
      </c>
    </row>
    <row r="50" spans="1:9">
      <c r="A50" t="s">
        <v>1489</v>
      </c>
      <c r="I50" s="127">
        <f t="shared" si="0"/>
        <v>0</v>
      </c>
    </row>
    <row r="51" spans="1:9">
      <c r="A51" t="s">
        <v>1490</v>
      </c>
      <c r="I51" s="127">
        <f t="shared" si="0"/>
        <v>0</v>
      </c>
    </row>
    <row r="52" spans="1:9">
      <c r="A52" t="s">
        <v>1491</v>
      </c>
      <c r="I52" s="127">
        <f t="shared" si="0"/>
        <v>0</v>
      </c>
    </row>
    <row r="53" spans="1:9">
      <c r="A53" t="s">
        <v>947</v>
      </c>
      <c r="I53" s="127">
        <f t="shared" si="0"/>
        <v>0</v>
      </c>
    </row>
    <row r="54" spans="1:9">
      <c r="A54" t="s">
        <v>1276</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1716</v>
      </c>
      <c r="B1" s="450"/>
    </row>
    <row r="2" spans="1:3" s="50" customFormat="1" ht="15.6">
      <c r="A2" s="51" t="s">
        <v>1706</v>
      </c>
      <c r="B2" s="51" t="s">
        <v>1717</v>
      </c>
      <c r="C2" s="49"/>
    </row>
    <row r="3" spans="1:3" s="50" customFormat="1" ht="15.6">
      <c r="A3" s="49" t="s">
        <v>1718</v>
      </c>
      <c r="B3" s="451" t="str">
        <f>'Agreement 3'!B42</f>
        <v>barbara.land@email.com</v>
      </c>
      <c r="C3" s="49"/>
    </row>
    <row r="4" spans="1:3" s="50" customFormat="1" ht="15.6">
      <c r="A4" s="49" t="s">
        <v>1719</v>
      </c>
      <c r="B4" s="451" t="str">
        <f>_xlfn.CONCAT('Agreement 3'!B31,"; ",'Agreement 3'!B36)</f>
        <v>donald.kessler@email.com; nathalie.lake@email.com</v>
      </c>
      <c r="C4" s="49"/>
    </row>
    <row r="5" spans="1:3" s="124" customFormat="1">
      <c r="A5" s="124" t="s">
        <v>1707</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1720</v>
      </c>
      <c r="B8" s="192" t="str">
        <f>'Agreement 3'!B28</f>
        <v>Prof Kessler, Donald</v>
      </c>
    </row>
    <row r="9" spans="1:3" s="124" customFormat="1">
      <c r="A9" s="124" t="s">
        <v>1721</v>
      </c>
      <c r="B9" s="192" t="str">
        <f>'Agreement 3'!B16</f>
        <v>Software for Mars (Pty) Ltd</v>
      </c>
    </row>
    <row r="10" spans="1:3" s="124" customFormat="1">
      <c r="A10" s="124" t="s">
        <v>1722</v>
      </c>
      <c r="B10" s="192" t="str">
        <f>'Agreement 3'!B29</f>
        <v>The Boss</v>
      </c>
    </row>
    <row r="11" spans="1:3" s="124" customFormat="1">
      <c r="A11" s="124" t="s">
        <v>1723</v>
      </c>
      <c r="B11" s="192" t="str">
        <f>'Agreement 3'!B30</f>
        <v>+000 1111 2222</v>
      </c>
    </row>
    <row r="12" spans="1:3" s="124" customFormat="1">
      <c r="A12" s="124" t="s">
        <v>1724</v>
      </c>
      <c r="B12" s="192" t="str">
        <f>'Agreement 3'!B31</f>
        <v>donald.kessler@email.com</v>
      </c>
    </row>
    <row r="13" spans="1:3" s="124" customFormat="1">
      <c r="B13" s="192"/>
    </row>
    <row r="14" spans="1:3" s="124" customFormat="1">
      <c r="A14" s="124" t="s">
        <v>1725</v>
      </c>
      <c r="B14" s="192" t="str">
        <f>'Agreement 3'!B33</f>
        <v>Miss Lake, Nathalie</v>
      </c>
    </row>
    <row r="15" spans="1:3" s="124" customFormat="1">
      <c r="A15" s="124" t="s">
        <v>1726</v>
      </c>
      <c r="B15" s="452">
        <f ca="1">Planning!B27-TODAY()</f>
        <v>-489</v>
      </c>
    </row>
    <row r="16" spans="1:3" s="124" customFormat="1"/>
    <row r="17" spans="1:3" s="50" customFormat="1" ht="15.6">
      <c r="A17" s="51" t="s">
        <v>1727</v>
      </c>
      <c r="B17" s="51" t="s">
        <v>1728</v>
      </c>
      <c r="C17" s="49"/>
    </row>
    <row r="18" spans="1:3" s="124" customFormat="1">
      <c r="A18" s="124" t="s">
        <v>1729</v>
      </c>
      <c r="B18" s="124" t="str">
        <f>_xlfn.CONCAT('P1PA-SS'!V92,"; ",'P1PA-SS'!V93)</f>
        <v>atm1.email@gmail.com; atm2.email@gmail.com</v>
      </c>
    </row>
    <row r="19" spans="1:3" s="124" customFormat="1">
      <c r="A19" s="124" t="s">
        <v>1707</v>
      </c>
      <c r="B19" s="124" t="str">
        <f>_xlfn.CONCAT('Agreement 3'!B16, " (CASID",'Agreement 3'!B5,") | CAS review before submission")</f>
        <v>Software for Mars (Pty) Ltd (CASID53517) | CAS review before submission</v>
      </c>
    </row>
    <row r="20" spans="1:3" s="124" customFormat="1">
      <c r="A20" s="124" t="s">
        <v>1730</v>
      </c>
      <c r="B20" s="124" t="str">
        <f>_xlfn.CONCAT('P1PA-SS'!B92," and ",'P1PA-SS'!B93)</f>
        <v>ATM-1 and ATM-2</v>
      </c>
    </row>
    <row r="21" spans="1:3" s="124" customFormat="1">
      <c r="A21" s="124" t="s">
        <v>1731</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1732</v>
      </c>
      <c r="B24" s="51" t="s">
        <v>1733</v>
      </c>
      <c r="C24" s="49"/>
    </row>
    <row r="25" spans="1:3" s="124" customFormat="1">
      <c r="A25" s="124" t="s">
        <v>1718</v>
      </c>
      <c r="B25" s="192" t="str">
        <f>'Agreement 3'!B42</f>
        <v>barbara.land@email.com</v>
      </c>
    </row>
    <row r="26" spans="1:3" s="124" customFormat="1">
      <c r="A26" s="124" t="s">
        <v>1734</v>
      </c>
      <c r="B26" s="124" t="str">
        <f>_xlfn.CONCAT('Agreement 3'!B31,"; ",'Agreement 3'!B36,"; ",'P1PA-SS'!V92,"; ",'P1PA-SS'!V93)</f>
        <v>donald.kessler@email.com; nathalie.lake@email.com; atm1.email@gmail.com; atm2.email@gmail.com</v>
      </c>
    </row>
    <row r="27" spans="1:3" s="124" customFormat="1">
      <c r="A27" s="124" t="s">
        <v>1707</v>
      </c>
      <c r="B27" s="124" t="str">
        <f>_xlfn.CONCAT('Agreement 3'!B16," (CASID",'Agreement 3'!B5,") | Random sample and OEdb")</f>
        <v>Software for Mars (Pty) Ltd (CASID53517) | Random sample and OEdb</v>
      </c>
    </row>
    <row r="28" spans="1:3" s="124" customFormat="1">
      <c r="A28" s="124" t="s">
        <v>1735</v>
      </c>
      <c r="B28" s="192" t="str">
        <f>'Agreement 3'!B38</f>
        <v>Miss Land, Barbara</v>
      </c>
    </row>
    <row r="29" spans="1:3" s="124" customFormat="1">
      <c r="A29" s="124" t="s">
        <v>1736</v>
      </c>
      <c r="B29" s="192" t="str">
        <f>'Agreement 3'!B33</f>
        <v>Miss Lake, Nathalie</v>
      </c>
    </row>
    <row r="30" spans="1:3" s="124" customFormat="1"/>
    <row r="31" spans="1:3" s="124" customFormat="1">
      <c r="A31" s="124" t="s">
        <v>1737</v>
      </c>
      <c r="B31" s="124" t="str">
        <f>'P1PA-SS'!B92</f>
        <v>ATM-1</v>
      </c>
    </row>
    <row r="32" spans="1:3" s="124" customFormat="1"/>
    <row r="33" spans="1:3" s="50" customFormat="1" ht="15.6">
      <c r="A33" s="51" t="s">
        <v>1713</v>
      </c>
      <c r="B33" s="51" t="s">
        <v>1738</v>
      </c>
      <c r="C33" s="49"/>
    </row>
    <row r="34" spans="1:3" s="124" customFormat="1">
      <c r="A34" s="124" t="s">
        <v>1739</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1707</v>
      </c>
      <c r="B35" s="192" t="str">
        <f>_xlfn.CONCAT('Agreement 3'!B16," (CASID",'Agreement 3'!B5,") | Please sign CAS documents")</f>
        <v>Software for Mars (Pty) Ltd (CASID53517) | Please sign CAS documents</v>
      </c>
    </row>
    <row r="36" spans="1:3" s="124" customFormat="1">
      <c r="B36" s="192"/>
    </row>
    <row r="37" spans="1:3" s="124" customFormat="1">
      <c r="A37" s="124" t="s">
        <v>1720</v>
      </c>
      <c r="B37" s="192" t="str">
        <f>'Agreement 3'!B28</f>
        <v>Prof Kessler, Donald</v>
      </c>
    </row>
    <row r="38" spans="1:3" s="124" customFormat="1">
      <c r="A38" s="124" t="s">
        <v>1740</v>
      </c>
      <c r="B38" s="192" t="str">
        <f>_xlfn.CONCAT("https://cmmiinstitute.com/appraisals-sys/appraisals/",'Agreement 3'!B5,"/roles-responsibilities")</f>
        <v>https://cmmiinstitute.com/appraisals-sys/appraisals/53517/roles-responsibilities</v>
      </c>
    </row>
    <row r="39" spans="1:3" s="124" customFormat="1">
      <c r="A39" s="124" t="s">
        <v>1714</v>
      </c>
      <c r="B39" s="192" t="str">
        <f>_xlfn.CONCAT("https://cmmiinstitute.com/appraisals-sys/appraisals/",'Agreement 3'!B5,"/confidentiality-agreement")</f>
        <v>https://cmmiinstitute.com/appraisals-sys/appraisals/53517/confidentiality-agreement</v>
      </c>
    </row>
    <row r="40" spans="1:3" s="124" customFormat="1">
      <c r="A40" s="124" t="s">
        <v>1715</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1741</v>
      </c>
      <c r="B42" s="192" t="str">
        <f>_xlfn.CONCAT('Agreement 3'!B33," and ",'Agreement 3'!B38)</f>
        <v>Miss Lake, Nathalie and Miss Land, Barbara</v>
      </c>
    </row>
    <row r="43" spans="1:3" s="124" customFormat="1">
      <c r="A43" s="124" t="s">
        <v>1714</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1742</v>
      </c>
      <c r="B45" s="192" t="str">
        <f>_xlfn.CONCAT('P1PA-SS'!B92,", ",'P1PA-SS'!B93,", ",'P1PA-SS'!B94,", ",'P1PA-SS'!B95,", ",'P1PA-SS'!B96,", ",'P1PA-SS'!B97,", ",'P1PA-SS'!B98,", ",'P1PA-SS'!B99,", and ",'P1PA-SS'!B100)</f>
        <v>ATM-1, ATM-2, ATM-3, ATM-4, ATM-5, ATM-6, ATM-7, ATM-8, and ATM-9</v>
      </c>
    </row>
    <row r="46" spans="1:3" s="124" customFormat="1">
      <c r="A46" s="124" t="s">
        <v>1714</v>
      </c>
      <c r="B46" s="192" t="str">
        <f>_xlfn.CONCAT("https://cmmiinstitute.com/appraisals-sys/appraisals/",'Agreement 3'!B5,"/confidentiality-agreement")</f>
        <v>https://cmmiinstitute.com/appraisals-sys/appraisals/53517/confidentiality-agreement</v>
      </c>
    </row>
    <row r="47" spans="1:3" s="124" customFormat="1">
      <c r="A47" s="124" t="s">
        <v>1715</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1708</v>
      </c>
      <c r="B49" s="51" t="s">
        <v>1743</v>
      </c>
      <c r="C49" s="49"/>
    </row>
    <row r="50" spans="1:3" s="124" customFormat="1">
      <c r="A50" s="124" t="s">
        <v>1744</v>
      </c>
      <c r="B50" s="192" t="str">
        <f>'Agreement 3'!B31</f>
        <v>donald.kessler@email.com</v>
      </c>
    </row>
    <row r="51" spans="1:3" s="124" customFormat="1">
      <c r="A51" s="124" t="s">
        <v>1745</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1707</v>
      </c>
      <c r="B52" s="124" t="str">
        <f>_xlfn.CONCAT('Agreement 3'!B16," (CASID",'Agreement 3'!B5,") | Readiness review completed")</f>
        <v>Software for Mars (Pty) Ltd (CASID53517) | Readiness review completed</v>
      </c>
    </row>
    <row r="53" spans="1:3" s="124" customFormat="1">
      <c r="A53" s="124" t="s">
        <v>1709</v>
      </c>
      <c r="B53" s="192" t="str">
        <f>'Agreement 3'!B28</f>
        <v>Prof Kessler, Donald</v>
      </c>
    </row>
    <row r="54" spans="1:3" s="124" customFormat="1">
      <c r="A54" s="124" t="s">
        <v>1710</v>
      </c>
      <c r="B54" s="192" t="str">
        <f>_xlfn.CONCAT("https://cmmiinstitute.com/appraisals-sys/appraisals/",'Agreement 3'!B5,"/roles-responsibilities")</f>
        <v>https://cmmiinstitute.com/appraisals-sys/appraisals/53517/roles-responsibilities</v>
      </c>
    </row>
    <row r="55" spans="1:3" s="124" customFormat="1">
      <c r="A55" s="124" t="s">
        <v>1711</v>
      </c>
      <c r="B55" s="192" t="str">
        <f>_xlfn.CONCAT("https://cmmiinstitute.com/appraisals-sys/appraisals/",'Agreement 3'!B5,"/confidentiality-agreement")</f>
        <v>https://cmmiinstitute.com/appraisals-sys/appraisals/53517/confidentiality-agreement</v>
      </c>
    </row>
    <row r="56" spans="1:3" s="124" customFormat="1">
      <c r="A56" s="124" t="s">
        <v>1712</v>
      </c>
      <c r="B56" s="192" t="str">
        <f>_xlfn.CONCAT("https://cmmiinstitute.com/appraisals-sys/appraisals/",'Agreement 3'!B5,"/appraisal-plan-summary")</f>
        <v>https://cmmiinstitute.com/appraisals-sys/appraisals/53517/appraisal-plan-summary</v>
      </c>
    </row>
    <row r="57" spans="1:3" s="124" customFormat="1">
      <c r="A57" s="124" t="s">
        <v>1751</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1727</v>
      </c>
      <c r="B59" s="51" t="s">
        <v>1750</v>
      </c>
      <c r="C59" s="49"/>
    </row>
    <row r="60" spans="1:3" s="124" customFormat="1">
      <c r="A60" s="124" t="s">
        <v>1729</v>
      </c>
      <c r="B60" s="124" t="str">
        <f>_xlfn.CONCAT('P1PA-SS'!V92,"; ",'P1PA-SS'!V93)</f>
        <v>atm1.email@gmail.com; atm2.email@gmail.com</v>
      </c>
    </row>
    <row r="61" spans="1:3" s="124" customFormat="1">
      <c r="A61" s="124" t="s">
        <v>1707</v>
      </c>
      <c r="B61" s="124" t="str">
        <f>_xlfn.CONCAT('Agreement 3'!B16, " (CASID",'Agreement 3'!B5,") | CAS review before submission")</f>
        <v>Software for Mars (Pty) Ltd (CASID53517) | CAS review before submission</v>
      </c>
    </row>
    <row r="62" spans="1:3" s="124" customFormat="1">
      <c r="A62" s="124" t="s">
        <v>1730</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1731</v>
      </c>
      <c r="B63" s="124" t="str">
        <f>Planning!B7</f>
        <v>2021-04-12to04-16 (A5) C53517 SoftMARS</v>
      </c>
    </row>
    <row r="64" spans="1:3" s="124" customFormat="1">
      <c r="A64" s="124" t="s">
        <v>1752</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tabSelected="1"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1755</v>
      </c>
      <c r="C2" s="609">
        <v>0.3</v>
      </c>
      <c r="D2" s="609">
        <v>0.5</v>
      </c>
      <c r="E2" s="609">
        <v>1</v>
      </c>
    </row>
    <row r="3" spans="1:13">
      <c r="A3" s="124" t="s">
        <v>617</v>
      </c>
      <c r="B3" s="124" t="s">
        <v>1756</v>
      </c>
      <c r="C3" s="64" t="s">
        <v>388</v>
      </c>
      <c r="M3" s="30" t="str">
        <f>HYPERLINK(_xlfn.CONCAT("https://cmmiinstitute.com/appraisals-sys/appraisals/",'Agreement 3'!B5,"/roles-responsibilities"))</f>
        <v>https://cmmiinstitute.com/appraisals-sys/appraisals/53517/roles-responsibilities</v>
      </c>
    </row>
    <row r="4" spans="1:13">
      <c r="B4" s="124" t="s">
        <v>1757</v>
      </c>
      <c r="C4" s="64" t="s">
        <v>388</v>
      </c>
      <c r="M4" s="30" t="str">
        <f>HYPERLINK(_xlfn.CONCAT("https://cmmiinstitute.com/appraisals-sys/appraisals/",'Agreement 3'!B5,"/appraisal-plan-summary"))</f>
        <v>https://cmmiinstitute.com/appraisals-sys/appraisals/53517/appraisal-plan-summary</v>
      </c>
    </row>
    <row r="5" spans="1:13">
      <c r="B5" s="124" t="s">
        <v>1758</v>
      </c>
      <c r="C5" s="64" t="s">
        <v>388</v>
      </c>
      <c r="M5" s="30" t="str">
        <f>HYPERLINK(_xlfn.CONCAT("https://cmmiinstitute.com/appraisals-sys/appraisals/",'Agreement 3'!B5,"/confidentiality-agreement"))</f>
        <v>https://cmmiinstitute.com/appraisals-sys/appraisals/53517/confidentiality-agreement</v>
      </c>
    </row>
    <row r="6" spans="1:13">
      <c r="B6" s="124" t="s">
        <v>1759</v>
      </c>
      <c r="C6" s="64" t="s">
        <v>388</v>
      </c>
      <c r="M6" s="30" t="str">
        <f>HYPERLINK(_xlfn.CONCAT("https://cmmiinstitute.com/appraisals-sys/appraisals/",'Agreement 3'!B5,"/appraisal-team"))</f>
        <v>https://cmmiinstitute.com/appraisals-sys/appraisals/53517/appraisal-team</v>
      </c>
    </row>
    <row r="8" spans="1:13">
      <c r="A8" s="124" t="s">
        <v>592</v>
      </c>
      <c r="B8" s="124" t="s">
        <v>1756</v>
      </c>
      <c r="C8" s="64" t="s">
        <v>388</v>
      </c>
      <c r="M8" s="30" t="str">
        <f>HYPERLINK(_xlfn.CONCAT("https://cmmiinstitute.com/appraisals-sys/appraisals/",'Agreement 3'!B5,"/roles-responsibilities"))</f>
        <v>https://cmmiinstitute.com/appraisals-sys/appraisals/53517/roles-responsibilities</v>
      </c>
    </row>
    <row r="9" spans="1:13">
      <c r="B9" s="124" t="s">
        <v>1757</v>
      </c>
      <c r="C9" s="64" t="s">
        <v>388</v>
      </c>
      <c r="M9" s="30" t="str">
        <f>HYPERLINK(_xlfn.CONCAT("https://cmmiinstitute.com/appraisals-sys/appraisals/",'Agreement 3'!B5,"/appraisal-plan-summary"))</f>
        <v>https://cmmiinstitute.com/appraisals-sys/appraisals/53517/appraisal-plan-summary</v>
      </c>
    </row>
    <row r="10" spans="1:13">
      <c r="B10" s="124" t="s">
        <v>1758</v>
      </c>
      <c r="C10" s="64" t="s">
        <v>388</v>
      </c>
      <c r="M10" s="30" t="str">
        <f>HYPERLINK(_xlfn.CONCAT("https://cmmiinstitute.com/appraisals-sys/appraisals/",'Agreement 3'!B5,"/confidentiality-agreement"))</f>
        <v>https://cmmiinstitute.com/appraisals-sys/appraisals/53517/confidentiality-agreement</v>
      </c>
    </row>
    <row r="11" spans="1:13">
      <c r="B11" s="124" t="s">
        <v>1759</v>
      </c>
      <c r="C11" s="64" t="s">
        <v>388</v>
      </c>
      <c r="M11" s="30" t="str">
        <f>HYPERLINK(_xlfn.CONCAT("https://cmmiinstitute.com/appraisals-sys/appraisals/",'Agreement 3'!B5,"/appraisal-sponsor"))</f>
        <v>https://cmmiinstitute.com/appraisals-sys/appraisals/53517/appraisal-sponsor</v>
      </c>
    </row>
    <row r="12" spans="1:13">
      <c r="M12" s="30"/>
    </row>
    <row r="13" spans="1:13">
      <c r="A13" s="124" t="s">
        <v>1760</v>
      </c>
      <c r="B13" s="124" t="s">
        <v>1772</v>
      </c>
      <c r="C13" s="64" t="s">
        <v>388</v>
      </c>
      <c r="F13" s="64" t="s">
        <v>1767</v>
      </c>
      <c r="G13" s="64" t="s">
        <v>1768</v>
      </c>
      <c r="H13" s="64" t="s">
        <v>1769</v>
      </c>
      <c r="I13" s="64" t="s">
        <v>1770</v>
      </c>
      <c r="J13" s="64" t="s">
        <v>1771</v>
      </c>
    </row>
    <row r="14" spans="1:13">
      <c r="B14" s="124" t="s">
        <v>1773</v>
      </c>
      <c r="C14" s="64" t="s">
        <v>388</v>
      </c>
    </row>
    <row r="15" spans="1:13">
      <c r="B15" s="124" t="s">
        <v>1758</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1761</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1759</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1396</v>
      </c>
      <c r="B19" s="124" t="s">
        <v>1758</v>
      </c>
      <c r="C19" s="64" t="s">
        <v>388</v>
      </c>
      <c r="M19" s="30" t="str">
        <f>HYPERLINK(_xlfn.CONCAT("https://cmmiinstitute.com/appraisals-sys/appraisals/",'Agreement 3'!B5,"/confidentiality-agreement"))</f>
        <v>https://cmmiinstitute.com/appraisals-sys/appraisals/53517/confidentiality-agreement</v>
      </c>
    </row>
    <row r="20" spans="1:13">
      <c r="B20" s="124" t="s">
        <v>1759</v>
      </c>
      <c r="C20" s="64" t="s">
        <v>388</v>
      </c>
      <c r="M20" s="30" t="str">
        <f>HYPERLINK(_xlfn.CONCAT("https://cmmiinstitute.com/appraisals-sys/appraisals/",'Agreement 3'!B5,"/appraisal-team"))</f>
        <v>https://cmmiinstitute.com/appraisals-sys/appraisals/53517/appraisal-team</v>
      </c>
    </row>
    <row r="22" spans="1:13">
      <c r="A22" s="124" t="s">
        <v>1395</v>
      </c>
      <c r="B22" s="124" t="s">
        <v>1758</v>
      </c>
      <c r="C22" s="64" t="s">
        <v>388</v>
      </c>
      <c r="M22" s="30" t="str">
        <f>HYPERLINK(_xlfn.CONCAT("https://cmmiinstitute.com/appraisals-sys/appraisals/",'Agreement 3'!B5,"/confidentiality-agreement"))</f>
        <v>https://cmmiinstitute.com/appraisals-sys/appraisals/53517/confidentiality-agreement</v>
      </c>
    </row>
    <row r="23" spans="1:13">
      <c r="B23" s="124" t="s">
        <v>1759</v>
      </c>
      <c r="C23" s="64" t="s">
        <v>388</v>
      </c>
      <c r="M23" s="30" t="str">
        <f>HYPERLINK(_xlfn.CONCAT("https://cmmiinstitute.com/appraisals-sys/appraisals/",'Agreement 3'!B5,"/appraisal-team"))</f>
        <v>https://cmmiinstitute.com/appraisals-sys/appraisals/53517/appraisal-team</v>
      </c>
    </row>
    <row r="25" spans="1:13">
      <c r="A25" s="124" t="s">
        <v>1762</v>
      </c>
      <c r="B25" s="124" t="s">
        <v>1763</v>
      </c>
    </row>
    <row r="28" spans="1:13">
      <c r="A28" s="124" t="s">
        <v>1764</v>
      </c>
      <c r="B28" s="124" t="s">
        <v>1765</v>
      </c>
    </row>
    <row r="30" spans="1:13">
      <c r="A30" s="124" t="s">
        <v>1766</v>
      </c>
    </row>
  </sheetData>
  <conditionalFormatting sqref="C1:C1048576">
    <cfRule type="cellIs" dxfId="141" priority="2" operator="equal">
      <formula>"No"</formula>
    </cfRule>
  </conditionalFormatting>
  <conditionalFormatting sqref="F15:J17">
    <cfRule type="cellIs" dxfId="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1492</v>
      </c>
    </row>
    <row r="3" spans="1:2">
      <c r="A3" s="2" t="s">
        <v>2</v>
      </c>
      <c r="B3" s="320"/>
    </row>
    <row r="4" spans="1:2">
      <c r="A4" s="2" t="s">
        <v>719</v>
      </c>
      <c r="B4" s="3" t="s">
        <v>1493</v>
      </c>
    </row>
    <row r="5" spans="1:2">
      <c r="A5" s="2" t="s">
        <v>1571</v>
      </c>
      <c r="B5" s="4">
        <v>53517</v>
      </c>
    </row>
    <row r="6" spans="1:2">
      <c r="A6" s="5" t="s">
        <v>3</v>
      </c>
      <c r="B6" s="5"/>
    </row>
    <row r="7" spans="1:2">
      <c r="A7" s="2" t="s">
        <v>4</v>
      </c>
      <c r="B7" s="6" t="s">
        <v>1494</v>
      </c>
    </row>
    <row r="8" spans="1:2">
      <c r="A8" s="2" t="s">
        <v>5</v>
      </c>
      <c r="B8" s="6" t="s">
        <v>6</v>
      </c>
    </row>
    <row r="9" spans="1:2">
      <c r="A9" s="2" t="s">
        <v>7</v>
      </c>
      <c r="B9" s="6" t="s">
        <v>1495</v>
      </c>
    </row>
    <row r="10" spans="1:2" ht="55.2">
      <c r="A10" s="2" t="s">
        <v>8</v>
      </c>
      <c r="B10" s="6" t="s">
        <v>1496</v>
      </c>
    </row>
    <row r="11" spans="1:2">
      <c r="A11" s="2" t="s">
        <v>1099</v>
      </c>
      <c r="B11" s="6" t="s">
        <v>1497</v>
      </c>
    </row>
    <row r="12" spans="1:2">
      <c r="A12" s="2" t="s">
        <v>9</v>
      </c>
      <c r="B12" s="6" t="s">
        <v>1498</v>
      </c>
    </row>
    <row r="13" spans="1:2">
      <c r="A13" s="2" t="s">
        <v>10</v>
      </c>
      <c r="B13" s="6" t="s">
        <v>1499</v>
      </c>
    </row>
    <row r="14" spans="1:2">
      <c r="A14" s="2" t="s">
        <v>11</v>
      </c>
      <c r="B14" s="6" t="s">
        <v>1500</v>
      </c>
    </row>
    <row r="15" spans="1:2">
      <c r="A15" s="5" t="s">
        <v>12</v>
      </c>
      <c r="B15" s="5"/>
    </row>
    <row r="16" spans="1:2">
      <c r="A16" s="2" t="s">
        <v>13</v>
      </c>
      <c r="B16" s="82" t="s">
        <v>1554</v>
      </c>
    </row>
    <row r="17" spans="1:2">
      <c r="A17" s="2" t="s">
        <v>14</v>
      </c>
      <c r="B17" s="294" t="s">
        <v>1555</v>
      </c>
    </row>
    <row r="18" spans="1:2">
      <c r="A18" s="2" t="s">
        <v>15</v>
      </c>
      <c r="B18" s="6" t="s">
        <v>1556</v>
      </c>
    </row>
    <row r="19" spans="1:2">
      <c r="A19" s="2" t="s">
        <v>16</v>
      </c>
      <c r="B19" s="6" t="s">
        <v>1557</v>
      </c>
    </row>
    <row r="20" spans="1:2">
      <c r="A20" s="2" t="s">
        <v>17</v>
      </c>
      <c r="B20" s="6" t="s">
        <v>1555</v>
      </c>
    </row>
    <row r="21" spans="1:2">
      <c r="A21" s="5" t="s">
        <v>19</v>
      </c>
      <c r="B21" s="5"/>
    </row>
    <row r="22" spans="1:2">
      <c r="A22" s="2" t="s">
        <v>20</v>
      </c>
      <c r="B22" s="294">
        <v>44174</v>
      </c>
    </row>
    <row r="23" spans="1:2">
      <c r="A23" s="2" t="s">
        <v>21</v>
      </c>
      <c r="B23" s="295" t="s">
        <v>1558</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1559</v>
      </c>
    </row>
    <row r="29" spans="1:2">
      <c r="A29" s="2" t="s">
        <v>7</v>
      </c>
      <c r="B29" s="294" t="s">
        <v>1560</v>
      </c>
    </row>
    <row r="30" spans="1:2">
      <c r="A30" s="2" t="s">
        <v>9</v>
      </c>
      <c r="B30" s="294" t="s">
        <v>1501</v>
      </c>
    </row>
    <row r="31" spans="1:2">
      <c r="A31" s="2" t="s">
        <v>10</v>
      </c>
      <c r="B31" s="27" t="s">
        <v>1561</v>
      </c>
    </row>
    <row r="32" spans="1:2">
      <c r="A32" s="5" t="s">
        <v>26</v>
      </c>
      <c r="B32" s="5"/>
    </row>
    <row r="33" spans="1:5">
      <c r="A33" s="2" t="s">
        <v>4</v>
      </c>
      <c r="B33" s="321" t="s">
        <v>1562</v>
      </c>
    </row>
    <row r="34" spans="1:5">
      <c r="A34" s="2" t="s">
        <v>5</v>
      </c>
      <c r="B34" s="420" t="str">
        <f>B16</f>
        <v>Software for Mars (Pty) Ltd</v>
      </c>
      <c r="C34" s="116"/>
    </row>
    <row r="35" spans="1:5">
      <c r="A35" s="2" t="s">
        <v>9</v>
      </c>
      <c r="B35" s="322" t="s">
        <v>1502</v>
      </c>
    </row>
    <row r="36" spans="1:5">
      <c r="A36" s="2" t="s">
        <v>10</v>
      </c>
      <c r="B36" s="323" t="s">
        <v>1563</v>
      </c>
    </row>
    <row r="37" spans="1:5">
      <c r="A37" s="5" t="s">
        <v>27</v>
      </c>
      <c r="B37" s="5"/>
    </row>
    <row r="38" spans="1:5">
      <c r="A38" s="2" t="s">
        <v>4</v>
      </c>
      <c r="B38" s="294" t="s">
        <v>1564</v>
      </c>
    </row>
    <row r="39" spans="1:5">
      <c r="A39" s="2" t="s">
        <v>5</v>
      </c>
      <c r="B39" s="294" t="s">
        <v>1327</v>
      </c>
    </row>
    <row r="40" spans="1:5">
      <c r="A40" s="2" t="s">
        <v>7</v>
      </c>
      <c r="B40" s="294" t="s">
        <v>423</v>
      </c>
    </row>
    <row r="41" spans="1:5">
      <c r="A41" s="2" t="s">
        <v>9</v>
      </c>
      <c r="B41" s="295" t="s">
        <v>1503</v>
      </c>
    </row>
    <row r="42" spans="1:5">
      <c r="A42" s="2" t="s">
        <v>10</v>
      </c>
      <c r="B42" s="87" t="s">
        <v>1565</v>
      </c>
    </row>
    <row r="43" spans="1:5">
      <c r="A43" s="7" t="s">
        <v>28</v>
      </c>
      <c r="B43" s="5"/>
    </row>
    <row r="44" spans="1:5">
      <c r="A44" s="2" t="s">
        <v>4</v>
      </c>
      <c r="B44" s="6" t="s">
        <v>1223</v>
      </c>
      <c r="D44" t="s">
        <v>1144</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40" priority="7" operator="equal">
      <formula>"xxx"</formula>
    </cfRule>
  </conditionalFormatting>
  <conditionalFormatting sqref="B4">
    <cfRule type="cellIs" dxfId="139" priority="6" operator="equal">
      <formula>"xxx"</formula>
    </cfRule>
  </conditionalFormatting>
  <conditionalFormatting sqref="B22:B26">
    <cfRule type="cellIs" dxfId="138" priority="5" operator="equal">
      <formula>"xxx"</formula>
    </cfRule>
  </conditionalFormatting>
  <conditionalFormatting sqref="B28:B31">
    <cfRule type="cellIs" dxfId="137" priority="4" operator="equal">
      <formula>"xxx"</formula>
    </cfRule>
  </conditionalFormatting>
  <conditionalFormatting sqref="B33 B35:B36">
    <cfRule type="cellIs" dxfId="136" priority="3" operator="equal">
      <formula>"xxx"</formula>
    </cfRule>
  </conditionalFormatting>
  <conditionalFormatting sqref="B38:B42">
    <cfRule type="cellIs" dxfId="135" priority="2" operator="equal">
      <formula>"xxx"</formula>
    </cfRule>
  </conditionalFormatting>
  <conditionalFormatting sqref="B34">
    <cfRule type="cellIs" dxfId="134"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1566</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1579</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1567</v>
      </c>
    </row>
    <row r="16" spans="1:3">
      <c r="A16" s="11" t="s">
        <v>756</v>
      </c>
      <c r="B16" s="91">
        <f>'Agreement 3'!B5</f>
        <v>53517</v>
      </c>
      <c r="C16" s="11" t="s">
        <v>990</v>
      </c>
    </row>
    <row r="18" spans="1:3" s="50" customFormat="1" ht="15.6">
      <c r="A18" s="51" t="s">
        <v>950</v>
      </c>
      <c r="B18" s="51"/>
      <c r="C18" s="49"/>
    </row>
    <row r="19" spans="1:3" s="50" customFormat="1" ht="15.6">
      <c r="A19" s="50" t="s">
        <v>865</v>
      </c>
      <c r="B19" s="407" t="s">
        <v>1328</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1329</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1206</v>
      </c>
      <c r="C43" s="119" t="s">
        <v>875</v>
      </c>
      <c r="D43" s="124" t="s">
        <v>1067</v>
      </c>
    </row>
    <row r="44" spans="1:5" s="119" customFormat="1" ht="43.2">
      <c r="A44" s="119" t="s">
        <v>594</v>
      </c>
      <c r="B44" s="88" t="s">
        <v>1330</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1569</v>
      </c>
    </row>
    <row r="6" spans="1:3" s="83" customFormat="1" ht="14.4">
      <c r="A6" s="83" t="s">
        <v>32</v>
      </c>
      <c r="B6" s="116" t="s">
        <v>1568</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1573</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1570</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1331</v>
      </c>
    </row>
    <row r="19" spans="1:3">
      <c r="A19" s="50" t="s">
        <v>850</v>
      </c>
      <c r="B19" s="88"/>
    </row>
    <row r="20" spans="1:3">
      <c r="A20" s="50" t="s">
        <v>851</v>
      </c>
      <c r="B20" s="88" t="s">
        <v>1504</v>
      </c>
    </row>
    <row r="21" spans="1:3" ht="86.4">
      <c r="A21" s="50" t="s">
        <v>852</v>
      </c>
      <c r="B21" s="406" t="s">
        <v>1572</v>
      </c>
      <c r="C21" s="302"/>
    </row>
    <row r="22" spans="1:3" ht="31.2">
      <c r="A22" s="50" t="s">
        <v>853</v>
      </c>
      <c r="B22" s="54" t="s">
        <v>347</v>
      </c>
      <c r="C22" s="49" t="s">
        <v>384</v>
      </c>
    </row>
    <row r="23" spans="1:3">
      <c r="A23" s="50" t="s">
        <v>854</v>
      </c>
      <c r="B23" s="459" t="s">
        <v>1753</v>
      </c>
    </row>
    <row r="24" spans="1:3" ht="46.8">
      <c r="A24" s="50" t="s">
        <v>966</v>
      </c>
      <c r="B24" s="324" t="s">
        <v>1480</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1160</v>
      </c>
      <c r="AC1" s="460" t="s">
        <v>1161</v>
      </c>
      <c r="AD1" s="460"/>
      <c r="AE1" s="460"/>
      <c r="AF1" s="460"/>
      <c r="AG1" s="460"/>
      <c r="AH1" s="460"/>
      <c r="AI1" s="460"/>
      <c r="AJ1" s="460"/>
    </row>
    <row r="2" spans="1:36" s="395" customFormat="1" ht="69.599999999999994">
      <c r="A2" s="393" t="s">
        <v>871</v>
      </c>
      <c r="B2" s="393" t="s">
        <v>13</v>
      </c>
      <c r="C2" s="393" t="s">
        <v>382</v>
      </c>
      <c r="D2" s="393" t="s">
        <v>872</v>
      </c>
      <c r="E2" s="393" t="s">
        <v>1131</v>
      </c>
      <c r="F2" s="394" t="s">
        <v>1132</v>
      </c>
      <c r="G2" s="394" t="s">
        <v>1133</v>
      </c>
      <c r="H2" s="393" t="s">
        <v>1476</v>
      </c>
      <c r="I2" s="257" t="s">
        <v>1479</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1162</v>
      </c>
      <c r="AD2" s="259" t="s">
        <v>1163</v>
      </c>
      <c r="AE2" s="259" t="s">
        <v>1627</v>
      </c>
      <c r="AF2" s="259" t="s">
        <v>1164</v>
      </c>
      <c r="AG2" s="259" t="s">
        <v>1628</v>
      </c>
      <c r="AH2" s="259" t="s">
        <v>1629</v>
      </c>
      <c r="AI2" s="259" t="s">
        <v>1140</v>
      </c>
      <c r="AJ2" s="260" t="s">
        <v>1165</v>
      </c>
    </row>
    <row r="3" spans="1:36" s="261" customFormat="1" ht="13.8">
      <c r="A3" s="262" t="s">
        <v>888</v>
      </c>
      <c r="B3" s="261" t="s">
        <v>1701</v>
      </c>
      <c r="C3" s="262" t="s">
        <v>1505</v>
      </c>
      <c r="D3" s="262" t="s">
        <v>1134</v>
      </c>
      <c r="E3" s="262" t="s">
        <v>1337</v>
      </c>
      <c r="F3" s="263">
        <v>44021</v>
      </c>
      <c r="G3" s="263">
        <v>44260</v>
      </c>
      <c r="H3" s="262" t="s">
        <v>1339</v>
      </c>
      <c r="I3" s="264" t="s">
        <v>1477</v>
      </c>
      <c r="J3" s="265" t="s">
        <v>1085</v>
      </c>
      <c r="K3" s="265" t="s">
        <v>1085</v>
      </c>
      <c r="L3" s="265"/>
      <c r="M3" s="265"/>
      <c r="N3" s="265"/>
      <c r="O3" s="265"/>
      <c r="P3" s="265"/>
      <c r="Q3" s="265"/>
      <c r="R3" s="265"/>
      <c r="S3" s="265"/>
      <c r="T3" s="265"/>
      <c r="U3" s="265"/>
      <c r="V3" s="265"/>
      <c r="W3" s="265"/>
      <c r="X3" s="265"/>
      <c r="Y3" s="265"/>
      <c r="Z3" s="265"/>
      <c r="AA3" s="265"/>
      <c r="AB3" s="264" t="s">
        <v>1705</v>
      </c>
      <c r="AC3" s="266" t="s">
        <v>1289</v>
      </c>
      <c r="AD3" s="266"/>
      <c r="AE3" s="266"/>
      <c r="AF3" s="266"/>
      <c r="AG3" s="266"/>
      <c r="AH3" s="266"/>
      <c r="AI3" s="266"/>
      <c r="AJ3" s="267"/>
    </row>
    <row r="4" spans="1:36" s="261" customFormat="1" ht="13.8">
      <c r="A4" s="262" t="s">
        <v>889</v>
      </c>
      <c r="B4" s="261" t="s">
        <v>1702</v>
      </c>
      <c r="C4" s="262" t="s">
        <v>1508</v>
      </c>
      <c r="D4" s="262" t="s">
        <v>1134</v>
      </c>
      <c r="E4" s="296" t="s">
        <v>1337</v>
      </c>
      <c r="F4" s="268">
        <v>44086</v>
      </c>
      <c r="G4" s="268">
        <v>44258</v>
      </c>
      <c r="H4" s="262" t="s">
        <v>1339</v>
      </c>
      <c r="I4" s="264" t="s">
        <v>1477</v>
      </c>
      <c r="J4" s="265"/>
      <c r="K4" s="265"/>
      <c r="L4" s="265"/>
      <c r="M4" s="265" t="s">
        <v>1085</v>
      </c>
      <c r="N4" s="265" t="s">
        <v>1085</v>
      </c>
      <c r="O4" s="265" t="s">
        <v>1085</v>
      </c>
      <c r="P4" s="265"/>
      <c r="Q4" s="265"/>
      <c r="R4" s="265"/>
      <c r="S4" s="265"/>
      <c r="T4" s="265"/>
      <c r="U4" s="265"/>
      <c r="V4" s="265"/>
      <c r="W4" s="265"/>
      <c r="X4" s="265"/>
      <c r="Y4" s="265"/>
      <c r="Z4" s="265"/>
      <c r="AA4" s="265"/>
      <c r="AB4" s="264" t="s">
        <v>1705</v>
      </c>
      <c r="AC4" s="266" t="s">
        <v>1289</v>
      </c>
      <c r="AD4" s="266"/>
      <c r="AE4" s="266"/>
      <c r="AF4" s="266"/>
      <c r="AG4" s="266"/>
      <c r="AH4" s="266"/>
      <c r="AI4" s="266"/>
      <c r="AJ4" s="267"/>
    </row>
    <row r="5" spans="1:36" s="261" customFormat="1" ht="13.8">
      <c r="A5" s="262" t="s">
        <v>890</v>
      </c>
      <c r="B5" s="261" t="s">
        <v>1703</v>
      </c>
      <c r="C5" s="262" t="s">
        <v>1510</v>
      </c>
      <c r="D5" s="262" t="s">
        <v>1134</v>
      </c>
      <c r="E5" s="296" t="s">
        <v>1337</v>
      </c>
      <c r="F5" s="268">
        <v>44062</v>
      </c>
      <c r="G5" s="268">
        <v>44247</v>
      </c>
      <c r="H5" s="262" t="s">
        <v>1339</v>
      </c>
      <c r="I5" s="264" t="s">
        <v>1477</v>
      </c>
      <c r="J5" s="265"/>
      <c r="K5" s="265"/>
      <c r="L5" s="265"/>
      <c r="M5" s="265"/>
      <c r="N5" s="265"/>
      <c r="O5" s="265"/>
      <c r="P5" s="265"/>
      <c r="Q5" s="265"/>
      <c r="R5" s="265"/>
      <c r="S5" s="265"/>
      <c r="T5" s="265"/>
      <c r="U5" s="265" t="s">
        <v>1085</v>
      </c>
      <c r="V5" s="265" t="s">
        <v>1085</v>
      </c>
      <c r="W5" s="265" t="s">
        <v>1085</v>
      </c>
      <c r="X5" s="265"/>
      <c r="Y5" s="265"/>
      <c r="Z5" s="265"/>
      <c r="AA5" s="265"/>
      <c r="AB5" s="264" t="s">
        <v>1705</v>
      </c>
      <c r="AC5" s="266"/>
      <c r="AD5" s="266" t="s">
        <v>1289</v>
      </c>
      <c r="AE5" s="266"/>
      <c r="AF5" s="266"/>
      <c r="AG5" s="266"/>
      <c r="AH5" s="266"/>
      <c r="AI5" s="266"/>
      <c r="AJ5" s="267"/>
    </row>
    <row r="6" spans="1:36" s="261" customFormat="1" ht="13.8">
      <c r="A6" s="262" t="s">
        <v>891</v>
      </c>
      <c r="B6" s="261" t="s">
        <v>1704</v>
      </c>
      <c r="C6" s="268" t="s">
        <v>1512</v>
      </c>
      <c r="D6" s="262" t="s">
        <v>1134</v>
      </c>
      <c r="E6" s="296" t="s">
        <v>1337</v>
      </c>
      <c r="F6" s="268" t="s">
        <v>1338</v>
      </c>
      <c r="G6" s="268">
        <v>44265</v>
      </c>
      <c r="H6" s="296" t="s">
        <v>1339</v>
      </c>
      <c r="I6" s="264" t="s">
        <v>1477</v>
      </c>
      <c r="J6" s="265"/>
      <c r="K6" s="265"/>
      <c r="L6" s="265"/>
      <c r="M6" s="265"/>
      <c r="N6" s="265"/>
      <c r="O6" s="265"/>
      <c r="P6" s="265"/>
      <c r="Q6" s="265"/>
      <c r="R6" s="265"/>
      <c r="S6" s="265" t="s">
        <v>1085</v>
      </c>
      <c r="T6" s="265"/>
      <c r="U6" s="265"/>
      <c r="V6" s="265"/>
      <c r="W6" s="265"/>
      <c r="X6" s="265"/>
      <c r="Y6" s="265"/>
      <c r="Z6" s="265"/>
      <c r="AA6" s="265"/>
      <c r="AB6" s="264" t="s">
        <v>1705</v>
      </c>
      <c r="AC6" s="266"/>
      <c r="AD6" s="266" t="s">
        <v>410</v>
      </c>
      <c r="AE6" s="266"/>
      <c r="AF6" s="266"/>
      <c r="AG6" s="266"/>
      <c r="AH6" s="266"/>
      <c r="AI6" s="266"/>
      <c r="AJ6" s="267"/>
    </row>
    <row r="7" spans="1:36" s="261" customFormat="1" ht="27.6">
      <c r="A7" s="270" t="s">
        <v>893</v>
      </c>
      <c r="B7" s="270" t="s">
        <v>1697</v>
      </c>
      <c r="C7" s="270" t="s">
        <v>1513</v>
      </c>
      <c r="D7" s="270" t="s">
        <v>1135</v>
      </c>
      <c r="E7" s="271"/>
      <c r="F7" s="272"/>
      <c r="G7" s="272"/>
      <c r="H7" s="296" t="s">
        <v>1339</v>
      </c>
      <c r="I7" s="265" t="s">
        <v>941</v>
      </c>
      <c r="J7" s="265"/>
      <c r="K7" s="265"/>
      <c r="L7" s="265"/>
      <c r="M7" s="265"/>
      <c r="N7" s="265"/>
      <c r="O7" s="265"/>
      <c r="P7" s="265"/>
      <c r="Q7" s="265"/>
      <c r="R7" s="265"/>
      <c r="S7" s="265"/>
      <c r="T7" s="265"/>
      <c r="U7" s="265"/>
      <c r="V7" s="265"/>
      <c r="W7" s="265"/>
      <c r="X7" s="265"/>
      <c r="Y7" s="265" t="s">
        <v>1150</v>
      </c>
      <c r="Z7" s="265"/>
      <c r="AA7" s="265"/>
      <c r="AB7" s="269">
        <v>1</v>
      </c>
      <c r="AC7" s="266"/>
      <c r="AD7" s="266"/>
      <c r="AE7" s="266" t="s">
        <v>410</v>
      </c>
      <c r="AF7" s="266"/>
      <c r="AG7" s="266"/>
      <c r="AH7" s="266"/>
      <c r="AI7" s="266"/>
      <c r="AJ7" s="267"/>
    </row>
    <row r="8" spans="1:36" s="261" customFormat="1" ht="69">
      <c r="A8" s="270" t="s">
        <v>894</v>
      </c>
      <c r="B8" s="270" t="s">
        <v>1698</v>
      </c>
      <c r="C8" s="270" t="s">
        <v>1514</v>
      </c>
      <c r="D8" s="270" t="s">
        <v>1135</v>
      </c>
      <c r="E8" s="271"/>
      <c r="F8" s="272"/>
      <c r="G8" s="272"/>
      <c r="H8" s="296" t="s">
        <v>1339</v>
      </c>
      <c r="I8" s="265" t="s">
        <v>941</v>
      </c>
      <c r="J8" s="265"/>
      <c r="K8" s="265"/>
      <c r="L8" s="265"/>
      <c r="M8" s="265"/>
      <c r="N8" s="265"/>
      <c r="O8" s="265"/>
      <c r="P8" s="265" t="s">
        <v>1150</v>
      </c>
      <c r="Q8" s="265" t="s">
        <v>1150</v>
      </c>
      <c r="R8" s="265" t="s">
        <v>1150</v>
      </c>
      <c r="S8" s="265"/>
      <c r="T8" s="265"/>
      <c r="U8" s="265"/>
      <c r="V8" s="265"/>
      <c r="W8" s="265"/>
      <c r="X8" s="265" t="s">
        <v>1150</v>
      </c>
      <c r="Y8" s="265"/>
      <c r="Z8" s="265" t="s">
        <v>1150</v>
      </c>
      <c r="AA8" s="265"/>
      <c r="AB8" s="269" t="s">
        <v>1705</v>
      </c>
      <c r="AC8" s="266"/>
      <c r="AD8" s="266"/>
      <c r="AE8" s="266"/>
      <c r="AF8" s="266" t="s">
        <v>410</v>
      </c>
      <c r="AG8" s="266" t="s">
        <v>410</v>
      </c>
      <c r="AH8" s="266"/>
      <c r="AI8" s="266"/>
      <c r="AJ8" s="267"/>
    </row>
    <row r="9" spans="1:36" s="261" customFormat="1" ht="41.4">
      <c r="A9" s="270" t="s">
        <v>895</v>
      </c>
      <c r="B9" s="270" t="s">
        <v>1699</v>
      </c>
      <c r="C9" s="270" t="s">
        <v>1515</v>
      </c>
      <c r="D9" s="270" t="s">
        <v>1135</v>
      </c>
      <c r="E9" s="271"/>
      <c r="F9" s="272"/>
      <c r="G9" s="272"/>
      <c r="H9" s="296" t="s">
        <v>1339</v>
      </c>
      <c r="I9" s="265" t="s">
        <v>941</v>
      </c>
      <c r="J9" s="265"/>
      <c r="K9" s="265"/>
      <c r="L9" s="265"/>
      <c r="M9" s="265"/>
      <c r="N9" s="265"/>
      <c r="O9" s="265"/>
      <c r="P9" s="265"/>
      <c r="Q9" s="265"/>
      <c r="R9" s="265"/>
      <c r="S9" s="265"/>
      <c r="T9" s="265" t="s">
        <v>1150</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1700</v>
      </c>
      <c r="C10" s="270" t="s">
        <v>1516</v>
      </c>
      <c r="D10" s="270" t="s">
        <v>1135</v>
      </c>
      <c r="E10" s="271"/>
      <c r="F10" s="272"/>
      <c r="G10" s="272"/>
      <c r="H10" s="296" t="s">
        <v>1339</v>
      </c>
      <c r="I10" s="265" t="s">
        <v>941</v>
      </c>
      <c r="J10" s="265"/>
      <c r="K10" s="265"/>
      <c r="L10" s="265" t="s">
        <v>1150</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1622</v>
      </c>
    </row>
    <row r="24" spans="3:3" ht="40.5" customHeight="1">
      <c r="C24" s="116" t="s">
        <v>1582</v>
      </c>
    </row>
    <row r="25" spans="3:3" ht="40.5" customHeight="1">
      <c r="C25" s="116" t="s">
        <v>1581</v>
      </c>
    </row>
    <row r="26" spans="3:3" ht="40.5" customHeight="1">
      <c r="C26" s="116" t="s">
        <v>1580</v>
      </c>
    </row>
    <row r="27" spans="3:3" ht="40.5" customHeight="1">
      <c r="C27" s="116" t="s">
        <v>1583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3" priority="6" operator="equal">
      <formula>"s"</formula>
    </cfRule>
    <cfRule type="cellIs" dxfId="132" priority="7" operator="equal">
      <formula>"a"</formula>
    </cfRule>
  </conditionalFormatting>
  <conditionalFormatting sqref="AC3:AE10 AG3:AI10">
    <cfRule type="cellIs" dxfId="131" priority="2" operator="equal">
      <formula>"x"</formula>
    </cfRule>
  </conditionalFormatting>
  <conditionalFormatting sqref="AF3:AF10">
    <cfRule type="cellIs" dxfId="13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1517</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1518</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1519</v>
      </c>
      <c r="D5" s="453" t="s">
        <v>1139</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1520</v>
      </c>
      <c r="D6" s="453" t="s">
        <v>1274</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1521</v>
      </c>
      <c r="D7" s="453" t="s">
        <v>1342</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1522</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1523</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1524</v>
      </c>
      <c r="D10" s="453" t="s">
        <v>1139</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1525</v>
      </c>
      <c r="D11" s="453" t="s">
        <v>1274</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1526</v>
      </c>
      <c r="D12" s="453" t="s">
        <v>1342</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1527</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1528</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1529</v>
      </c>
      <c r="D15" s="453" t="s">
        <v>1139</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1530</v>
      </c>
      <c r="D16" s="453" t="s">
        <v>1274</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1531</v>
      </c>
      <c r="D17" s="453" t="s">
        <v>1342</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1332</v>
      </c>
      <c r="B18" s="454" t="str">
        <f t="shared" si="1"/>
        <v>p4SupperHeavy</v>
      </c>
      <c r="C18" s="453" t="s">
        <v>1532</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1332</v>
      </c>
      <c r="B19" s="454" t="str">
        <f t="shared" si="1"/>
        <v>p4SupperHeavy</v>
      </c>
      <c r="C19" s="453" t="s">
        <v>1533</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1332</v>
      </c>
      <c r="B20" s="454" t="str">
        <f t="shared" si="1"/>
        <v>p4SupperHeavy</v>
      </c>
      <c r="C20" s="453" t="s">
        <v>1534</v>
      </c>
      <c r="D20" s="453" t="s">
        <v>1139</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1332</v>
      </c>
      <c r="B21" s="454" t="str">
        <f t="shared" si="1"/>
        <v>p4SupperHeavy</v>
      </c>
      <c r="C21" s="453" t="s">
        <v>1535</v>
      </c>
      <c r="D21" s="453" t="s">
        <v>1274</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1332</v>
      </c>
      <c r="B22" s="454" t="str">
        <f t="shared" si="1"/>
        <v>p4SupperHeavy</v>
      </c>
      <c r="C22" s="453" t="s">
        <v>1536</v>
      </c>
      <c r="D22" s="453" t="s">
        <v>1342</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1537</v>
      </c>
      <c r="D23" s="453" t="s">
        <v>1341</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1538</v>
      </c>
      <c r="D24" s="453" t="s">
        <v>1343</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1626</v>
      </c>
      <c r="D25" s="453" t="s">
        <v>1625</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1539</v>
      </c>
      <c r="D26" s="453" t="s">
        <v>1340</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1540</v>
      </c>
      <c r="D27" s="455" t="s">
        <v>1224</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9" priority="4" operator="equal">
      <formula>"x"</formula>
    </cfRule>
  </conditionalFormatting>
  <conditionalFormatting sqref="F24:Y24">
    <cfRule type="cellIs" dxfId="128" priority="1" operator="equal">
      <formula>"x"</formula>
    </cfRule>
  </conditionalFormatting>
  <conditionalFormatting sqref="F25:Y25">
    <cfRule type="cellIs" dxfId="127"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1168</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1287</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1137</v>
      </c>
      <c r="B4" s="111" t="s">
        <v>980</v>
      </c>
      <c r="C4" s="61"/>
      <c r="D4" s="61" t="s">
        <v>410</v>
      </c>
      <c r="E4" s="61"/>
      <c r="F4" s="61"/>
      <c r="G4" s="61"/>
      <c r="H4" s="61"/>
      <c r="I4" s="61"/>
      <c r="J4" s="61"/>
      <c r="K4" s="61"/>
      <c r="L4" s="61"/>
      <c r="M4" s="61"/>
      <c r="N4" s="61"/>
      <c r="O4" s="61"/>
      <c r="P4" s="61"/>
      <c r="Q4" s="61"/>
      <c r="R4" s="61"/>
      <c r="S4" s="61"/>
      <c r="T4" s="61"/>
      <c r="U4" s="61"/>
      <c r="V4" s="61"/>
      <c r="W4" s="49" t="s">
        <v>1137</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1139</v>
      </c>
      <c r="B6" s="111" t="s">
        <v>979</v>
      </c>
      <c r="C6" s="61"/>
      <c r="D6" s="61"/>
      <c r="E6" s="61"/>
      <c r="F6" s="61"/>
      <c r="G6" s="61"/>
      <c r="H6" s="61"/>
      <c r="I6" s="61"/>
      <c r="J6" s="61"/>
      <c r="K6" s="61"/>
      <c r="L6" s="61" t="s">
        <v>410</v>
      </c>
      <c r="M6" s="61"/>
      <c r="N6" s="61"/>
      <c r="O6" s="61"/>
      <c r="P6" s="61"/>
      <c r="Q6" s="61" t="s">
        <v>410</v>
      </c>
      <c r="R6" s="61"/>
      <c r="S6" s="61"/>
      <c r="T6" s="61"/>
      <c r="U6" s="61"/>
      <c r="V6" s="61"/>
      <c r="W6" s="49" t="s">
        <v>1139</v>
      </c>
    </row>
    <row r="7" spans="1:23">
      <c r="A7" s="62" t="s">
        <v>1136</v>
      </c>
      <c r="B7" s="62" t="s">
        <v>984</v>
      </c>
      <c r="C7" s="61"/>
      <c r="D7" s="61"/>
      <c r="E7" s="61"/>
      <c r="F7" s="61"/>
      <c r="G7" s="61" t="s">
        <v>410</v>
      </c>
      <c r="H7" s="61" t="s">
        <v>410</v>
      </c>
      <c r="I7" s="61"/>
      <c r="J7" s="61"/>
      <c r="K7" s="61"/>
      <c r="L7" s="61"/>
      <c r="M7" s="61"/>
      <c r="N7" s="61"/>
      <c r="O7" s="61"/>
      <c r="P7" s="61"/>
      <c r="Q7" s="61"/>
      <c r="R7" s="61"/>
      <c r="S7" s="61"/>
      <c r="T7" s="61"/>
      <c r="U7" s="61"/>
      <c r="V7" s="61"/>
      <c r="W7" s="49" t="s">
        <v>1136</v>
      </c>
    </row>
    <row r="8" spans="1:23">
      <c r="A8" s="62" t="s">
        <v>1625</v>
      </c>
      <c r="B8" s="111" t="s">
        <v>981</v>
      </c>
      <c r="C8" s="61" t="s">
        <v>410</v>
      </c>
      <c r="D8" s="61"/>
      <c r="E8" s="61" t="s">
        <v>410</v>
      </c>
      <c r="F8" s="61"/>
      <c r="G8" s="61"/>
      <c r="H8" s="61"/>
      <c r="I8" s="61" t="s">
        <v>410</v>
      </c>
      <c r="J8" s="61"/>
      <c r="K8" s="61"/>
      <c r="L8" s="61"/>
      <c r="M8" s="61"/>
      <c r="N8" s="61"/>
      <c r="O8" s="61"/>
      <c r="P8" s="61"/>
      <c r="Q8" s="61"/>
      <c r="R8" s="61"/>
      <c r="S8" s="61"/>
      <c r="T8" s="61"/>
      <c r="U8" s="61"/>
      <c r="V8" s="61"/>
      <c r="W8" s="49" t="s">
        <v>1625</v>
      </c>
    </row>
    <row r="9" spans="1:23" s="316" customFormat="1">
      <c r="A9" s="316" t="s">
        <v>1224</v>
      </c>
      <c r="B9" s="111" t="s">
        <v>987</v>
      </c>
      <c r="C9" s="61"/>
      <c r="D9" s="61"/>
      <c r="E9" s="61"/>
      <c r="F9" s="61"/>
      <c r="G9" s="61"/>
      <c r="H9" s="61"/>
      <c r="I9" s="61"/>
      <c r="J9" s="61"/>
      <c r="K9" s="61"/>
      <c r="L9" s="61"/>
      <c r="M9" s="61"/>
      <c r="N9" s="61"/>
      <c r="O9" s="61"/>
      <c r="P9" s="61" t="s">
        <v>410</v>
      </c>
      <c r="Q9" s="61"/>
      <c r="R9" s="61"/>
      <c r="S9" s="61"/>
      <c r="T9" s="61"/>
      <c r="U9" s="61"/>
      <c r="V9" s="61"/>
      <c r="W9" s="49" t="s">
        <v>1224</v>
      </c>
    </row>
    <row r="10" spans="1:23">
      <c r="A10" s="62" t="s">
        <v>1343</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1343</v>
      </c>
    </row>
    <row r="11" spans="1:23">
      <c r="A11" s="62" t="s">
        <v>1138</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1138</v>
      </c>
    </row>
    <row r="12" spans="1:23">
      <c r="A12" s="62" t="s">
        <v>1274</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1274</v>
      </c>
    </row>
    <row r="13" spans="1:23">
      <c r="A13" s="62" t="s">
        <v>1273</v>
      </c>
      <c r="B13" s="111" t="s">
        <v>982</v>
      </c>
      <c r="C13" s="61"/>
      <c r="D13" s="61"/>
      <c r="E13" s="61"/>
      <c r="F13" s="61"/>
      <c r="G13" s="61"/>
      <c r="H13" s="61"/>
      <c r="I13" s="61"/>
      <c r="J13" s="61"/>
      <c r="K13" s="61" t="s">
        <v>410</v>
      </c>
      <c r="L13" s="61"/>
      <c r="M13" s="61"/>
      <c r="N13" s="61"/>
      <c r="O13" s="61"/>
      <c r="P13" s="61"/>
      <c r="Q13" s="61"/>
      <c r="R13" s="61"/>
      <c r="S13" s="61"/>
      <c r="T13" s="61"/>
      <c r="U13" s="61"/>
      <c r="V13" s="61"/>
      <c r="W13" s="49" t="s">
        <v>1273</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6" priority="13" operator="equal">
      <formula>"x"</formula>
    </cfRule>
  </conditionalFormatting>
  <conditionalFormatting sqref="E1">
    <cfRule type="cellIs" dxfId="125" priority="12" operator="equal">
      <formula>"x"</formula>
    </cfRule>
  </conditionalFormatting>
  <conditionalFormatting sqref="C4:V4">
    <cfRule type="cellIs" dxfId="124" priority="11" operator="equal">
      <formula>"x"</formula>
    </cfRule>
  </conditionalFormatting>
  <conditionalFormatting sqref="C5:V6">
    <cfRule type="cellIs" dxfId="123" priority="10" operator="equal">
      <formula>"x"</formula>
    </cfRule>
  </conditionalFormatting>
  <conditionalFormatting sqref="C7:V7">
    <cfRule type="cellIs" dxfId="122" priority="9" operator="equal">
      <formula>"x"</formula>
    </cfRule>
  </conditionalFormatting>
  <conditionalFormatting sqref="C8:V8">
    <cfRule type="cellIs" dxfId="121" priority="8" operator="equal">
      <formula>"x"</formula>
    </cfRule>
  </conditionalFormatting>
  <conditionalFormatting sqref="C10:V10">
    <cfRule type="cellIs" dxfId="120" priority="7" operator="equal">
      <formula>"x"</formula>
    </cfRule>
  </conditionalFormatting>
  <conditionalFormatting sqref="C11:V11">
    <cfRule type="cellIs" dxfId="119" priority="6" operator="equal">
      <formula>"x"</formula>
    </cfRule>
  </conditionalFormatting>
  <conditionalFormatting sqref="C12:V12">
    <cfRule type="cellIs" dxfId="118" priority="5" operator="equal">
      <formula>"x"</formula>
    </cfRule>
  </conditionalFormatting>
  <conditionalFormatting sqref="C13:V13">
    <cfRule type="cellIs" dxfId="117" priority="4" operator="equal">
      <formula>"x"</formula>
    </cfRule>
  </conditionalFormatting>
  <conditionalFormatting sqref="C9:V9">
    <cfRule type="cellIs" dxfId="116"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1332</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1333</v>
      </c>
      <c r="B6" s="308"/>
      <c r="C6" s="308"/>
      <c r="D6" s="308"/>
      <c r="E6" s="308"/>
      <c r="F6" s="308">
        <v>1</v>
      </c>
      <c r="G6" s="308"/>
      <c r="H6" s="308"/>
      <c r="I6" s="308"/>
      <c r="J6" s="308"/>
      <c r="K6" s="308">
        <v>1</v>
      </c>
    </row>
    <row r="7" spans="1:11">
      <c r="A7" s="305" t="s">
        <v>1334</v>
      </c>
      <c r="B7" s="308"/>
      <c r="C7" s="308"/>
      <c r="D7" s="308"/>
      <c r="E7" s="308"/>
      <c r="F7" s="308"/>
      <c r="G7" s="308">
        <v>2</v>
      </c>
      <c r="H7" s="308"/>
      <c r="I7" s="308"/>
      <c r="J7" s="308"/>
      <c r="K7" s="308">
        <v>2</v>
      </c>
    </row>
    <row r="8" spans="1:11">
      <c r="A8" s="305" t="s">
        <v>1335</v>
      </c>
      <c r="B8" s="308"/>
      <c r="C8" s="308"/>
      <c r="D8" s="308"/>
      <c r="E8" s="308"/>
      <c r="F8" s="308"/>
      <c r="G8" s="308"/>
      <c r="H8" s="308">
        <v>1</v>
      </c>
      <c r="I8" s="308"/>
      <c r="J8" s="308"/>
      <c r="K8" s="308">
        <v>1</v>
      </c>
    </row>
    <row r="9" spans="1:11">
      <c r="A9" s="305" t="s">
        <v>1336</v>
      </c>
      <c r="B9" s="308"/>
      <c r="C9" s="308"/>
      <c r="D9" s="308"/>
      <c r="E9" s="308"/>
      <c r="F9" s="308"/>
      <c r="G9" s="308"/>
      <c r="H9" s="308"/>
      <c r="I9" s="308">
        <v>1</v>
      </c>
      <c r="J9" s="308"/>
      <c r="K9" s="308">
        <v>1</v>
      </c>
    </row>
    <row r="10" spans="1:11">
      <c r="A10" s="305" t="s">
        <v>1506</v>
      </c>
      <c r="B10" s="308">
        <v>5</v>
      </c>
      <c r="C10" s="308"/>
      <c r="D10" s="308"/>
      <c r="E10" s="308"/>
      <c r="F10" s="308"/>
      <c r="G10" s="308"/>
      <c r="H10" s="308"/>
      <c r="I10" s="308"/>
      <c r="J10" s="308"/>
      <c r="K10" s="308">
        <v>5</v>
      </c>
    </row>
    <row r="11" spans="1:11">
      <c r="A11" s="305" t="s">
        <v>1507</v>
      </c>
      <c r="B11" s="308"/>
      <c r="C11" s="308">
        <v>5</v>
      </c>
      <c r="D11" s="308"/>
      <c r="E11" s="308"/>
      <c r="F11" s="308"/>
      <c r="G11" s="308"/>
      <c r="H11" s="308"/>
      <c r="I11" s="308"/>
      <c r="J11" s="308"/>
      <c r="K11" s="308">
        <v>5</v>
      </c>
    </row>
    <row r="12" spans="1:11">
      <c r="A12" s="305" t="s">
        <v>1509</v>
      </c>
      <c r="B12" s="308"/>
      <c r="C12" s="308"/>
      <c r="D12" s="308">
        <v>5</v>
      </c>
      <c r="E12" s="308"/>
      <c r="F12" s="308"/>
      <c r="G12" s="308"/>
      <c r="H12" s="308"/>
      <c r="I12" s="308"/>
      <c r="J12" s="308"/>
      <c r="K12" s="308">
        <v>5</v>
      </c>
    </row>
    <row r="13" spans="1:11">
      <c r="A13" s="305" t="s">
        <v>1511</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1517</v>
      </c>
      <c r="B5" s="308">
        <v>1</v>
      </c>
    </row>
    <row r="6" spans="1:14">
      <c r="A6" s="305" t="s">
        <v>1518</v>
      </c>
      <c r="B6" s="308">
        <v>1</v>
      </c>
    </row>
    <row r="7" spans="1:14">
      <c r="A7" s="305" t="s">
        <v>1519</v>
      </c>
      <c r="B7" s="308">
        <v>1</v>
      </c>
    </row>
    <row r="8" spans="1:14">
      <c r="A8" s="305" t="s">
        <v>1520</v>
      </c>
      <c r="B8" s="308">
        <v>1</v>
      </c>
    </row>
    <row r="9" spans="1:14">
      <c r="A9" s="305" t="s">
        <v>1521</v>
      </c>
      <c r="B9" s="308">
        <v>1</v>
      </c>
    </row>
    <row r="10" spans="1:14">
      <c r="A10" s="305" t="s">
        <v>1522</v>
      </c>
      <c r="B10" s="308">
        <v>1</v>
      </c>
    </row>
    <row r="11" spans="1:14">
      <c r="A11" s="305" t="s">
        <v>1523</v>
      </c>
      <c r="B11" s="308">
        <v>1</v>
      </c>
    </row>
    <row r="12" spans="1:14">
      <c r="A12" s="305" t="s">
        <v>1524</v>
      </c>
      <c r="B12" s="308">
        <v>1</v>
      </c>
    </row>
    <row r="13" spans="1:14">
      <c r="A13" s="305" t="s">
        <v>1525</v>
      </c>
      <c r="B13" s="308">
        <v>1</v>
      </c>
    </row>
    <row r="14" spans="1:14">
      <c r="A14" s="305" t="s">
        <v>1526</v>
      </c>
      <c r="B14" s="308">
        <v>1</v>
      </c>
    </row>
    <row r="15" spans="1:14">
      <c r="A15" s="305" t="s">
        <v>1527</v>
      </c>
      <c r="B15" s="308">
        <v>1</v>
      </c>
    </row>
    <row r="16" spans="1:14">
      <c r="A16" s="305" t="s">
        <v>1528</v>
      </c>
      <c r="B16" s="308">
        <v>1</v>
      </c>
    </row>
    <row r="17" spans="1:2">
      <c r="A17" s="305" t="s">
        <v>1529</v>
      </c>
      <c r="B17" s="308">
        <v>1</v>
      </c>
    </row>
    <row r="18" spans="1:2">
      <c r="A18" s="305" t="s">
        <v>1530</v>
      </c>
      <c r="B18" s="308">
        <v>1</v>
      </c>
    </row>
    <row r="19" spans="1:2">
      <c r="A19" s="305" t="s">
        <v>1531</v>
      </c>
      <c r="B19" s="308">
        <v>1</v>
      </c>
    </row>
    <row r="20" spans="1:2">
      <c r="A20" s="305" t="s">
        <v>1532</v>
      </c>
      <c r="B20" s="308">
        <v>1</v>
      </c>
    </row>
    <row r="21" spans="1:2">
      <c r="A21" s="305" t="s">
        <v>1533</v>
      </c>
      <c r="B21" s="308">
        <v>1</v>
      </c>
    </row>
    <row r="22" spans="1:2">
      <c r="A22" s="305" t="s">
        <v>1534</v>
      </c>
      <c r="B22" s="308">
        <v>1</v>
      </c>
    </row>
    <row r="23" spans="1:2">
      <c r="A23" s="305" t="s">
        <v>1535</v>
      </c>
      <c r="B23" s="308">
        <v>1</v>
      </c>
    </row>
    <row r="24" spans="1:2">
      <c r="A24" s="305" t="s">
        <v>1536</v>
      </c>
      <c r="B24" s="308">
        <v>1</v>
      </c>
    </row>
    <row r="25" spans="1:2">
      <c r="A25" s="305" t="s">
        <v>1537</v>
      </c>
      <c r="B25" s="308">
        <v>1</v>
      </c>
    </row>
    <row r="26" spans="1:2">
      <c r="A26" s="305" t="s">
        <v>1538</v>
      </c>
      <c r="B26" s="308">
        <v>1</v>
      </c>
    </row>
    <row r="27" spans="1:2">
      <c r="A27" s="305" t="s">
        <v>1626</v>
      </c>
      <c r="B27" s="308">
        <v>1</v>
      </c>
    </row>
    <row r="28" spans="1:2">
      <c r="A28" s="305" t="s">
        <v>1539</v>
      </c>
      <c r="B28" s="308">
        <v>1</v>
      </c>
    </row>
    <row r="29" spans="1:2">
      <c r="A29" s="305" t="s">
        <v>1540</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1167</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1143</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1574</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1180</v>
      </c>
      <c r="I87" s="96" t="str">
        <f>StartupInfo!B54</f>
        <v>+000 1111 44444</v>
      </c>
      <c r="J87" s="96"/>
      <c r="K87" s="96"/>
      <c r="L87" s="96"/>
      <c r="M87" s="96"/>
      <c r="N87" s="96"/>
      <c r="O87" s="96"/>
      <c r="P87" s="96"/>
      <c r="Q87" s="96"/>
      <c r="R87" s="96"/>
      <c r="S87" s="96"/>
      <c r="T87" s="96"/>
      <c r="U87" s="96"/>
      <c r="V87" s="95" t="str">
        <f>'Agreement 3'!B42</f>
        <v>barbara.land@email.com</v>
      </c>
      <c r="W87" s="11"/>
      <c r="X87" s="461"/>
      <c r="Y87" s="461"/>
      <c r="Z87" s="461"/>
      <c r="AA87" s="461"/>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1541</v>
      </c>
      <c r="C92" s="124" t="s">
        <v>1141</v>
      </c>
      <c r="D92" s="124" t="s">
        <v>6</v>
      </c>
      <c r="E92" s="124" t="s">
        <v>1000</v>
      </c>
      <c r="F92" s="124" t="s">
        <v>1127</v>
      </c>
      <c r="G92" s="124"/>
      <c r="H92" s="124" t="s">
        <v>960</v>
      </c>
      <c r="I92" s="124" t="s">
        <v>1545</v>
      </c>
      <c r="J92" s="124" t="s">
        <v>1061</v>
      </c>
      <c r="K92" s="124"/>
      <c r="L92" s="124">
        <v>8</v>
      </c>
      <c r="M92" s="192">
        <v>44186</v>
      </c>
      <c r="N92" s="124"/>
      <c r="O92" s="124">
        <v>7</v>
      </c>
      <c r="P92" s="124" t="s">
        <v>425</v>
      </c>
      <c r="Q92" s="124" t="s">
        <v>1042</v>
      </c>
      <c r="R92" s="124">
        <v>3</v>
      </c>
      <c r="S92" s="124">
        <v>0</v>
      </c>
      <c r="T92" s="124" t="s">
        <v>1043</v>
      </c>
      <c r="U92" s="124" t="s">
        <v>1749</v>
      </c>
      <c r="V92" s="30" t="s">
        <v>1549</v>
      </c>
      <c r="W92" s="124"/>
      <c r="AA92" s="289"/>
    </row>
    <row r="93" spans="1:36" s="116" customFormat="1">
      <c r="A93" s="116" t="s">
        <v>1095</v>
      </c>
      <c r="B93" s="240" t="s">
        <v>1542</v>
      </c>
      <c r="C93" s="124" t="s">
        <v>1141</v>
      </c>
      <c r="D93" s="124" t="s">
        <v>6</v>
      </c>
      <c r="E93" s="124" t="s">
        <v>1000</v>
      </c>
      <c r="F93" s="124" t="s">
        <v>1127</v>
      </c>
      <c r="G93" s="124"/>
      <c r="H93" s="124" t="s">
        <v>960</v>
      </c>
      <c r="I93" s="124" t="s">
        <v>1546</v>
      </c>
      <c r="J93" s="124" t="s">
        <v>1061</v>
      </c>
      <c r="K93" s="124"/>
      <c r="L93" s="124">
        <v>8</v>
      </c>
      <c r="M93" s="192">
        <v>44186</v>
      </c>
      <c r="N93" s="124"/>
      <c r="O93" s="124">
        <v>18</v>
      </c>
      <c r="P93" s="124" t="s">
        <v>425</v>
      </c>
      <c r="Q93" s="124" t="s">
        <v>1042</v>
      </c>
      <c r="R93" s="124">
        <v>14</v>
      </c>
      <c r="S93" s="124">
        <v>0</v>
      </c>
      <c r="T93" s="124" t="s">
        <v>1043</v>
      </c>
      <c r="U93" s="124" t="s">
        <v>1749</v>
      </c>
      <c r="V93" s="30" t="s">
        <v>1550</v>
      </c>
      <c r="W93" s="124"/>
      <c r="AA93" s="289"/>
    </row>
    <row r="94" spans="1:36" s="116" customFormat="1">
      <c r="A94" s="116" t="s">
        <v>1095</v>
      </c>
      <c r="B94" s="240" t="s">
        <v>1543</v>
      </c>
      <c r="C94" s="124" t="s">
        <v>1141</v>
      </c>
      <c r="D94" s="124" t="s">
        <v>6</v>
      </c>
      <c r="E94" s="124" t="s">
        <v>1000</v>
      </c>
      <c r="F94" s="124" t="s">
        <v>1127</v>
      </c>
      <c r="G94" s="124"/>
      <c r="H94" s="124" t="s">
        <v>960</v>
      </c>
      <c r="I94" s="124" t="s">
        <v>1547</v>
      </c>
      <c r="J94" s="124" t="s">
        <v>1041</v>
      </c>
      <c r="K94" s="124"/>
      <c r="L94" s="124">
        <v>8</v>
      </c>
      <c r="M94" s="192">
        <v>44186</v>
      </c>
      <c r="N94" s="124"/>
      <c r="O94" s="124">
        <v>20</v>
      </c>
      <c r="P94" s="124" t="s">
        <v>425</v>
      </c>
      <c r="Q94" s="124" t="s">
        <v>1042</v>
      </c>
      <c r="R94" s="124">
        <v>30</v>
      </c>
      <c r="S94" s="124">
        <v>5</v>
      </c>
      <c r="T94" s="124" t="s">
        <v>1043</v>
      </c>
      <c r="U94" s="124" t="s">
        <v>1749</v>
      </c>
      <c r="V94" s="30" t="s">
        <v>1551</v>
      </c>
      <c r="W94" s="124"/>
      <c r="AA94" s="289"/>
    </row>
    <row r="95" spans="1:36" s="116" customFormat="1">
      <c r="A95" s="116" t="s">
        <v>1095</v>
      </c>
      <c r="B95" s="240" t="s">
        <v>1544</v>
      </c>
      <c r="C95" s="124" t="s">
        <v>1141</v>
      </c>
      <c r="D95" s="124" t="s">
        <v>6</v>
      </c>
      <c r="E95" s="124" t="s">
        <v>1000</v>
      </c>
      <c r="F95" s="124" t="s">
        <v>1127</v>
      </c>
      <c r="G95" s="124"/>
      <c r="H95" s="124" t="s">
        <v>960</v>
      </c>
      <c r="I95" s="124" t="s">
        <v>1548</v>
      </c>
      <c r="J95" s="124" t="s">
        <v>1061</v>
      </c>
      <c r="K95" s="124"/>
      <c r="L95" s="124">
        <v>8</v>
      </c>
      <c r="M95" s="192">
        <v>44186</v>
      </c>
      <c r="N95" s="124"/>
      <c r="O95" s="124">
        <v>12</v>
      </c>
      <c r="P95" s="124" t="s">
        <v>425</v>
      </c>
      <c r="Q95" s="124" t="s">
        <v>1042</v>
      </c>
      <c r="R95" s="124">
        <v>10</v>
      </c>
      <c r="S95" s="124">
        <v>9</v>
      </c>
      <c r="T95" s="124" t="s">
        <v>1043</v>
      </c>
      <c r="U95" s="124" t="s">
        <v>1749</v>
      </c>
      <c r="V95" s="30" t="s">
        <v>1552</v>
      </c>
      <c r="W95" s="124"/>
      <c r="AA95" s="289"/>
    </row>
    <row r="96" spans="1:36" s="116" customFormat="1">
      <c r="A96" s="116" t="s">
        <v>1095</v>
      </c>
      <c r="B96" s="240" t="s">
        <v>1225</v>
      </c>
      <c r="C96" s="124" t="s">
        <v>1141</v>
      </c>
      <c r="D96" s="124" t="s">
        <v>6</v>
      </c>
      <c r="E96" s="124" t="s">
        <v>1000</v>
      </c>
      <c r="F96" s="124" t="s">
        <v>1127</v>
      </c>
      <c r="G96" s="124"/>
      <c r="H96" s="124" t="s">
        <v>960</v>
      </c>
      <c r="I96" s="124" t="s">
        <v>1226</v>
      </c>
      <c r="J96" s="124" t="s">
        <v>1061</v>
      </c>
      <c r="K96" s="124" t="s">
        <v>1062</v>
      </c>
      <c r="L96" s="124">
        <v>8</v>
      </c>
      <c r="M96" s="192">
        <v>44137</v>
      </c>
      <c r="N96" s="124"/>
      <c r="O96" s="124">
        <v>16</v>
      </c>
      <c r="P96" s="124" t="s">
        <v>425</v>
      </c>
      <c r="Q96" s="124" t="s">
        <v>1042</v>
      </c>
      <c r="R96" s="124">
        <v>17</v>
      </c>
      <c r="S96" s="124">
        <v>2</v>
      </c>
      <c r="T96" s="124" t="s">
        <v>1043</v>
      </c>
      <c r="U96" s="124" t="s">
        <v>1749</v>
      </c>
      <c r="V96" s="30" t="s">
        <v>1227</v>
      </c>
      <c r="W96" s="124"/>
      <c r="AA96" s="289"/>
    </row>
    <row r="97" spans="1:27" s="116" customFormat="1">
      <c r="A97" s="116" t="s">
        <v>1095</v>
      </c>
      <c r="B97" s="240" t="s">
        <v>1228</v>
      </c>
      <c r="C97" s="124" t="s">
        <v>1141</v>
      </c>
      <c r="D97" s="124" t="s">
        <v>6</v>
      </c>
      <c r="E97" s="124" t="s">
        <v>1000</v>
      </c>
      <c r="F97" s="124" t="s">
        <v>1127</v>
      </c>
      <c r="G97" s="124"/>
      <c r="H97" s="124" t="s">
        <v>960</v>
      </c>
      <c r="I97" s="124" t="s">
        <v>1229</v>
      </c>
      <c r="J97" s="124" t="s">
        <v>1061</v>
      </c>
      <c r="K97" s="124"/>
      <c r="L97" s="124">
        <v>8</v>
      </c>
      <c r="M97" s="192">
        <v>44202</v>
      </c>
      <c r="N97" s="124"/>
      <c r="O97" s="124">
        <v>18</v>
      </c>
      <c r="P97" s="124" t="s">
        <v>425</v>
      </c>
      <c r="Q97" s="124" t="s">
        <v>1042</v>
      </c>
      <c r="R97" s="124">
        <v>15</v>
      </c>
      <c r="S97" s="124">
        <v>1</v>
      </c>
      <c r="T97" s="124" t="s">
        <v>1043</v>
      </c>
      <c r="U97" s="124" t="s">
        <v>1749</v>
      </c>
      <c r="V97" s="30" t="s">
        <v>1230</v>
      </c>
      <c r="W97" s="124"/>
      <c r="AA97" s="289"/>
    </row>
    <row r="98" spans="1:27" s="116" customFormat="1">
      <c r="A98" s="116" t="s">
        <v>1095</v>
      </c>
      <c r="B98" s="240" t="s">
        <v>1231</v>
      </c>
      <c r="C98" s="124" t="s">
        <v>1141</v>
      </c>
      <c r="D98" s="124" t="s">
        <v>6</v>
      </c>
      <c r="E98" s="124" t="s">
        <v>727</v>
      </c>
      <c r="F98" s="124" t="s">
        <v>722</v>
      </c>
      <c r="G98" s="124"/>
      <c r="H98" s="124" t="s">
        <v>1222</v>
      </c>
      <c r="I98" s="124" t="s">
        <v>1232</v>
      </c>
      <c r="J98" s="124" t="s">
        <v>1041</v>
      </c>
      <c r="K98" s="124" t="s">
        <v>1062</v>
      </c>
      <c r="L98" s="124">
        <v>8</v>
      </c>
      <c r="M98" s="192">
        <v>44144</v>
      </c>
      <c r="N98" s="124"/>
      <c r="O98" s="124">
        <v>20</v>
      </c>
      <c r="P98" s="124" t="s">
        <v>425</v>
      </c>
      <c r="Q98" s="124" t="s">
        <v>1042</v>
      </c>
      <c r="R98" s="124">
        <v>14</v>
      </c>
      <c r="S98" s="124">
        <v>2</v>
      </c>
      <c r="T98" s="124" t="s">
        <v>1043</v>
      </c>
      <c r="U98" s="124" t="s">
        <v>1749</v>
      </c>
      <c r="V98" s="30" t="s">
        <v>1233</v>
      </c>
      <c r="W98" s="124"/>
      <c r="AA98" s="289"/>
    </row>
    <row r="99" spans="1:27" s="116" customFormat="1">
      <c r="A99" s="116" t="s">
        <v>1095</v>
      </c>
      <c r="B99" s="240" t="s">
        <v>1234</v>
      </c>
      <c r="C99" s="124" t="s">
        <v>1141</v>
      </c>
      <c r="D99" s="124" t="s">
        <v>6</v>
      </c>
      <c r="E99" s="124" t="s">
        <v>727</v>
      </c>
      <c r="F99" s="124" t="s">
        <v>722</v>
      </c>
      <c r="G99" s="124"/>
      <c r="H99" s="124" t="s">
        <v>1222</v>
      </c>
      <c r="I99" s="124" t="s">
        <v>1235</v>
      </c>
      <c r="J99" s="124" t="s">
        <v>1061</v>
      </c>
      <c r="K99" s="124" t="s">
        <v>1062</v>
      </c>
      <c r="L99" s="124">
        <v>8</v>
      </c>
      <c r="M99" s="192">
        <v>44144</v>
      </c>
      <c r="N99" s="124"/>
      <c r="O99" s="124">
        <v>5</v>
      </c>
      <c r="P99" s="124" t="s">
        <v>425</v>
      </c>
      <c r="Q99" s="124" t="s">
        <v>1042</v>
      </c>
      <c r="R99" s="124">
        <v>14</v>
      </c>
      <c r="S99" s="124">
        <v>3</v>
      </c>
      <c r="T99" s="124" t="s">
        <v>1043</v>
      </c>
      <c r="U99" s="124" t="s">
        <v>1749</v>
      </c>
      <c r="V99" s="30" t="s">
        <v>1236</v>
      </c>
      <c r="W99" s="124"/>
      <c r="AA99" s="289"/>
    </row>
    <row r="100" spans="1:27" s="116" customFormat="1">
      <c r="A100" s="116" t="s">
        <v>1095</v>
      </c>
      <c r="B100" s="240" t="s">
        <v>1237</v>
      </c>
      <c r="C100" s="124" t="s">
        <v>1141</v>
      </c>
      <c r="D100" s="124" t="s">
        <v>6</v>
      </c>
      <c r="E100" s="124" t="s">
        <v>1000</v>
      </c>
      <c r="F100" s="124" t="s">
        <v>1127</v>
      </c>
      <c r="G100" s="124"/>
      <c r="H100" s="124" t="s">
        <v>960</v>
      </c>
      <c r="I100" s="124" t="s">
        <v>1238</v>
      </c>
      <c r="J100" s="124" t="s">
        <v>1061</v>
      </c>
      <c r="K100" s="124" t="s">
        <v>1062</v>
      </c>
      <c r="L100" s="124">
        <v>8</v>
      </c>
      <c r="M100" s="192">
        <v>44202</v>
      </c>
      <c r="N100" s="124"/>
      <c r="O100" s="124">
        <v>17</v>
      </c>
      <c r="P100" s="124" t="s">
        <v>425</v>
      </c>
      <c r="Q100" s="124" t="s">
        <v>1042</v>
      </c>
      <c r="R100" s="124">
        <v>17</v>
      </c>
      <c r="S100" s="124">
        <v>1</v>
      </c>
      <c r="T100" s="124" t="s">
        <v>1043</v>
      </c>
      <c r="U100" s="124" t="s">
        <v>1749</v>
      </c>
      <c r="V100" s="30" t="s">
        <v>1239</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1576</v>
      </c>
      <c r="C102" s="124" t="s">
        <v>1141</v>
      </c>
      <c r="D102" s="124"/>
      <c r="E102" s="124"/>
      <c r="F102" s="124"/>
      <c r="G102" s="124"/>
      <c r="H102" s="124"/>
      <c r="I102" s="124"/>
      <c r="J102" s="124"/>
      <c r="K102" s="124"/>
      <c r="L102" s="124"/>
      <c r="M102" s="124"/>
      <c r="N102" s="124"/>
      <c r="O102" s="124"/>
      <c r="P102" s="124"/>
      <c r="Q102" s="124"/>
      <c r="R102" s="124"/>
      <c r="S102" s="124"/>
      <c r="T102" s="124"/>
      <c r="U102" s="124"/>
      <c r="V102" s="30" t="s">
        <v>1575</v>
      </c>
      <c r="W102" s="124"/>
      <c r="AA102" s="289"/>
    </row>
    <row r="103" spans="1:27" s="116" customFormat="1">
      <c r="A103" s="116" t="s">
        <v>960</v>
      </c>
      <c r="B103" s="240"/>
      <c r="C103" s="124" t="s">
        <v>1141</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1541</v>
      </c>
      <c r="C104" s="124" t="s">
        <v>1141</v>
      </c>
      <c r="D104" s="124" t="s">
        <v>6</v>
      </c>
      <c r="E104" s="124" t="s">
        <v>1000</v>
      </c>
      <c r="F104" s="124" t="s">
        <v>1127</v>
      </c>
      <c r="G104" s="124"/>
      <c r="H104" s="124" t="s">
        <v>960</v>
      </c>
      <c r="I104" s="124" t="s">
        <v>1545</v>
      </c>
      <c r="J104" s="124" t="s">
        <v>1061</v>
      </c>
      <c r="K104" s="124"/>
      <c r="L104" s="124">
        <v>8</v>
      </c>
      <c r="M104" s="192">
        <v>44186</v>
      </c>
      <c r="N104" s="124"/>
      <c r="O104" s="124">
        <v>7</v>
      </c>
      <c r="P104" s="124" t="s">
        <v>425</v>
      </c>
      <c r="Q104" s="124" t="s">
        <v>1042</v>
      </c>
      <c r="R104" s="124">
        <v>3</v>
      </c>
      <c r="S104" s="124">
        <v>0</v>
      </c>
      <c r="T104" s="124" t="s">
        <v>1043</v>
      </c>
      <c r="U104" s="124" t="s">
        <v>1749</v>
      </c>
      <c r="V104" s="30" t="s">
        <v>1549</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1175</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1344</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1345</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1346</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2" t="s">
        <v>1347</v>
      </c>
      <c r="B126" s="462"/>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3" t="s">
        <v>823</v>
      </c>
      <c r="B144" s="463"/>
    </row>
    <row r="146" spans="1:3">
      <c r="A146" s="248" t="s">
        <v>779</v>
      </c>
      <c r="B146" s="249"/>
      <c r="C146" s="250"/>
    </row>
    <row r="147" spans="1:3">
      <c r="A147" s="464" t="s">
        <v>780</v>
      </c>
      <c r="B147" s="466"/>
      <c r="C147" s="251" t="s">
        <v>1145</v>
      </c>
    </row>
    <row r="148" spans="1:3" ht="15" thickBot="1">
      <c r="A148" s="465"/>
      <c r="B148" s="467"/>
      <c r="C148" s="251" t="s">
        <v>1746</v>
      </c>
    </row>
    <row r="149" spans="1:3">
      <c r="A149" s="252" t="s">
        <v>743</v>
      </c>
      <c r="B149" s="252" t="s">
        <v>1146</v>
      </c>
      <c r="C149" s="250"/>
    </row>
    <row r="150" spans="1:3" ht="15" thickBot="1">
      <c r="A150" s="253" t="s">
        <v>824</v>
      </c>
      <c r="B150" s="253" t="s">
        <v>825</v>
      </c>
      <c r="C150" s="250"/>
    </row>
    <row r="151" spans="1:3">
      <c r="A151" s="254" t="s">
        <v>742</v>
      </c>
      <c r="B151" s="254" t="s">
        <v>1747</v>
      </c>
      <c r="C151" s="250"/>
    </row>
    <row r="152" spans="1:3" ht="15" thickBot="1">
      <c r="A152" s="253" t="s">
        <v>824</v>
      </c>
      <c r="B152" s="253" t="s">
        <v>825</v>
      </c>
      <c r="C152" s="250"/>
    </row>
    <row r="153" spans="1:3">
      <c r="A153" s="254" t="s">
        <v>826</v>
      </c>
      <c r="B153" s="254" t="s">
        <v>1748</v>
      </c>
      <c r="C153" s="250"/>
    </row>
    <row r="154" spans="1:3" ht="15" thickBot="1">
      <c r="A154" s="253" t="s">
        <v>824</v>
      </c>
      <c r="B154" s="253" t="s">
        <v>825</v>
      </c>
      <c r="C154" s="250"/>
    </row>
    <row r="155" spans="1:3">
      <c r="A155" s="254" t="s">
        <v>744</v>
      </c>
      <c r="B155" s="254" t="s">
        <v>1147</v>
      </c>
      <c r="C155" s="250"/>
    </row>
    <row r="156" spans="1:3">
      <c r="C156" s="250"/>
    </row>
    <row r="157" spans="1:3">
      <c r="A157" s="28" t="s">
        <v>781</v>
      </c>
      <c r="B157" s="29"/>
      <c r="C157" s="250"/>
    </row>
    <row r="158" spans="1:3" ht="28.8">
      <c r="A158" s="11" t="s">
        <v>828</v>
      </c>
      <c r="B158" s="11" t="s">
        <v>1348</v>
      </c>
      <c r="C158" s="250"/>
    </row>
    <row r="159" spans="1:3">
      <c r="A159" s="42" t="s">
        <v>824</v>
      </c>
      <c r="B159" s="42" t="s">
        <v>825</v>
      </c>
      <c r="C159" s="250"/>
    </row>
    <row r="160" spans="1:3">
      <c r="C160" s="250"/>
    </row>
    <row r="161" spans="1:3">
      <c r="A161" s="28" t="s">
        <v>782</v>
      </c>
      <c r="B161" s="29"/>
      <c r="C161" s="30"/>
    </row>
    <row r="162" spans="1:3">
      <c r="A162" s="11" t="s">
        <v>829</v>
      </c>
      <c r="B162" s="11" t="s">
        <v>1149</v>
      </c>
    </row>
  </sheetData>
  <mergeCells count="5">
    <mergeCell ref="X87:AA87"/>
    <mergeCell ref="A126:B126"/>
    <mergeCell ref="A144:B144"/>
    <mergeCell ref="A147:A148"/>
    <mergeCell ref="B147:B148"/>
  </mergeCells>
  <phoneticPr fontId="54" type="noConversion"/>
  <conditionalFormatting sqref="Y85">
    <cfRule type="cellIs" dxfId="115"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1349</v>
      </c>
    </row>
    <row r="4" spans="1:3" s="116" customFormat="1"/>
    <row r="5" spans="1:3" s="116" customFormat="1">
      <c r="A5" s="29" t="s">
        <v>831</v>
      </c>
      <c r="B5" s="29"/>
      <c r="C5" s="53"/>
    </row>
    <row r="6" spans="1:3" s="116" customFormat="1">
      <c r="A6" s="116" t="s">
        <v>1349</v>
      </c>
    </row>
    <row r="7" spans="1:3" s="116" customFormat="1"/>
    <row r="8" spans="1:3" s="116" customFormat="1" ht="28.8">
      <c r="A8" s="29" t="s">
        <v>832</v>
      </c>
      <c r="B8" s="29"/>
      <c r="C8" s="53"/>
    </row>
    <row r="9" spans="1:3" s="116" customFormat="1">
      <c r="A9" s="116" t="s">
        <v>1349</v>
      </c>
      <c r="B9" s="116" t="s">
        <v>1351</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1349</v>
      </c>
      <c r="B15" s="116" t="s">
        <v>1350</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1352</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1353</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1354</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1355</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1356</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1690</v>
      </c>
    </row>
    <row r="35" spans="1:3" s="124" customFormat="1" ht="28.8">
      <c r="A35" s="124" t="s">
        <v>587</v>
      </c>
      <c r="B35" s="116" t="s">
        <v>1691</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1692</v>
      </c>
    </row>
    <row r="41" spans="1:3" s="124" customFormat="1" ht="28.8">
      <c r="A41" s="124" t="s">
        <v>587</v>
      </c>
      <c r="B41" s="116" t="s">
        <v>1693</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1176</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1357</v>
      </c>
    </row>
    <row r="94" spans="1:3" ht="43.2">
      <c r="A94" s="116" t="s">
        <v>737</v>
      </c>
      <c r="B94" s="116" t="s">
        <v>1358</v>
      </c>
    </row>
    <row r="95" spans="1:3">
      <c r="A95" s="116" t="s">
        <v>738</v>
      </c>
      <c r="B95" s="116" t="s">
        <v>1359</v>
      </c>
    </row>
    <row r="96" spans="1:3">
      <c r="A96" s="116" t="s">
        <v>739</v>
      </c>
      <c r="B96" s="116" t="s">
        <v>1360</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1357</v>
      </c>
    </row>
    <row r="104" spans="1:3" ht="57.6">
      <c r="A104" s="116" t="s">
        <v>737</v>
      </c>
      <c r="B104" s="118" t="s">
        <v>959</v>
      </c>
    </row>
    <row r="105" spans="1:3">
      <c r="A105" s="116" t="s">
        <v>738</v>
      </c>
      <c r="B105" s="116" t="s">
        <v>1359</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2" t="s">
        <v>1404</v>
      </c>
      <c r="B114" s="462"/>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1405</v>
      </c>
    </row>
    <row r="144" spans="1:3" ht="100.8">
      <c r="A144" s="116" t="s">
        <v>647</v>
      </c>
      <c r="B144" s="116" t="s">
        <v>1406</v>
      </c>
    </row>
    <row r="145" spans="1:3">
      <c r="A145" s="116" t="s">
        <v>648</v>
      </c>
      <c r="B145" s="116" t="s">
        <v>1407</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1408</v>
      </c>
      <c r="B157" s="14" t="s">
        <v>1584</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1409</v>
      </c>
      <c r="B165" s="14" t="s">
        <v>1585</v>
      </c>
    </row>
    <row r="166" spans="1:3">
      <c r="A166" s="116" t="s">
        <v>661</v>
      </c>
      <c r="B166" s="120" t="s">
        <v>433</v>
      </c>
      <c r="C166" s="116" t="s">
        <v>384</v>
      </c>
    </row>
    <row r="167" spans="1:3">
      <c r="A167" s="116" t="s">
        <v>667</v>
      </c>
      <c r="B167" s="116" t="s">
        <v>1586</v>
      </c>
    </row>
    <row r="168" spans="1:3" ht="28.8">
      <c r="A168" s="116" t="s">
        <v>668</v>
      </c>
      <c r="B168" s="116" t="s">
        <v>1587</v>
      </c>
    </row>
    <row r="169" spans="1:3">
      <c r="A169" s="116" t="s">
        <v>669</v>
      </c>
      <c r="B169" s="120" t="s">
        <v>676</v>
      </c>
      <c r="C169" s="116" t="s">
        <v>384</v>
      </c>
    </row>
    <row r="170" spans="1:3" ht="100.8">
      <c r="A170" s="116" t="s">
        <v>670</v>
      </c>
      <c r="B170" s="116" t="s">
        <v>1588</v>
      </c>
    </row>
    <row r="171" spans="1:3">
      <c r="A171" s="116" t="s">
        <v>671</v>
      </c>
      <c r="B171" s="120" t="s">
        <v>675</v>
      </c>
      <c r="C171" s="116" t="s">
        <v>384</v>
      </c>
    </row>
    <row r="173" spans="1:3">
      <c r="A173" s="14" t="s">
        <v>1410</v>
      </c>
      <c r="B173" s="14" t="s">
        <v>1589</v>
      </c>
    </row>
    <row r="174" spans="1:3">
      <c r="A174" s="116" t="s">
        <v>661</v>
      </c>
      <c r="B174" s="120" t="s">
        <v>433</v>
      </c>
      <c r="C174" s="116" t="s">
        <v>384</v>
      </c>
    </row>
    <row r="175" spans="1:3">
      <c r="A175" s="116" t="s">
        <v>667</v>
      </c>
      <c r="B175" s="116" t="s">
        <v>1411</v>
      </c>
    </row>
    <row r="176" spans="1:3" ht="43.2">
      <c r="A176" s="116" t="s">
        <v>668</v>
      </c>
      <c r="B176" s="116" t="s">
        <v>1412</v>
      </c>
    </row>
    <row r="177" spans="1:3">
      <c r="A177" s="116" t="s">
        <v>669</v>
      </c>
      <c r="B177" s="120" t="s">
        <v>676</v>
      </c>
      <c r="C177" s="116" t="s">
        <v>384</v>
      </c>
    </row>
    <row r="178" spans="1:3" ht="115.2">
      <c r="A178" s="116" t="s">
        <v>670</v>
      </c>
      <c r="B178" s="116" t="s">
        <v>1617</v>
      </c>
    </row>
    <row r="179" spans="1:3">
      <c r="A179" s="116" t="s">
        <v>671</v>
      </c>
      <c r="B179" s="120" t="s">
        <v>1413</v>
      </c>
      <c r="C179" s="116" t="s">
        <v>384</v>
      </c>
    </row>
    <row r="181" spans="1:3">
      <c r="A181" s="14" t="s">
        <v>1414</v>
      </c>
      <c r="B181" s="14" t="s">
        <v>1590</v>
      </c>
    </row>
    <row r="182" spans="1:3">
      <c r="A182" s="116" t="s">
        <v>661</v>
      </c>
      <c r="B182" s="120" t="s">
        <v>433</v>
      </c>
      <c r="C182" s="116" t="s">
        <v>384</v>
      </c>
    </row>
    <row r="183" spans="1:3">
      <c r="A183" s="116" t="s">
        <v>667</v>
      </c>
      <c r="B183" s="116" t="s">
        <v>1411</v>
      </c>
    </row>
    <row r="184" spans="1:3" ht="28.8">
      <c r="A184" s="116" t="s">
        <v>668</v>
      </c>
      <c r="B184" s="116" t="s">
        <v>1415</v>
      </c>
    </row>
    <row r="185" spans="1:3">
      <c r="A185" s="116" t="s">
        <v>669</v>
      </c>
      <c r="B185" s="120" t="s">
        <v>1416</v>
      </c>
      <c r="C185" s="116" t="s">
        <v>384</v>
      </c>
    </row>
    <row r="186" spans="1:3" ht="135.6" customHeight="1">
      <c r="A186" s="116" t="s">
        <v>670</v>
      </c>
      <c r="B186" s="116" t="s">
        <v>1618</v>
      </c>
    </row>
    <row r="187" spans="1:3">
      <c r="A187" s="116" t="s">
        <v>671</v>
      </c>
      <c r="B187" s="120" t="s">
        <v>1413</v>
      </c>
      <c r="C187" s="116" t="s">
        <v>384</v>
      </c>
    </row>
    <row r="189" spans="1:3">
      <c r="A189" s="14" t="s">
        <v>1417</v>
      </c>
      <c r="B189" s="14" t="s">
        <v>1591</v>
      </c>
    </row>
    <row r="190" spans="1:3">
      <c r="A190" s="116" t="s">
        <v>661</v>
      </c>
      <c r="B190" s="120" t="s">
        <v>664</v>
      </c>
      <c r="C190" s="116" t="s">
        <v>384</v>
      </c>
    </row>
    <row r="191" spans="1:3">
      <c r="A191" s="116" t="s">
        <v>667</v>
      </c>
    </row>
    <row r="192" spans="1:3" ht="43.2">
      <c r="A192" s="116" t="s">
        <v>668</v>
      </c>
      <c r="B192" s="116" t="s">
        <v>1418</v>
      </c>
    </row>
    <row r="193" spans="1:3">
      <c r="A193" s="116" t="s">
        <v>669</v>
      </c>
      <c r="B193" s="120" t="s">
        <v>1416</v>
      </c>
      <c r="C193" s="116" t="s">
        <v>384</v>
      </c>
    </row>
    <row r="194" spans="1:3" ht="144">
      <c r="A194" s="116" t="s">
        <v>670</v>
      </c>
      <c r="B194" s="116" t="s">
        <v>1619</v>
      </c>
    </row>
    <row r="195" spans="1:3">
      <c r="A195" s="116" t="s">
        <v>671</v>
      </c>
      <c r="B195" s="120" t="s">
        <v>1413</v>
      </c>
      <c r="C195" s="116" t="s">
        <v>384</v>
      </c>
    </row>
    <row r="197" spans="1:3" ht="28.8">
      <c r="A197" s="14" t="s">
        <v>1592</v>
      </c>
      <c r="B197" s="14" t="s">
        <v>1593</v>
      </c>
    </row>
    <row r="198" spans="1:3">
      <c r="A198" s="116" t="s">
        <v>661</v>
      </c>
      <c r="B198" s="120" t="s">
        <v>433</v>
      </c>
      <c r="C198" s="116" t="s">
        <v>384</v>
      </c>
    </row>
    <row r="199" spans="1:3">
      <c r="A199" s="116" t="s">
        <v>667</v>
      </c>
      <c r="B199" s="116" t="s">
        <v>1586</v>
      </c>
    </row>
    <row r="200" spans="1:3" ht="43.2">
      <c r="A200" s="116" t="s">
        <v>668</v>
      </c>
      <c r="B200" s="116" t="s">
        <v>1594</v>
      </c>
    </row>
    <row r="201" spans="1:3">
      <c r="A201" s="116" t="s">
        <v>669</v>
      </c>
      <c r="B201" s="120" t="s">
        <v>676</v>
      </c>
      <c r="C201" s="116" t="s">
        <v>384</v>
      </c>
    </row>
    <row r="202" spans="1:3" ht="115.2">
      <c r="A202" s="116" t="s">
        <v>670</v>
      </c>
      <c r="B202" s="116" t="s">
        <v>1595</v>
      </c>
    </row>
    <row r="203" spans="1:3">
      <c r="A203" s="116" t="s">
        <v>671</v>
      </c>
      <c r="B203" s="120" t="s">
        <v>1413</v>
      </c>
      <c r="C203" s="116" t="s">
        <v>384</v>
      </c>
    </row>
    <row r="206" spans="1:3">
      <c r="A206" s="14" t="s">
        <v>1596</v>
      </c>
      <c r="B206" s="14" t="s">
        <v>1597</v>
      </c>
    </row>
    <row r="207" spans="1:3">
      <c r="A207" s="116" t="s">
        <v>661</v>
      </c>
      <c r="B207" s="120" t="s">
        <v>433</v>
      </c>
      <c r="C207" s="116" t="s">
        <v>384</v>
      </c>
    </row>
    <row r="208" spans="1:3">
      <c r="A208" s="116" t="s">
        <v>667</v>
      </c>
      <c r="B208" s="116" t="s">
        <v>1586</v>
      </c>
    </row>
    <row r="209" spans="1:3" ht="28.8">
      <c r="A209" s="116" t="s">
        <v>668</v>
      </c>
      <c r="B209" s="116" t="s">
        <v>1598</v>
      </c>
    </row>
    <row r="210" spans="1:3">
      <c r="A210" s="116" t="s">
        <v>669</v>
      </c>
      <c r="B210" s="120" t="s">
        <v>1416</v>
      </c>
      <c r="C210" s="116" t="s">
        <v>384</v>
      </c>
    </row>
    <row r="211" spans="1:3" ht="43.2">
      <c r="A211" s="116" t="s">
        <v>670</v>
      </c>
      <c r="B211" s="116" t="s">
        <v>1599</v>
      </c>
    </row>
    <row r="212" spans="1:3">
      <c r="A212" s="116" t="s">
        <v>671</v>
      </c>
      <c r="B212" s="120" t="s">
        <v>1413</v>
      </c>
      <c r="C212" s="116" t="s">
        <v>384</v>
      </c>
    </row>
    <row r="214" spans="1:3">
      <c r="A214" s="14" t="s">
        <v>1600</v>
      </c>
      <c r="B214" s="14" t="s">
        <v>1601</v>
      </c>
    </row>
    <row r="215" spans="1:3">
      <c r="A215" s="116" t="s">
        <v>661</v>
      </c>
      <c r="B215" s="120" t="s">
        <v>433</v>
      </c>
      <c r="C215" s="116" t="s">
        <v>384</v>
      </c>
    </row>
    <row r="216" spans="1:3">
      <c r="A216" s="116" t="s">
        <v>667</v>
      </c>
      <c r="B216" s="116" t="s">
        <v>1586</v>
      </c>
    </row>
    <row r="217" spans="1:3" ht="28.8">
      <c r="A217" s="116" t="s">
        <v>668</v>
      </c>
      <c r="B217" s="116" t="s">
        <v>1602</v>
      </c>
    </row>
    <row r="218" spans="1:3">
      <c r="A218" s="116" t="s">
        <v>669</v>
      </c>
      <c r="B218" s="120" t="s">
        <v>676</v>
      </c>
      <c r="C218" s="116" t="s">
        <v>384</v>
      </c>
    </row>
    <row r="219" spans="1:3" ht="43.2">
      <c r="A219" s="116" t="s">
        <v>670</v>
      </c>
      <c r="B219" s="116" t="s">
        <v>1603</v>
      </c>
    </row>
    <row r="220" spans="1:3">
      <c r="A220" s="116" t="s">
        <v>671</v>
      </c>
      <c r="B220" s="120" t="s">
        <v>1413</v>
      </c>
      <c r="C220" s="116" t="s">
        <v>384</v>
      </c>
    </row>
    <row r="222" spans="1:3">
      <c r="A222" s="14" t="s">
        <v>1604</v>
      </c>
      <c r="B222" s="14" t="s">
        <v>1694</v>
      </c>
    </row>
    <row r="223" spans="1:3">
      <c r="A223" s="116" t="s">
        <v>661</v>
      </c>
      <c r="B223" s="120" t="s">
        <v>433</v>
      </c>
      <c r="C223" s="116" t="s">
        <v>384</v>
      </c>
    </row>
    <row r="224" spans="1:3">
      <c r="A224" s="116" t="s">
        <v>667</v>
      </c>
      <c r="B224" s="116" t="s">
        <v>1586</v>
      </c>
    </row>
    <row r="225" spans="1:3" ht="28.8">
      <c r="A225" s="116" t="s">
        <v>668</v>
      </c>
      <c r="B225" s="116" t="s">
        <v>1605</v>
      </c>
    </row>
    <row r="226" spans="1:3">
      <c r="A226" s="116" t="s">
        <v>669</v>
      </c>
      <c r="B226" s="120" t="s">
        <v>676</v>
      </c>
      <c r="C226" s="116" t="s">
        <v>384</v>
      </c>
    </row>
    <row r="227" spans="1:3" ht="129.6">
      <c r="A227" s="116" t="s">
        <v>670</v>
      </c>
      <c r="B227" s="116" t="s">
        <v>1606</v>
      </c>
    </row>
    <row r="228" spans="1:3">
      <c r="A228" s="116" t="s">
        <v>671</v>
      </c>
      <c r="B228" s="120" t="s">
        <v>1413</v>
      </c>
      <c r="C228" s="116" t="s">
        <v>384</v>
      </c>
    </row>
    <row r="230" spans="1:3">
      <c r="A230" s="14" t="s">
        <v>1607</v>
      </c>
      <c r="B230" s="14" t="s">
        <v>1695</v>
      </c>
    </row>
    <row r="231" spans="1:3">
      <c r="A231" s="116" t="s">
        <v>661</v>
      </c>
      <c r="B231" s="120" t="s">
        <v>433</v>
      </c>
      <c r="C231" s="116" t="s">
        <v>384</v>
      </c>
    </row>
    <row r="232" spans="1:3">
      <c r="A232" s="116" t="s">
        <v>667</v>
      </c>
      <c r="B232" s="116" t="s">
        <v>1586</v>
      </c>
    </row>
    <row r="233" spans="1:3">
      <c r="A233" s="116" t="s">
        <v>668</v>
      </c>
      <c r="B233" s="116" t="s">
        <v>1608</v>
      </c>
    </row>
    <row r="234" spans="1:3">
      <c r="A234" s="116" t="s">
        <v>669</v>
      </c>
      <c r="B234" s="120" t="s">
        <v>676</v>
      </c>
      <c r="C234" s="116" t="s">
        <v>384</v>
      </c>
    </row>
    <row r="235" spans="1:3" ht="43.2">
      <c r="A235" s="116" t="s">
        <v>670</v>
      </c>
      <c r="B235" s="116" t="s">
        <v>1609</v>
      </c>
    </row>
    <row r="236" spans="1:3">
      <c r="A236" s="116" t="s">
        <v>671</v>
      </c>
      <c r="B236" s="120" t="s">
        <v>675</v>
      </c>
      <c r="C236" s="116" t="s">
        <v>384</v>
      </c>
    </row>
    <row r="238" spans="1:3">
      <c r="A238" s="14" t="s">
        <v>1610</v>
      </c>
      <c r="B238" s="14" t="s">
        <v>1696</v>
      </c>
    </row>
    <row r="239" spans="1:3">
      <c r="A239" s="116" t="s">
        <v>661</v>
      </c>
      <c r="B239" s="120" t="s">
        <v>433</v>
      </c>
      <c r="C239" s="116" t="s">
        <v>384</v>
      </c>
    </row>
    <row r="240" spans="1:3">
      <c r="A240" s="116" t="s">
        <v>667</v>
      </c>
      <c r="B240" s="116" t="s">
        <v>1586</v>
      </c>
    </row>
    <row r="241" spans="1:3">
      <c r="A241" s="116" t="s">
        <v>668</v>
      </c>
      <c r="B241" s="116" t="s">
        <v>1611</v>
      </c>
    </row>
    <row r="242" spans="1:3">
      <c r="A242" s="116" t="s">
        <v>669</v>
      </c>
      <c r="B242" s="120" t="s">
        <v>676</v>
      </c>
      <c r="C242" s="116" t="s">
        <v>384</v>
      </c>
    </row>
    <row r="243" spans="1:3" ht="100.8">
      <c r="A243" s="116" t="s">
        <v>670</v>
      </c>
      <c r="B243" s="116" t="s">
        <v>1612</v>
      </c>
    </row>
    <row r="244" spans="1:3">
      <c r="A244" s="116" t="s">
        <v>671</v>
      </c>
      <c r="B244" s="120" t="s">
        <v>1413</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1129</v>
      </c>
    </row>
    <row r="252" spans="1:3">
      <c r="A252" s="116" t="s">
        <v>694</v>
      </c>
      <c r="B252" s="120" t="s">
        <v>673</v>
      </c>
      <c r="C252" s="116" t="s">
        <v>384</v>
      </c>
    </row>
    <row r="253" spans="1:3">
      <c r="A253" s="116" t="s">
        <v>695</v>
      </c>
      <c r="B253" s="116" t="s">
        <v>1130</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1157</v>
      </c>
      <c r="B266" s="120" t="s">
        <v>1156</v>
      </c>
      <c r="C266" s="116" t="s">
        <v>384</v>
      </c>
    </row>
    <row r="268" spans="1:3">
      <c r="A268" s="99" t="s">
        <v>809</v>
      </c>
      <c r="B268" s="99"/>
    </row>
    <row r="269" spans="1:3">
      <c r="A269" s="28" t="s">
        <v>810</v>
      </c>
      <c r="B269" s="29"/>
      <c r="C269" s="30"/>
    </row>
    <row r="270" spans="1:3" ht="72">
      <c r="A270" s="255" t="s">
        <v>1177</v>
      </c>
      <c r="B270" s="120" t="s">
        <v>1156</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1207</v>
      </c>
      <c r="B1" s="99"/>
    </row>
    <row r="2" spans="1:3">
      <c r="A2" s="28" t="s">
        <v>1208</v>
      </c>
      <c r="B2" s="29"/>
      <c r="C2" s="30"/>
    </row>
    <row r="3" spans="1:3" s="124" customFormat="1">
      <c r="A3" s="123" t="s">
        <v>1210</v>
      </c>
      <c r="B3" s="116"/>
    </row>
    <row r="4" spans="1:3" s="124" customFormat="1">
      <c r="B4" s="116"/>
    </row>
    <row r="5" spans="1:3">
      <c r="A5" s="28" t="s">
        <v>1209</v>
      </c>
      <c r="B5" s="29"/>
      <c r="C5" s="30"/>
    </row>
    <row r="6" spans="1:3" s="124" customFormat="1">
      <c r="A6" s="123" t="s">
        <v>1211</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1153</v>
      </c>
      <c r="B1" s="99"/>
    </row>
    <row r="2" spans="1:3">
      <c r="A2" s="28" t="s">
        <v>1154</v>
      </c>
      <c r="B2" s="29"/>
      <c r="C2" s="30"/>
    </row>
    <row r="3" spans="1:3" s="124" customFormat="1">
      <c r="A3" s="123" t="s">
        <v>1155</v>
      </c>
      <c r="B3" s="116"/>
    </row>
    <row r="4" spans="1:3" s="124" customFormat="1">
      <c r="B4" s="116"/>
    </row>
    <row r="5" spans="1:3">
      <c r="A5" s="28" t="s">
        <v>1151</v>
      </c>
      <c r="B5" s="29"/>
      <c r="C5" s="30"/>
    </row>
    <row r="6" spans="1:3">
      <c r="A6" s="116" t="s">
        <v>1632</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1506</v>
      </c>
      <c r="C2" t="s">
        <v>873</v>
      </c>
      <c r="D2" t="s">
        <v>1519</v>
      </c>
      <c r="E2" t="s">
        <v>1139</v>
      </c>
      <c r="F2" t="s">
        <v>888</v>
      </c>
      <c r="G2" t="s">
        <v>410</v>
      </c>
    </row>
    <row r="3" spans="1:7">
      <c r="A3" t="s">
        <v>888</v>
      </c>
      <c r="B3" t="s">
        <v>1506</v>
      </c>
      <c r="C3" t="s">
        <v>874</v>
      </c>
      <c r="D3" t="s">
        <v>1518</v>
      </c>
      <c r="E3" t="s">
        <v>903</v>
      </c>
      <c r="F3" t="s">
        <v>888</v>
      </c>
      <c r="G3" t="s">
        <v>410</v>
      </c>
    </row>
    <row r="4" spans="1:7">
      <c r="A4" t="s">
        <v>889</v>
      </c>
      <c r="B4" t="s">
        <v>1507</v>
      </c>
      <c r="C4" t="s">
        <v>875</v>
      </c>
      <c r="D4" t="s">
        <v>1522</v>
      </c>
      <c r="E4" t="s">
        <v>902</v>
      </c>
      <c r="F4" t="s">
        <v>889</v>
      </c>
      <c r="G4" t="s">
        <v>410</v>
      </c>
    </row>
    <row r="5" spans="1:7">
      <c r="A5" t="s">
        <v>889</v>
      </c>
      <c r="B5" t="s">
        <v>1507</v>
      </c>
      <c r="C5" t="s">
        <v>876</v>
      </c>
      <c r="D5" t="s">
        <v>1522</v>
      </c>
      <c r="E5" t="s">
        <v>902</v>
      </c>
      <c r="F5" t="s">
        <v>889</v>
      </c>
      <c r="G5" t="s">
        <v>410</v>
      </c>
    </row>
    <row r="6" spans="1:7">
      <c r="A6" t="s">
        <v>889</v>
      </c>
      <c r="B6" t="s">
        <v>1507</v>
      </c>
      <c r="C6" t="s">
        <v>877</v>
      </c>
      <c r="D6" t="s">
        <v>1524</v>
      </c>
      <c r="E6" t="s">
        <v>1139</v>
      </c>
      <c r="F6" t="s">
        <v>889</v>
      </c>
      <c r="G6" t="s">
        <v>410</v>
      </c>
    </row>
    <row r="7" spans="1:7">
      <c r="A7" t="s">
        <v>890</v>
      </c>
      <c r="B7" t="s">
        <v>1509</v>
      </c>
      <c r="C7" t="s">
        <v>882</v>
      </c>
      <c r="D7" t="s">
        <v>1531</v>
      </c>
      <c r="E7" t="s">
        <v>1342</v>
      </c>
      <c r="F7" t="s">
        <v>890</v>
      </c>
      <c r="G7" t="s">
        <v>410</v>
      </c>
    </row>
    <row r="8" spans="1:7">
      <c r="A8" t="s">
        <v>890</v>
      </c>
      <c r="B8" t="s">
        <v>1509</v>
      </c>
      <c r="C8" t="s">
        <v>883</v>
      </c>
      <c r="D8" t="s">
        <v>1531</v>
      </c>
      <c r="E8" t="s">
        <v>1342</v>
      </c>
      <c r="F8" t="s">
        <v>890</v>
      </c>
      <c r="G8" t="s">
        <v>410</v>
      </c>
    </row>
    <row r="9" spans="1:7">
      <c r="A9" t="s">
        <v>890</v>
      </c>
      <c r="B9" t="s">
        <v>1509</v>
      </c>
      <c r="C9" t="s">
        <v>884</v>
      </c>
      <c r="D9" t="s">
        <v>1531</v>
      </c>
      <c r="E9" t="s">
        <v>1342</v>
      </c>
      <c r="F9" t="s">
        <v>890</v>
      </c>
      <c r="G9" t="s">
        <v>410</v>
      </c>
    </row>
    <row r="10" spans="1:7">
      <c r="A10" t="s">
        <v>891</v>
      </c>
      <c r="B10" t="s">
        <v>1511</v>
      </c>
      <c r="C10" t="s">
        <v>881</v>
      </c>
      <c r="D10" t="s">
        <v>1536</v>
      </c>
      <c r="E10" t="s">
        <v>1342</v>
      </c>
      <c r="F10" t="s">
        <v>891</v>
      </c>
      <c r="G10" t="s">
        <v>410</v>
      </c>
    </row>
    <row r="11" spans="1:7">
      <c r="A11" t="s">
        <v>893</v>
      </c>
      <c r="B11" t="s">
        <v>1333</v>
      </c>
      <c r="C11" t="s">
        <v>743</v>
      </c>
      <c r="D11" t="s">
        <v>1537</v>
      </c>
      <c r="E11" t="s">
        <v>1341</v>
      </c>
      <c r="F11" t="s">
        <v>893</v>
      </c>
      <c r="G11" t="s">
        <v>410</v>
      </c>
    </row>
    <row r="12" spans="1:7">
      <c r="A12" t="s">
        <v>894</v>
      </c>
      <c r="B12" t="s">
        <v>1334</v>
      </c>
      <c r="C12" t="s">
        <v>885</v>
      </c>
      <c r="D12" t="s">
        <v>1626</v>
      </c>
      <c r="E12" t="s">
        <v>1625</v>
      </c>
      <c r="F12" t="s">
        <v>894</v>
      </c>
      <c r="G12" t="s">
        <v>410</v>
      </c>
    </row>
    <row r="13" spans="1:7">
      <c r="A13" t="s">
        <v>894</v>
      </c>
      <c r="B13" t="s">
        <v>1334</v>
      </c>
      <c r="C13" t="s">
        <v>886</v>
      </c>
      <c r="D13" t="s">
        <v>1538</v>
      </c>
      <c r="E13" t="s">
        <v>1343</v>
      </c>
      <c r="F13" t="s">
        <v>894</v>
      </c>
      <c r="G13" t="s">
        <v>410</v>
      </c>
    </row>
    <row r="14" spans="1:7">
      <c r="A14" t="s">
        <v>894</v>
      </c>
      <c r="B14" t="s">
        <v>1334</v>
      </c>
      <c r="C14" t="s">
        <v>878</v>
      </c>
      <c r="D14" t="s">
        <v>1626</v>
      </c>
      <c r="E14" t="s">
        <v>1625</v>
      </c>
      <c r="F14" t="s">
        <v>894</v>
      </c>
      <c r="G14" t="s">
        <v>410</v>
      </c>
    </row>
    <row r="15" spans="1:7">
      <c r="A15" t="s">
        <v>894</v>
      </c>
      <c r="B15" t="s">
        <v>1334</v>
      </c>
      <c r="C15" t="s">
        <v>879</v>
      </c>
      <c r="D15" t="s">
        <v>1538</v>
      </c>
      <c r="E15" t="s">
        <v>1343</v>
      </c>
      <c r="F15" t="s">
        <v>894</v>
      </c>
      <c r="G15" t="s">
        <v>410</v>
      </c>
    </row>
    <row r="16" spans="1:7">
      <c r="A16" t="s">
        <v>894</v>
      </c>
      <c r="B16" t="s">
        <v>1334</v>
      </c>
      <c r="C16" t="s">
        <v>880</v>
      </c>
      <c r="D16" t="s">
        <v>1538</v>
      </c>
      <c r="E16" t="s">
        <v>1343</v>
      </c>
      <c r="F16" t="s">
        <v>894</v>
      </c>
      <c r="G16" t="s">
        <v>410</v>
      </c>
    </row>
    <row r="17" spans="1:7">
      <c r="A17" t="s">
        <v>895</v>
      </c>
      <c r="B17" t="s">
        <v>1335</v>
      </c>
      <c r="C17" t="s">
        <v>745</v>
      </c>
      <c r="D17" t="s">
        <v>1539</v>
      </c>
      <c r="E17" t="s">
        <v>1340</v>
      </c>
      <c r="F17" t="s">
        <v>895</v>
      </c>
      <c r="G17" t="s">
        <v>410</v>
      </c>
    </row>
    <row r="18" spans="1:7">
      <c r="A18" t="s">
        <v>896</v>
      </c>
      <c r="B18" t="s">
        <v>1336</v>
      </c>
      <c r="C18" t="s">
        <v>827</v>
      </c>
      <c r="D18" t="s">
        <v>1540</v>
      </c>
      <c r="E18" t="s">
        <v>1224</v>
      </c>
      <c r="F18" t="s">
        <v>896</v>
      </c>
      <c r="G18" t="s">
        <v>410</v>
      </c>
    </row>
    <row r="19" spans="1:7">
      <c r="A19" t="s">
        <v>888</v>
      </c>
      <c r="B19" t="s">
        <v>1506</v>
      </c>
      <c r="C19" t="s">
        <v>874</v>
      </c>
      <c r="D19" t="s">
        <v>1519</v>
      </c>
      <c r="E19" t="s">
        <v>1139</v>
      </c>
      <c r="F19" t="s">
        <v>888</v>
      </c>
    </row>
    <row r="20" spans="1:7">
      <c r="A20" t="s">
        <v>889</v>
      </c>
      <c r="B20" t="s">
        <v>1507</v>
      </c>
      <c r="C20" t="s">
        <v>875</v>
      </c>
      <c r="D20" t="s">
        <v>1523</v>
      </c>
      <c r="E20" t="s">
        <v>903</v>
      </c>
      <c r="F20" t="s">
        <v>889</v>
      </c>
    </row>
    <row r="21" spans="1:7">
      <c r="A21" t="s">
        <v>889</v>
      </c>
      <c r="B21" t="s">
        <v>1507</v>
      </c>
      <c r="C21" t="s">
        <v>875</v>
      </c>
      <c r="D21" t="s">
        <v>1524</v>
      </c>
      <c r="E21" t="s">
        <v>1139</v>
      </c>
      <c r="F21" t="s">
        <v>889</v>
      </c>
    </row>
    <row r="22" spans="1:7">
      <c r="A22" t="s">
        <v>889</v>
      </c>
      <c r="B22" t="s">
        <v>1507</v>
      </c>
      <c r="C22" t="s">
        <v>875</v>
      </c>
      <c r="D22" t="s">
        <v>1526</v>
      </c>
      <c r="E22" t="s">
        <v>1342</v>
      </c>
      <c r="F22" t="s">
        <v>889</v>
      </c>
    </row>
    <row r="23" spans="1:7">
      <c r="A23" t="s">
        <v>889</v>
      </c>
      <c r="B23" t="s">
        <v>1507</v>
      </c>
      <c r="C23" t="s">
        <v>875</v>
      </c>
      <c r="D23" t="s">
        <v>1525</v>
      </c>
      <c r="E23" t="s">
        <v>1274</v>
      </c>
      <c r="F23" t="s">
        <v>889</v>
      </c>
    </row>
    <row r="24" spans="1:7">
      <c r="A24" t="s">
        <v>889</v>
      </c>
      <c r="B24" t="s">
        <v>1507</v>
      </c>
      <c r="C24" t="s">
        <v>877</v>
      </c>
      <c r="D24" t="s">
        <v>1525</v>
      </c>
      <c r="E24" t="s">
        <v>1274</v>
      </c>
      <c r="F24" t="s">
        <v>889</v>
      </c>
    </row>
    <row r="25" spans="1:7">
      <c r="A25" t="s">
        <v>894</v>
      </c>
      <c r="B25" t="s">
        <v>1334</v>
      </c>
      <c r="C25" t="s">
        <v>886</v>
      </c>
      <c r="D25" t="s">
        <v>1626</v>
      </c>
      <c r="E25" t="s">
        <v>1625</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1279</v>
      </c>
      <c r="L1" s="312">
        <f>VALUE(RIGHT(Planning!B10,1))</f>
        <v>5</v>
      </c>
      <c r="M1" s="124" t="s">
        <v>1280</v>
      </c>
    </row>
    <row r="2" spans="1:13">
      <c r="A2" s="315" t="s">
        <v>888</v>
      </c>
      <c r="B2" s="315" t="s">
        <v>1506</v>
      </c>
      <c r="C2" s="315" t="s">
        <v>873</v>
      </c>
      <c r="D2" s="315" t="s">
        <v>1519</v>
      </c>
      <c r="E2" s="315" t="s">
        <v>1139</v>
      </c>
      <c r="F2" s="315" t="s">
        <v>888</v>
      </c>
      <c r="G2" s="315" t="s">
        <v>410</v>
      </c>
      <c r="H2" s="313" t="str">
        <f t="shared" ref="H2" si="0">VLOOKUP(E2,tbl_RolePAlookup,2,FALSE)</f>
        <v>[4] Engineering</v>
      </c>
      <c r="I2" s="421">
        <f t="shared" ref="I2" si="1">VLOOKUP(C2,tbl_PAcount,L$1+1,FALSE)</f>
        <v>10</v>
      </c>
    </row>
    <row r="3" spans="1:13">
      <c r="A3" s="315" t="s">
        <v>888</v>
      </c>
      <c r="B3" s="315" t="s">
        <v>1506</v>
      </c>
      <c r="C3" s="315" t="s">
        <v>874</v>
      </c>
      <c r="D3" s="315" t="s">
        <v>1518</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1507</v>
      </c>
      <c r="C4" s="315" t="s">
        <v>875</v>
      </c>
      <c r="D4" s="315" t="s">
        <v>1522</v>
      </c>
      <c r="E4" s="315" t="s">
        <v>902</v>
      </c>
      <c r="F4" s="315" t="s">
        <v>889</v>
      </c>
      <c r="G4" s="315" t="s">
        <v>410</v>
      </c>
      <c r="H4" s="313" t="str">
        <f t="shared" si="2"/>
        <v>[4] Engineering</v>
      </c>
      <c r="I4" s="421">
        <f t="shared" si="3"/>
        <v>6</v>
      </c>
    </row>
    <row r="5" spans="1:13">
      <c r="A5" s="315" t="s">
        <v>889</v>
      </c>
      <c r="B5" s="315" t="s">
        <v>1507</v>
      </c>
      <c r="C5" s="315" t="s">
        <v>876</v>
      </c>
      <c r="D5" s="315" t="s">
        <v>1522</v>
      </c>
      <c r="E5" s="315" t="s">
        <v>902</v>
      </c>
      <c r="F5" s="315" t="s">
        <v>889</v>
      </c>
      <c r="G5" s="315" t="s">
        <v>410</v>
      </c>
      <c r="H5" s="313" t="str">
        <f t="shared" si="2"/>
        <v>[4] Engineering</v>
      </c>
      <c r="I5" s="421">
        <f t="shared" si="3"/>
        <v>14</v>
      </c>
    </row>
    <row r="6" spans="1:13">
      <c r="A6" s="315" t="s">
        <v>889</v>
      </c>
      <c r="B6" s="315" t="s">
        <v>1507</v>
      </c>
      <c r="C6" s="315" t="s">
        <v>877</v>
      </c>
      <c r="D6" s="315" t="s">
        <v>1524</v>
      </c>
      <c r="E6" s="315" t="s">
        <v>1139</v>
      </c>
      <c r="F6" s="315" t="s">
        <v>889</v>
      </c>
      <c r="G6" s="315" t="s">
        <v>410</v>
      </c>
      <c r="H6" s="313" t="str">
        <f t="shared" si="2"/>
        <v>[4] Engineering</v>
      </c>
      <c r="I6" s="421">
        <f t="shared" si="3"/>
        <v>7</v>
      </c>
    </row>
    <row r="7" spans="1:13">
      <c r="A7" s="315" t="s">
        <v>890</v>
      </c>
      <c r="B7" s="315" t="s">
        <v>1509</v>
      </c>
      <c r="C7" s="315" t="s">
        <v>882</v>
      </c>
      <c r="D7" s="315" t="s">
        <v>1531</v>
      </c>
      <c r="E7" s="315" t="s">
        <v>1342</v>
      </c>
      <c r="F7" s="315" t="s">
        <v>890</v>
      </c>
      <c r="G7" s="315" t="s">
        <v>410</v>
      </c>
      <c r="H7" s="313" t="str">
        <f t="shared" si="2"/>
        <v>[3] Project Management</v>
      </c>
      <c r="I7" s="421">
        <f t="shared" si="3"/>
        <v>6</v>
      </c>
    </row>
    <row r="8" spans="1:13">
      <c r="A8" s="315" t="s">
        <v>890</v>
      </c>
      <c r="B8" s="315" t="s">
        <v>1509</v>
      </c>
      <c r="C8" s="315" t="s">
        <v>883</v>
      </c>
      <c r="D8" s="315" t="s">
        <v>1531</v>
      </c>
      <c r="E8" s="315" t="s">
        <v>1342</v>
      </c>
      <c r="F8" s="315" t="s">
        <v>890</v>
      </c>
      <c r="G8" s="315" t="s">
        <v>410</v>
      </c>
      <c r="H8" s="313" t="str">
        <f t="shared" si="2"/>
        <v>[3] Project Management</v>
      </c>
      <c r="I8" s="421">
        <f t="shared" si="3"/>
        <v>10</v>
      </c>
    </row>
    <row r="9" spans="1:13">
      <c r="A9" s="315" t="s">
        <v>890</v>
      </c>
      <c r="B9" s="315" t="s">
        <v>1509</v>
      </c>
      <c r="C9" s="315" t="s">
        <v>884</v>
      </c>
      <c r="D9" s="315" t="s">
        <v>1531</v>
      </c>
      <c r="E9" s="315" t="s">
        <v>1342</v>
      </c>
      <c r="F9" s="315" t="s">
        <v>890</v>
      </c>
      <c r="G9" s="315" t="s">
        <v>410</v>
      </c>
      <c r="H9" s="313" t="str">
        <f t="shared" si="2"/>
        <v>[3] Project Management</v>
      </c>
      <c r="I9" s="421">
        <f t="shared" si="3"/>
        <v>15</v>
      </c>
    </row>
    <row r="10" spans="1:13">
      <c r="A10" s="315" t="s">
        <v>891</v>
      </c>
      <c r="B10" s="315" t="s">
        <v>1511</v>
      </c>
      <c r="C10" s="315" t="s">
        <v>881</v>
      </c>
      <c r="D10" s="315" t="s">
        <v>1536</v>
      </c>
      <c r="E10" s="315" t="s">
        <v>1342</v>
      </c>
      <c r="F10" s="315" t="s">
        <v>891</v>
      </c>
      <c r="G10" s="315" t="s">
        <v>410</v>
      </c>
      <c r="H10" s="313" t="str">
        <f t="shared" si="2"/>
        <v>[3] Project Management</v>
      </c>
      <c r="I10" s="421">
        <f t="shared" si="3"/>
        <v>8</v>
      </c>
    </row>
    <row r="11" spans="1:13">
      <c r="A11" s="315" t="s">
        <v>893</v>
      </c>
      <c r="B11" s="315" t="s">
        <v>1333</v>
      </c>
      <c r="C11" s="315" t="s">
        <v>743</v>
      </c>
      <c r="D11" s="315" t="s">
        <v>1537</v>
      </c>
      <c r="E11" s="315" t="s">
        <v>1341</v>
      </c>
      <c r="F11" s="315" t="s">
        <v>893</v>
      </c>
      <c r="G11" s="315" t="s">
        <v>410</v>
      </c>
      <c r="H11" s="313" t="str">
        <f t="shared" si="2"/>
        <v>[5] Configuration Management</v>
      </c>
      <c r="I11" s="421">
        <f t="shared" si="3"/>
        <v>7</v>
      </c>
    </row>
    <row r="12" spans="1:13">
      <c r="A12" s="315" t="s">
        <v>894</v>
      </c>
      <c r="B12" s="315" t="s">
        <v>1334</v>
      </c>
      <c r="C12" s="315" t="s">
        <v>885</v>
      </c>
      <c r="D12" s="315" t="s">
        <v>1626</v>
      </c>
      <c r="E12" s="315" t="s">
        <v>1625</v>
      </c>
      <c r="F12" s="315" t="s">
        <v>894</v>
      </c>
      <c r="G12" s="315" t="s">
        <v>410</v>
      </c>
      <c r="H12" s="313" t="str">
        <f t="shared" si="2"/>
        <v>[6] Process Management</v>
      </c>
      <c r="I12" s="421">
        <f t="shared" si="3"/>
        <v>11</v>
      </c>
    </row>
    <row r="13" spans="1:13">
      <c r="A13" s="315" t="s">
        <v>894</v>
      </c>
      <c r="B13" s="315" t="s">
        <v>1334</v>
      </c>
      <c r="C13" s="315" t="s">
        <v>886</v>
      </c>
      <c r="D13" s="315" t="s">
        <v>1538</v>
      </c>
      <c r="E13" s="315" t="s">
        <v>1343</v>
      </c>
      <c r="F13" s="315" t="s">
        <v>894</v>
      </c>
      <c r="G13" s="315" t="s">
        <v>410</v>
      </c>
      <c r="H13" s="313" t="str">
        <f t="shared" si="2"/>
        <v>[6] Process Management</v>
      </c>
      <c r="I13" s="421">
        <f t="shared" si="3"/>
        <v>8</v>
      </c>
    </row>
    <row r="14" spans="1:13">
      <c r="A14" s="315" t="s">
        <v>894</v>
      </c>
      <c r="B14" s="315" t="s">
        <v>1334</v>
      </c>
      <c r="C14" s="315" t="s">
        <v>878</v>
      </c>
      <c r="D14" s="315" t="s">
        <v>1626</v>
      </c>
      <c r="E14" s="315" t="s">
        <v>1625</v>
      </c>
      <c r="F14" s="315" t="s">
        <v>894</v>
      </c>
      <c r="G14" s="315" t="s">
        <v>410</v>
      </c>
      <c r="H14" s="313" t="str">
        <f t="shared" si="2"/>
        <v>[6] Process Management</v>
      </c>
      <c r="I14" s="421">
        <f t="shared" si="3"/>
        <v>22</v>
      </c>
    </row>
    <row r="15" spans="1:13">
      <c r="A15" s="315" t="s">
        <v>894</v>
      </c>
      <c r="B15" s="315" t="s">
        <v>1334</v>
      </c>
      <c r="C15" s="315" t="s">
        <v>879</v>
      </c>
      <c r="D15" s="315" t="s">
        <v>1538</v>
      </c>
      <c r="E15" s="315" t="s">
        <v>1343</v>
      </c>
      <c r="F15" s="315" t="s">
        <v>894</v>
      </c>
      <c r="G15" s="315" t="s">
        <v>410</v>
      </c>
      <c r="H15" s="313" t="str">
        <f t="shared" si="2"/>
        <v>[6] Process Management</v>
      </c>
      <c r="I15" s="421">
        <f t="shared" si="3"/>
        <v>11</v>
      </c>
    </row>
    <row r="16" spans="1:13">
      <c r="A16" s="315" t="s">
        <v>894</v>
      </c>
      <c r="B16" s="315" t="s">
        <v>1334</v>
      </c>
      <c r="C16" s="315" t="s">
        <v>880</v>
      </c>
      <c r="D16" s="315" t="s">
        <v>1538</v>
      </c>
      <c r="E16" s="315" t="s">
        <v>1343</v>
      </c>
      <c r="F16" s="315" t="s">
        <v>894</v>
      </c>
      <c r="G16" s="315" t="s">
        <v>410</v>
      </c>
      <c r="H16" s="313" t="str">
        <f t="shared" si="2"/>
        <v>[6] Process Management</v>
      </c>
      <c r="I16" s="421">
        <f t="shared" si="3"/>
        <v>11</v>
      </c>
    </row>
    <row r="17" spans="1:9">
      <c r="A17" s="315" t="s">
        <v>895</v>
      </c>
      <c r="B17" s="315" t="s">
        <v>1335</v>
      </c>
      <c r="C17" s="315" t="s">
        <v>745</v>
      </c>
      <c r="D17" s="315" t="s">
        <v>1539</v>
      </c>
      <c r="E17" s="315" t="s">
        <v>1340</v>
      </c>
      <c r="F17" s="315" t="s">
        <v>895</v>
      </c>
      <c r="G17" s="315" t="s">
        <v>410</v>
      </c>
      <c r="H17" s="313" t="str">
        <f t="shared" si="2"/>
        <v>[7] Organisational Training</v>
      </c>
      <c r="I17" s="421">
        <f t="shared" si="3"/>
        <v>9</v>
      </c>
    </row>
    <row r="18" spans="1:9">
      <c r="A18" s="315" t="s">
        <v>896</v>
      </c>
      <c r="B18" s="315" t="s">
        <v>1336</v>
      </c>
      <c r="C18" s="315" t="s">
        <v>827</v>
      </c>
      <c r="D18" s="315" t="s">
        <v>1540</v>
      </c>
      <c r="E18" s="315" t="s">
        <v>1224</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1279</v>
      </c>
      <c r="E1" s="312">
        <f>VALUE(RIGHT(Planning!B10,1))</f>
        <v>5</v>
      </c>
      <c r="F1" s="124" t="s">
        <v>1280</v>
      </c>
    </row>
    <row r="3" spans="1:10" ht="28.8">
      <c r="A3" s="307" t="s">
        <v>907</v>
      </c>
      <c r="B3" t="s">
        <v>1278</v>
      </c>
      <c r="D3" s="409" t="s">
        <v>1288</v>
      </c>
      <c r="E3" s="409" t="s">
        <v>916</v>
      </c>
      <c r="F3" s="410" t="s">
        <v>901</v>
      </c>
      <c r="G3" s="409" t="s">
        <v>1281</v>
      </c>
      <c r="H3" s="409" t="s">
        <v>1282</v>
      </c>
      <c r="I3" s="409" t="s">
        <v>1283</v>
      </c>
      <c r="J3" s="409" t="s">
        <v>1284</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8" t="str">
        <f>_xlfn.CONCAT("Week ",T8)</f>
        <v>Week 15</v>
      </c>
      <c r="B3" s="469"/>
      <c r="C3" s="428" t="s">
        <v>1650</v>
      </c>
      <c r="D3" s="429" t="s">
        <v>1651</v>
      </c>
      <c r="E3" s="428" t="s">
        <v>1650</v>
      </c>
      <c r="F3" s="429" t="s">
        <v>1651</v>
      </c>
      <c r="G3" s="428" t="s">
        <v>1650</v>
      </c>
      <c r="H3" s="429" t="s">
        <v>1651</v>
      </c>
      <c r="I3" s="428" t="s">
        <v>1650</v>
      </c>
      <c r="J3" s="429" t="s">
        <v>1651</v>
      </c>
      <c r="K3" s="428" t="s">
        <v>1650</v>
      </c>
      <c r="L3" s="429" t="s">
        <v>1651</v>
      </c>
      <c r="M3" s="428" t="s">
        <v>1650</v>
      </c>
      <c r="N3" s="429" t="s">
        <v>1651</v>
      </c>
      <c r="O3" s="428" t="s">
        <v>1650</v>
      </c>
      <c r="P3" s="429" t="s">
        <v>1651</v>
      </c>
      <c r="Q3" s="468" t="str">
        <f>_xlfn.CONCAT("Week ",AJ8)</f>
        <v xml:space="preserve">Week </v>
      </c>
      <c r="R3" s="469"/>
    </row>
    <row r="4" spans="1:20" ht="19.95" customHeight="1">
      <c r="A4" s="470"/>
      <c r="B4" s="471"/>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0"/>
      <c r="R4" s="471"/>
      <c r="T4" s="427">
        <f>C5</f>
        <v>44296</v>
      </c>
    </row>
    <row r="5" spans="1:20" ht="19.95" customHeight="1">
      <c r="A5" s="432" t="s">
        <v>1652</v>
      </c>
      <c r="B5" s="432" t="s">
        <v>1653</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1652</v>
      </c>
      <c r="R5" s="432" t="s">
        <v>1653</v>
      </c>
      <c r="T5" s="427">
        <f>YEAR(T4)-1</f>
        <v>2020</v>
      </c>
    </row>
    <row r="6" spans="1:20" ht="19.95" customHeight="1">
      <c r="A6" s="435">
        <v>0.41666666666666669</v>
      </c>
      <c r="B6" s="435">
        <v>0.16666666666666666</v>
      </c>
      <c r="C6" s="501"/>
      <c r="D6" s="446"/>
      <c r="E6" s="501"/>
      <c r="F6" s="446"/>
      <c r="G6" s="436" t="s">
        <v>1654</v>
      </c>
      <c r="H6" s="446"/>
      <c r="I6" s="436" t="s">
        <v>1654</v>
      </c>
      <c r="J6" s="446"/>
      <c r="K6" s="436" t="s">
        <v>1654</v>
      </c>
      <c r="L6" s="446"/>
      <c r="M6" s="436" t="s">
        <v>1654</v>
      </c>
      <c r="N6" s="446"/>
      <c r="O6" s="436" t="s">
        <v>1654</v>
      </c>
      <c r="P6" s="446"/>
      <c r="Q6" s="435">
        <v>0.41666666666666669</v>
      </c>
      <c r="R6" s="435">
        <v>0.16666666666666666</v>
      </c>
      <c r="T6" s="427">
        <f>DATE(T5,12,31)</f>
        <v>44196</v>
      </c>
    </row>
    <row r="7" spans="1:20" ht="19.95" customHeight="1">
      <c r="A7" s="435">
        <v>0.4375</v>
      </c>
      <c r="B7" s="435">
        <v>0.1875</v>
      </c>
      <c r="C7" s="501"/>
      <c r="D7" s="447"/>
      <c r="E7" s="501"/>
      <c r="F7" s="447"/>
      <c r="G7" s="437" t="s">
        <v>1423</v>
      </c>
      <c r="H7" s="447"/>
      <c r="I7" s="507" t="s">
        <v>979</v>
      </c>
      <c r="J7" s="447"/>
      <c r="K7" s="487" t="s">
        <v>1655</v>
      </c>
      <c r="L7" s="447"/>
      <c r="M7" s="487" t="s">
        <v>983</v>
      </c>
      <c r="N7" s="447"/>
      <c r="O7" s="505" t="s">
        <v>1656</v>
      </c>
      <c r="P7" s="447"/>
      <c r="Q7" s="435">
        <v>0.4375</v>
      </c>
      <c r="R7" s="435">
        <v>0.1875</v>
      </c>
      <c r="T7" s="427">
        <f>T4-T6</f>
        <v>100</v>
      </c>
    </row>
    <row r="8" spans="1:20" ht="19.95" customHeight="1">
      <c r="A8" s="435">
        <v>0.45833333333333331</v>
      </c>
      <c r="B8" s="435">
        <v>0.20833333333333334</v>
      </c>
      <c r="C8" s="488" t="s">
        <v>1672</v>
      </c>
      <c r="D8" s="447"/>
      <c r="E8" s="488" t="s">
        <v>1672</v>
      </c>
      <c r="F8" s="447"/>
      <c r="G8" s="505" t="s">
        <v>1657</v>
      </c>
      <c r="H8" s="447"/>
      <c r="I8" s="507"/>
      <c r="J8" s="447"/>
      <c r="K8" s="487"/>
      <c r="L8" s="447"/>
      <c r="M8" s="487"/>
      <c r="N8" s="447"/>
      <c r="O8" s="505"/>
      <c r="P8" s="447"/>
      <c r="Q8" s="435">
        <v>0.45833333333333331</v>
      </c>
      <c r="R8" s="435">
        <v>0.20833333333333334</v>
      </c>
      <c r="T8" s="427">
        <f>ROUNDUP(T7/7,0)</f>
        <v>15</v>
      </c>
    </row>
    <row r="9" spans="1:20" ht="19.95" customHeight="1">
      <c r="A9" s="435">
        <v>0.47916666666666663</v>
      </c>
      <c r="B9" s="435">
        <v>0.22916666666666669</v>
      </c>
      <c r="C9" s="489"/>
      <c r="D9" s="447"/>
      <c r="E9" s="489"/>
      <c r="F9" s="447"/>
      <c r="G9" s="505"/>
      <c r="H9" s="447"/>
      <c r="I9" s="507"/>
      <c r="J9" s="447"/>
      <c r="K9" s="487"/>
      <c r="L9" s="447"/>
      <c r="M9" s="436" t="s">
        <v>601</v>
      </c>
      <c r="N9" s="447"/>
      <c r="O9" s="485" t="s">
        <v>1658</v>
      </c>
      <c r="P9" s="447"/>
      <c r="Q9" s="435">
        <v>0.47916666666666663</v>
      </c>
      <c r="R9" s="435">
        <v>0.22916666666666669</v>
      </c>
    </row>
    <row r="10" spans="1:20" ht="19.95" customHeight="1">
      <c r="A10" s="435">
        <v>0.49999999999999994</v>
      </c>
      <c r="B10" s="435">
        <v>0.25</v>
      </c>
      <c r="C10" s="489"/>
      <c r="D10" s="447"/>
      <c r="E10" s="489"/>
      <c r="F10" s="447"/>
      <c r="G10" s="508" t="s">
        <v>928</v>
      </c>
      <c r="H10" s="447"/>
      <c r="I10" s="506" t="s">
        <v>928</v>
      </c>
      <c r="J10" s="447"/>
      <c r="K10" s="506" t="s">
        <v>928</v>
      </c>
      <c r="L10" s="447"/>
      <c r="M10" s="506" t="s">
        <v>928</v>
      </c>
      <c r="N10" s="447"/>
      <c r="O10" s="485"/>
      <c r="P10" s="447"/>
      <c r="Q10" s="435">
        <v>0.49999999999999994</v>
      </c>
      <c r="R10" s="435">
        <v>0.25</v>
      </c>
    </row>
    <row r="11" spans="1:20" ht="19.95" customHeight="1">
      <c r="A11" s="435">
        <v>0.52083333333333326</v>
      </c>
      <c r="B11" s="435">
        <v>0.27083333333333331</v>
      </c>
      <c r="C11" s="489"/>
      <c r="D11" s="447"/>
      <c r="E11" s="489"/>
      <c r="F11" s="447"/>
      <c r="G11" s="509"/>
      <c r="H11" s="447"/>
      <c r="I11" s="506"/>
      <c r="J11" s="447"/>
      <c r="K11" s="506"/>
      <c r="L11" s="447"/>
      <c r="M11" s="506"/>
      <c r="N11" s="447"/>
      <c r="O11" s="506" t="s">
        <v>928</v>
      </c>
      <c r="P11" s="447"/>
      <c r="Q11" s="435">
        <v>0.52083333333333326</v>
      </c>
      <c r="R11" s="435">
        <v>0.27083333333333331</v>
      </c>
    </row>
    <row r="12" spans="1:20" ht="19.95" customHeight="1">
      <c r="A12" s="435">
        <v>0.54166666666666663</v>
      </c>
      <c r="B12" s="435">
        <v>0.29166666666666663</v>
      </c>
      <c r="C12" s="489"/>
      <c r="D12" s="447"/>
      <c r="E12" s="489"/>
      <c r="F12" s="447"/>
      <c r="G12" s="488" t="s">
        <v>1660</v>
      </c>
      <c r="H12" s="447"/>
      <c r="I12" s="487" t="s">
        <v>979</v>
      </c>
      <c r="J12" s="447"/>
      <c r="K12" s="487" t="s">
        <v>1655</v>
      </c>
      <c r="L12" s="447"/>
      <c r="M12" s="486" t="s">
        <v>1677</v>
      </c>
      <c r="N12" s="447"/>
      <c r="O12" s="506"/>
      <c r="P12" s="447"/>
      <c r="Q12" s="435">
        <v>0.54166666666666663</v>
      </c>
      <c r="R12" s="435">
        <v>0.29166666666666663</v>
      </c>
    </row>
    <row r="13" spans="1:20" ht="19.95" customHeight="1">
      <c r="A13" s="435">
        <v>0.5625</v>
      </c>
      <c r="B13" s="435">
        <v>0.31249999999999994</v>
      </c>
      <c r="C13" s="489"/>
      <c r="D13" s="447"/>
      <c r="E13" s="489"/>
      <c r="F13" s="447"/>
      <c r="G13" s="489"/>
      <c r="H13" s="447"/>
      <c r="I13" s="487"/>
      <c r="J13" s="447"/>
      <c r="K13" s="487"/>
      <c r="L13" s="447"/>
      <c r="M13" s="486"/>
      <c r="N13" s="447"/>
      <c r="O13" s="486" t="s">
        <v>1659</v>
      </c>
      <c r="P13" s="447"/>
      <c r="Q13" s="435">
        <v>0.5625</v>
      </c>
      <c r="R13" s="435">
        <v>0.31249999999999994</v>
      </c>
    </row>
    <row r="14" spans="1:20" ht="19.95" customHeight="1">
      <c r="A14" s="435">
        <v>0.58333333333333337</v>
      </c>
      <c r="B14" s="435">
        <v>0.33333333333333326</v>
      </c>
      <c r="C14" s="489"/>
      <c r="D14" s="447"/>
      <c r="E14" s="489"/>
      <c r="F14" s="447"/>
      <c r="G14" s="489"/>
      <c r="H14" s="447"/>
      <c r="I14" s="487"/>
      <c r="J14" s="447"/>
      <c r="K14" s="487"/>
      <c r="L14" s="447"/>
      <c r="M14" s="486"/>
      <c r="N14" s="447"/>
      <c r="O14" s="486"/>
      <c r="P14" s="447"/>
      <c r="Q14" s="435">
        <v>0.58333333333333337</v>
      </c>
      <c r="R14" s="435">
        <v>0.33333333333333326</v>
      </c>
    </row>
    <row r="15" spans="1:20" ht="19.95" customHeight="1">
      <c r="A15" s="435">
        <v>0.60416666666666674</v>
      </c>
      <c r="B15" s="435">
        <v>0.35416666666666657</v>
      </c>
      <c r="C15" s="489"/>
      <c r="D15" s="447"/>
      <c r="E15" s="489"/>
      <c r="F15" s="447"/>
      <c r="G15" s="489"/>
      <c r="H15" s="447"/>
      <c r="I15" s="487"/>
      <c r="J15" s="447"/>
      <c r="K15" s="487"/>
      <c r="L15" s="447"/>
      <c r="M15" s="486"/>
      <c r="N15" s="447"/>
      <c r="O15" s="486"/>
      <c r="P15" s="447"/>
      <c r="Q15" s="435">
        <v>0.60416666666666674</v>
      </c>
      <c r="R15" s="435">
        <v>0.35416666666666657</v>
      </c>
    </row>
    <row r="16" spans="1:20" ht="19.95" customHeight="1">
      <c r="A16" s="435">
        <v>0.62500000000000011</v>
      </c>
      <c r="B16" s="435">
        <v>0.37499999999999989</v>
      </c>
      <c r="C16" s="489"/>
      <c r="D16" s="447"/>
      <c r="E16" s="489"/>
      <c r="F16" s="447"/>
      <c r="G16" s="490"/>
      <c r="H16" s="447"/>
      <c r="I16" s="487"/>
      <c r="J16" s="447"/>
      <c r="K16" s="487"/>
      <c r="L16" s="447"/>
      <c r="M16" s="487" t="s">
        <v>1661</v>
      </c>
      <c r="N16" s="447"/>
      <c r="O16" s="485" t="s">
        <v>1680</v>
      </c>
      <c r="P16" s="447"/>
      <c r="Q16" s="435">
        <v>0.62500000000000011</v>
      </c>
      <c r="R16" s="435">
        <v>0.37499999999999989</v>
      </c>
    </row>
    <row r="17" spans="1:18" ht="19.95" customHeight="1">
      <c r="A17" s="435">
        <v>0.64583333333333348</v>
      </c>
      <c r="B17" s="435">
        <v>0.3958333333333332</v>
      </c>
      <c r="C17" s="489"/>
      <c r="D17" s="447"/>
      <c r="E17" s="489"/>
      <c r="F17" s="447"/>
      <c r="G17" s="436" t="s">
        <v>601</v>
      </c>
      <c r="H17" s="447"/>
      <c r="I17" s="486" t="s">
        <v>601</v>
      </c>
      <c r="J17" s="447"/>
      <c r="K17" s="487"/>
      <c r="L17" s="447"/>
      <c r="M17" s="487"/>
      <c r="N17" s="447"/>
      <c r="O17" s="485"/>
      <c r="P17" s="447"/>
      <c r="Q17" s="435">
        <v>0.64583333333333348</v>
      </c>
      <c r="R17" s="435">
        <v>0.3958333333333332</v>
      </c>
    </row>
    <row r="18" spans="1:18" ht="19.95" customHeight="1">
      <c r="A18" s="435">
        <v>0.66666666666666685</v>
      </c>
      <c r="B18" s="435">
        <v>0.41666666666666652</v>
      </c>
      <c r="C18" s="489"/>
      <c r="D18" s="447"/>
      <c r="E18" s="489"/>
      <c r="F18" s="447"/>
      <c r="G18" s="487" t="s">
        <v>1660</v>
      </c>
      <c r="H18" s="447"/>
      <c r="I18" s="486"/>
      <c r="J18" s="447"/>
      <c r="K18" s="436" t="s">
        <v>601</v>
      </c>
      <c r="L18" s="447"/>
      <c r="M18" s="486" t="s">
        <v>1679</v>
      </c>
      <c r="N18" s="447"/>
      <c r="O18" s="504" t="s">
        <v>1663</v>
      </c>
      <c r="P18" s="447"/>
      <c r="Q18" s="435">
        <v>0.66666666666666685</v>
      </c>
      <c r="R18" s="435">
        <v>0.41666666666666652</v>
      </c>
    </row>
    <row r="19" spans="1:18" ht="19.95" customHeight="1">
      <c r="A19" s="435">
        <v>0.68750000000000022</v>
      </c>
      <c r="B19" s="435">
        <v>0.43749999999999983</v>
      </c>
      <c r="C19" s="489"/>
      <c r="D19" s="447"/>
      <c r="E19" s="489"/>
      <c r="F19" s="447"/>
      <c r="G19" s="487"/>
      <c r="H19" s="447"/>
      <c r="I19" s="487" t="s">
        <v>1662</v>
      </c>
      <c r="J19" s="447"/>
      <c r="K19" s="487" t="s">
        <v>982</v>
      </c>
      <c r="L19" s="447"/>
      <c r="M19" s="486"/>
      <c r="N19" s="447"/>
      <c r="O19" s="504"/>
      <c r="P19" s="447"/>
      <c r="Q19" s="435">
        <v>0.68750000000000022</v>
      </c>
      <c r="R19" s="435">
        <v>0.43749999999999983</v>
      </c>
    </row>
    <row r="20" spans="1:18" ht="19.95" customHeight="1">
      <c r="A20" s="435">
        <v>0.70833333333333359</v>
      </c>
      <c r="B20" s="435">
        <v>0.45833333333333315</v>
      </c>
      <c r="C20" s="489"/>
      <c r="D20" s="447"/>
      <c r="E20" s="489"/>
      <c r="F20" s="447"/>
      <c r="G20" s="487"/>
      <c r="H20" s="447"/>
      <c r="I20" s="487"/>
      <c r="J20" s="447"/>
      <c r="K20" s="487"/>
      <c r="L20" s="447"/>
      <c r="M20" s="486"/>
      <c r="N20" s="447"/>
      <c r="O20" s="504"/>
      <c r="P20" s="447"/>
      <c r="Q20" s="435">
        <v>0.70833333333333359</v>
      </c>
      <c r="R20" s="435">
        <v>0.45833333333333315</v>
      </c>
    </row>
    <row r="21" spans="1:18" ht="19.95" customHeight="1">
      <c r="A21" s="435">
        <v>0.72916666666666696</v>
      </c>
      <c r="B21" s="435">
        <v>0.47916666666666646</v>
      </c>
      <c r="C21" s="490"/>
      <c r="D21" s="447"/>
      <c r="E21" s="490"/>
      <c r="F21" s="447"/>
      <c r="G21" s="502" t="s">
        <v>1675</v>
      </c>
      <c r="H21" s="447"/>
      <c r="I21" s="486" t="s">
        <v>1675</v>
      </c>
      <c r="J21" s="447"/>
      <c r="K21" s="486" t="s">
        <v>1675</v>
      </c>
      <c r="L21" s="447"/>
      <c r="M21" s="486"/>
      <c r="N21" s="447"/>
      <c r="O21" s="504"/>
      <c r="P21" s="447"/>
      <c r="Q21" s="435">
        <v>0.72916666666666696</v>
      </c>
      <c r="R21" s="435">
        <v>0.47916666666666646</v>
      </c>
    </row>
    <row r="22" spans="1:18" ht="19.95" customHeight="1">
      <c r="A22" s="435">
        <v>0.75000000000000033</v>
      </c>
      <c r="B22" s="435">
        <v>0.49999999999999978</v>
      </c>
      <c r="C22" s="502" t="s">
        <v>1678</v>
      </c>
      <c r="D22" s="447"/>
      <c r="E22" s="502" t="s">
        <v>1678</v>
      </c>
      <c r="F22" s="447"/>
      <c r="G22" s="503"/>
      <c r="H22" s="447"/>
      <c r="I22" s="486"/>
      <c r="J22" s="447"/>
      <c r="K22" s="486"/>
      <c r="L22" s="447"/>
      <c r="M22" s="486"/>
      <c r="N22" s="447"/>
      <c r="O22" s="491" t="s">
        <v>1676</v>
      </c>
      <c r="P22" s="447"/>
      <c r="Q22" s="435">
        <v>0.75000000000000033</v>
      </c>
      <c r="R22" s="435">
        <v>0.49999999999999978</v>
      </c>
    </row>
    <row r="23" spans="1:18" ht="19.95" customHeight="1">
      <c r="A23" s="435">
        <v>0.7708333333333337</v>
      </c>
      <c r="B23" s="435">
        <v>0.52083333333333315</v>
      </c>
      <c r="C23" s="503"/>
      <c r="D23" s="447"/>
      <c r="E23" s="503"/>
      <c r="F23" s="447"/>
      <c r="G23" s="498" t="s">
        <v>1676</v>
      </c>
      <c r="H23" s="447"/>
      <c r="I23" s="501" t="s">
        <v>1676</v>
      </c>
      <c r="J23" s="447"/>
      <c r="K23" s="501" t="s">
        <v>1676</v>
      </c>
      <c r="L23" s="447"/>
      <c r="M23" s="501" t="s">
        <v>1676</v>
      </c>
      <c r="N23" s="447"/>
      <c r="O23" s="491"/>
      <c r="P23" s="447"/>
      <c r="Q23" s="435">
        <v>0.7708333333333337</v>
      </c>
      <c r="R23" s="435">
        <v>0.52083333333333315</v>
      </c>
    </row>
    <row r="24" spans="1:18" ht="19.95" customHeight="1">
      <c r="A24" s="438">
        <v>0.79166666666666707</v>
      </c>
      <c r="B24" s="438">
        <v>0.54166666666666652</v>
      </c>
      <c r="C24" s="491" t="s">
        <v>1676</v>
      </c>
      <c r="D24" s="447"/>
      <c r="E24" s="491" t="s">
        <v>1676</v>
      </c>
      <c r="F24" s="447"/>
      <c r="G24" s="499"/>
      <c r="H24" s="447"/>
      <c r="I24" s="501"/>
      <c r="J24" s="447"/>
      <c r="K24" s="501"/>
      <c r="L24" s="447"/>
      <c r="M24" s="501"/>
      <c r="N24" s="447"/>
      <c r="O24" s="491"/>
      <c r="P24" s="447"/>
      <c r="Q24" s="438">
        <v>0.79166666666666707</v>
      </c>
      <c r="R24" s="438">
        <v>0.54166666666666652</v>
      </c>
    </row>
    <row r="25" spans="1:18" ht="19.95" customHeight="1">
      <c r="A25" s="438">
        <v>0.81250000000000044</v>
      </c>
      <c r="B25" s="438">
        <v>0.56249999999999989</v>
      </c>
      <c r="C25" s="491"/>
      <c r="D25" s="448"/>
      <c r="E25" s="491"/>
      <c r="F25" s="448"/>
      <c r="G25" s="500"/>
      <c r="H25" s="448"/>
      <c r="I25" s="501"/>
      <c r="J25" s="448"/>
      <c r="K25" s="501"/>
      <c r="L25" s="448"/>
      <c r="M25" s="501"/>
      <c r="N25" s="448"/>
      <c r="O25" s="491"/>
      <c r="P25" s="448"/>
      <c r="Q25" s="438">
        <v>0.81250000000000044</v>
      </c>
      <c r="R25" s="438">
        <v>0.56249999999999989</v>
      </c>
    </row>
    <row r="33" spans="2:15" ht="16.05" customHeight="1">
      <c r="B33" s="439" t="s">
        <v>838</v>
      </c>
      <c r="C33" s="439" t="s">
        <v>839</v>
      </c>
      <c r="D33" s="492" t="s">
        <v>1664</v>
      </c>
      <c r="E33" s="493"/>
      <c r="F33" s="493"/>
      <c r="G33" s="494"/>
      <c r="H33" s="439" t="s">
        <v>1665</v>
      </c>
      <c r="L33" s="495" t="s">
        <v>1674</v>
      </c>
      <c r="M33" s="496"/>
      <c r="N33" s="496"/>
      <c r="O33" s="497"/>
    </row>
    <row r="34" spans="2:15" ht="16.05" customHeight="1">
      <c r="B34" s="440">
        <v>1</v>
      </c>
      <c r="C34" s="441">
        <f>Planning!B24</f>
        <v>44282</v>
      </c>
      <c r="D34" s="472" t="s">
        <v>1666</v>
      </c>
      <c r="E34" s="472"/>
      <c r="F34" s="472"/>
      <c r="G34" s="472"/>
      <c r="H34" s="442" t="s">
        <v>592</v>
      </c>
      <c r="L34" s="476" t="s">
        <v>1673</v>
      </c>
      <c r="M34" s="477"/>
      <c r="N34" s="477"/>
      <c r="O34" s="478"/>
    </row>
    <row r="35" spans="2:15" ht="16.05" customHeight="1">
      <c r="B35" s="440" t="s">
        <v>1667</v>
      </c>
      <c r="C35" s="441">
        <f>G5</f>
        <v>44298</v>
      </c>
      <c r="D35" s="472" t="s">
        <v>1668</v>
      </c>
      <c r="E35" s="472"/>
      <c r="F35" s="472"/>
      <c r="G35" s="472"/>
      <c r="H35" s="442" t="s">
        <v>617</v>
      </c>
      <c r="L35" s="479" t="s">
        <v>1669</v>
      </c>
      <c r="M35" s="480"/>
      <c r="N35" s="480"/>
      <c r="O35" s="481"/>
    </row>
    <row r="36" spans="2:15" ht="16.05" customHeight="1">
      <c r="B36" s="440"/>
      <c r="C36" s="441"/>
      <c r="D36" s="472"/>
      <c r="E36" s="472"/>
      <c r="F36" s="472"/>
      <c r="G36" s="472"/>
      <c r="H36" s="442"/>
      <c r="L36" s="482" t="s">
        <v>1670</v>
      </c>
      <c r="M36" s="483"/>
      <c r="N36" s="483"/>
      <c r="O36" s="484"/>
    </row>
    <row r="37" spans="2:15" ht="16.05" customHeight="1">
      <c r="B37" s="440"/>
      <c r="C37" s="441"/>
      <c r="D37" s="472"/>
      <c r="E37" s="472"/>
      <c r="F37" s="472"/>
      <c r="G37" s="472"/>
      <c r="H37" s="442"/>
      <c r="L37" s="473" t="s">
        <v>1671</v>
      </c>
      <c r="M37" s="474"/>
      <c r="N37" s="474"/>
      <c r="O37" s="475"/>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1" t="s">
        <v>1181</v>
      </c>
      <c r="B1" s="511"/>
      <c r="C1" s="511"/>
      <c r="D1" s="511"/>
      <c r="E1" s="511"/>
      <c r="F1" s="511"/>
      <c r="G1" s="511"/>
      <c r="H1" s="65"/>
      <c r="I1" s="139" t="s">
        <v>917</v>
      </c>
      <c r="J1" s="140" t="s">
        <v>918</v>
      </c>
      <c r="K1" s="134" t="s">
        <v>919</v>
      </c>
      <c r="L1" s="134" t="s">
        <v>920</v>
      </c>
      <c r="M1" s="135"/>
      <c r="N1" s="67"/>
      <c r="O1" s="67"/>
      <c r="P1" s="67"/>
    </row>
    <row r="2" spans="1:16" ht="14.7" customHeight="1">
      <c r="A2" s="512" t="str">
        <f>CONCATENATE(TEXT(Planning!B26,"[$-x-sysdate]dddd, mmmm dd, yyyy")," (Technology test)")</f>
        <v>Thursday, 08 April 2021 (Technology test)</v>
      </c>
      <c r="B2" s="512"/>
      <c r="C2" s="512"/>
      <c r="D2" s="512"/>
      <c r="E2" s="512"/>
      <c r="F2" s="512"/>
      <c r="G2" s="512"/>
      <c r="H2" s="65"/>
      <c r="I2" s="134"/>
      <c r="J2" s="134"/>
      <c r="K2" s="134"/>
      <c r="L2" s="135"/>
      <c r="M2" s="135"/>
      <c r="N2" s="67"/>
      <c r="O2" s="67"/>
      <c r="P2" s="67"/>
    </row>
    <row r="3" spans="1:16">
      <c r="A3" s="510" t="str">
        <f>J3</f>
        <v>Day 1-2</v>
      </c>
      <c r="B3" s="510"/>
      <c r="C3" s="513" t="str">
        <f>CONCATENATE(TEXT(I3,"[$-x-sysdate]dddd, mmmm dd, yyyy")," to ",TEXT(K3,"[$-x-sysdate]dddd, mmmm dd, yyyy"))</f>
        <v>Saturday, 10 April 2021 to Sunday, 11 April 2021</v>
      </c>
      <c r="D3" s="513"/>
      <c r="E3" s="513"/>
      <c r="F3" s="510" t="str">
        <f>A3</f>
        <v>Day 1-2</v>
      </c>
      <c r="G3" s="510"/>
      <c r="H3" s="65"/>
      <c r="I3" s="141">
        <f>Planning!B27</f>
        <v>44296</v>
      </c>
      <c r="J3" s="142" t="str">
        <f>_xlfn.CONCAT("Day 1-",L3)</f>
        <v>Day 1-2</v>
      </c>
      <c r="K3" s="143">
        <f>Planning!B27+Planning!B29-1</f>
        <v>44297</v>
      </c>
      <c r="L3" s="134">
        <f>K3-I3+1</f>
        <v>2</v>
      </c>
      <c r="M3" s="135"/>
      <c r="N3" s="67"/>
      <c r="O3" s="67"/>
      <c r="P3" s="67"/>
    </row>
    <row r="4" spans="1:16" ht="28.8">
      <c r="A4" s="510" t="s">
        <v>921</v>
      </c>
      <c r="B4" s="510"/>
      <c r="C4" s="68" t="str">
        <f>J11</f>
        <v>Mini team 1:ATM-5 / ATM-6 / ATM-7</v>
      </c>
      <c r="D4" s="68" t="str">
        <f>M11</f>
        <v>Full team: ATM-1 / ATM-2 / ATM-3 / ATM-4 /ATM-5 / ATM-6 / ATM-7 / ATM-8</v>
      </c>
      <c r="E4" s="68" t="str">
        <f>CONCATENATE("LA team: ",'Agreement 3'!B7," and ATMs if applicable")</f>
        <v>LA team: van Zyl, Pieter and ATMs if applicable</v>
      </c>
      <c r="F4" s="510" t="s">
        <v>922</v>
      </c>
      <c r="G4" s="51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5" t="s">
        <v>923</v>
      </c>
      <c r="D5" s="515" t="s">
        <v>923</v>
      </c>
      <c r="E5" s="515"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5"/>
      <c r="D6" s="515"/>
      <c r="E6" s="515"/>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5"/>
      <c r="D7" s="515"/>
      <c r="E7" s="515"/>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5"/>
      <c r="D8" s="515"/>
      <c r="E8" s="515"/>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5"/>
      <c r="D9" s="515"/>
      <c r="E9" s="515"/>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5"/>
      <c r="D10" s="515"/>
      <c r="E10" s="515"/>
      <c r="F10" s="70">
        <v>0.375</v>
      </c>
      <c r="G10" s="70">
        <v>0.41666666666666669</v>
      </c>
      <c r="H10" s="65"/>
      <c r="I10" s="143"/>
      <c r="J10" s="135"/>
      <c r="K10" s="135"/>
      <c r="L10" s="135"/>
      <c r="M10" s="135"/>
      <c r="N10" s="67"/>
      <c r="O10" s="67"/>
      <c r="P10" s="67"/>
    </row>
    <row r="11" spans="1:16" ht="18" customHeight="1">
      <c r="A11" s="70">
        <v>0.66666666666666696</v>
      </c>
      <c r="B11" s="70">
        <v>0.70833333333333337</v>
      </c>
      <c r="C11" s="515"/>
      <c r="D11" s="515"/>
      <c r="E11" s="515"/>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5"/>
      <c r="D13" s="515"/>
      <c r="E13" s="515"/>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6" t="str">
        <f>CONCATENATE("Schedule above includes ",Planning!B28," non-working day(s).")</f>
        <v>Schedule above includes 0 non-working day(s).</v>
      </c>
      <c r="B15" s="516"/>
      <c r="C15" s="516"/>
      <c r="D15" s="516"/>
      <c r="E15" s="516"/>
      <c r="F15" s="516"/>
      <c r="G15" s="516"/>
      <c r="H15" s="65"/>
      <c r="I15" s="134"/>
      <c r="K15" s="138"/>
      <c r="L15" s="134" t="str">
        <f>'P1PA-SS'!B96</f>
        <v>ATM-5</v>
      </c>
      <c r="M15" s="135"/>
      <c r="N15" s="67"/>
      <c r="O15" s="67"/>
      <c r="P15" s="67"/>
    </row>
    <row r="16" spans="1:16">
      <c r="A16" s="517" t="str">
        <f>J4</f>
        <v>Day 3</v>
      </c>
      <c r="B16" s="517"/>
      <c r="C16" s="518">
        <f>I4</f>
        <v>44298</v>
      </c>
      <c r="D16" s="518"/>
      <c r="E16" s="518"/>
      <c r="F16" s="517" t="str">
        <f>A16</f>
        <v>Day 3</v>
      </c>
      <c r="G16" s="517"/>
      <c r="H16" s="65"/>
      <c r="I16" s="134"/>
      <c r="K16" s="138"/>
      <c r="L16" s="134" t="str">
        <f>'P1PA-SS'!B97</f>
        <v>ATM-6</v>
      </c>
      <c r="M16" s="135"/>
      <c r="N16" s="67"/>
      <c r="O16" s="67"/>
      <c r="P16" s="67"/>
    </row>
    <row r="17" spans="1:18" ht="28.8">
      <c r="A17" s="517" t="s">
        <v>921</v>
      </c>
      <c r="B17" s="517"/>
      <c r="C17" s="71" t="str">
        <f>C4</f>
        <v>Mini team 1:ATM-5 / ATM-6 / ATM-7</v>
      </c>
      <c r="D17" s="71" t="str">
        <f>D4</f>
        <v>Full team: ATM-1 / ATM-2 / ATM-3 / ATM-4 /ATM-5 / ATM-6 / ATM-7 / ATM-8</v>
      </c>
      <c r="E17" s="71" t="str">
        <f>E4</f>
        <v>LA team: van Zyl, Pieter and ATMs if applicable</v>
      </c>
      <c r="F17" s="517" t="s">
        <v>922</v>
      </c>
      <c r="G17" s="517"/>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9" t="s">
        <v>976</v>
      </c>
      <c r="D19" s="520"/>
      <c r="E19" s="521"/>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2" t="s">
        <v>977</v>
      </c>
      <c r="D20" s="522"/>
      <c r="E20" s="522"/>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2"/>
      <c r="D21" s="522"/>
      <c r="E21" s="522"/>
      <c r="F21" s="70">
        <v>0.22916666666666666</v>
      </c>
      <c r="G21" s="70">
        <v>0.25</v>
      </c>
      <c r="H21" s="65"/>
      <c r="I21" s="135"/>
      <c r="J21" s="135"/>
      <c r="K21" s="135"/>
      <c r="L21" s="135"/>
      <c r="M21" s="135"/>
      <c r="N21" s="67"/>
      <c r="O21" s="67"/>
      <c r="P21" s="67"/>
    </row>
    <row r="22" spans="1:18" ht="18.600000000000001" customHeight="1">
      <c r="A22" s="70">
        <v>0.5</v>
      </c>
      <c r="B22" s="70">
        <v>0.52083333333333337</v>
      </c>
      <c r="C22" s="515" t="s">
        <v>928</v>
      </c>
      <c r="D22" s="515"/>
      <c r="E22" s="515"/>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4" t="s">
        <v>978</v>
      </c>
      <c r="D24" s="514"/>
      <c r="E24" s="514"/>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4"/>
      <c r="D25" s="514"/>
      <c r="E25" s="514"/>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4"/>
      <c r="D26" s="514"/>
      <c r="E26" s="514"/>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4"/>
      <c r="D27" s="514"/>
      <c r="E27" s="514"/>
      <c r="F27" s="70">
        <v>0.35416666666666669</v>
      </c>
      <c r="G27" s="70">
        <v>0.375</v>
      </c>
      <c r="H27" s="65"/>
      <c r="I27" s="135"/>
      <c r="J27" s="135"/>
      <c r="K27" s="135"/>
      <c r="L27" s="135"/>
      <c r="M27" s="135"/>
      <c r="N27" s="67"/>
      <c r="O27" s="67"/>
      <c r="P27" s="67"/>
    </row>
    <row r="28" spans="1:18" ht="18.600000000000001" customHeight="1">
      <c r="A28" s="70">
        <v>0.625</v>
      </c>
      <c r="B28" s="70">
        <v>0.64583333333333337</v>
      </c>
      <c r="C28" s="515" t="s">
        <v>929</v>
      </c>
      <c r="D28" s="515"/>
      <c r="E28" s="515"/>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4" t="s">
        <v>1634</v>
      </c>
      <c r="D29" s="514"/>
      <c r="E29" s="514"/>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4"/>
      <c r="D30" s="514"/>
      <c r="E30" s="514"/>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4"/>
      <c r="D31" s="514"/>
      <c r="E31" s="514"/>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4"/>
      <c r="D32" s="514"/>
      <c r="E32" s="514"/>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5" t="s">
        <v>929</v>
      </c>
      <c r="D33" s="515"/>
      <c r="E33" s="515"/>
      <c r="F33" s="70">
        <v>0.47916666666666669</v>
      </c>
      <c r="G33" s="70">
        <v>0.5</v>
      </c>
      <c r="H33" s="65"/>
      <c r="I33" s="135"/>
      <c r="J33" s="135"/>
      <c r="K33" s="135"/>
      <c r="L33" s="135"/>
      <c r="M33" s="135"/>
      <c r="N33" s="67"/>
      <c r="O33" s="67"/>
      <c r="P33" s="67"/>
    </row>
    <row r="34" spans="1:16" ht="18.600000000000001" customHeight="1">
      <c r="A34" s="70">
        <v>0.75</v>
      </c>
      <c r="B34" s="70">
        <v>0.83333333333333337</v>
      </c>
      <c r="C34" s="515" t="s">
        <v>930</v>
      </c>
      <c r="D34" s="515"/>
      <c r="E34" s="515"/>
      <c r="F34" s="70">
        <v>0.5</v>
      </c>
      <c r="G34" s="70">
        <v>0.58333333333333337</v>
      </c>
      <c r="H34" s="65"/>
      <c r="I34" s="135"/>
      <c r="J34" s="135"/>
      <c r="K34" s="135"/>
      <c r="L34" s="135"/>
      <c r="M34" s="135"/>
      <c r="N34" s="67"/>
      <c r="O34" s="67"/>
      <c r="P34" s="67"/>
    </row>
    <row r="35" spans="1:16">
      <c r="A35" s="517" t="str">
        <f>J5</f>
        <v>Day 4</v>
      </c>
      <c r="B35" s="517"/>
      <c r="C35" s="518">
        <f>I5</f>
        <v>44299</v>
      </c>
      <c r="D35" s="518"/>
      <c r="E35" s="518"/>
      <c r="F35" s="517" t="str">
        <f>A35</f>
        <v>Day 4</v>
      </c>
      <c r="G35" s="517"/>
      <c r="H35" s="74"/>
    </row>
    <row r="36" spans="1:16" ht="28.8">
      <c r="A36" s="517" t="s">
        <v>921</v>
      </c>
      <c r="B36" s="517"/>
      <c r="C36" s="71" t="str">
        <f>C17</f>
        <v>Mini team 1:ATM-5 / ATM-6 / ATM-7</v>
      </c>
      <c r="D36" s="71" t="str">
        <f>D17</f>
        <v>Full team: ATM-1 / ATM-2 / ATM-3 / ATM-4 /ATM-5 / ATM-6 / ATM-7 / ATM-8</v>
      </c>
      <c r="E36" s="71" t="str">
        <f>E17</f>
        <v>LA team: van Zyl, Pieter and ATMs if applicable</v>
      </c>
      <c r="F36" s="517" t="s">
        <v>922</v>
      </c>
      <c r="G36" s="517"/>
      <c r="H36" s="74"/>
    </row>
    <row r="37" spans="1:16" ht="18" customHeight="1">
      <c r="A37" s="70">
        <v>0.41666666666666669</v>
      </c>
      <c r="B37" s="70">
        <v>0.4375</v>
      </c>
      <c r="C37" s="515" t="s">
        <v>929</v>
      </c>
      <c r="D37" s="515"/>
      <c r="E37" s="72" t="s">
        <v>927</v>
      </c>
      <c r="F37" s="70">
        <v>0.16666666666666666</v>
      </c>
      <c r="G37" s="70">
        <v>0.1875</v>
      </c>
      <c r="H37" s="74"/>
    </row>
    <row r="38" spans="1:16" ht="18" customHeight="1">
      <c r="A38" s="70">
        <v>0.4375</v>
      </c>
      <c r="B38" s="70">
        <v>0.45833333333333331</v>
      </c>
      <c r="C38" s="514" t="s">
        <v>979</v>
      </c>
      <c r="D38" s="514"/>
      <c r="E38" s="514"/>
      <c r="F38" s="70">
        <v>0.1875</v>
      </c>
      <c r="G38" s="70">
        <v>0.20833333333333334</v>
      </c>
      <c r="H38" s="74"/>
    </row>
    <row r="39" spans="1:16" ht="18" customHeight="1">
      <c r="A39" s="70">
        <v>0.45833333333333331</v>
      </c>
      <c r="B39" s="70">
        <v>0.47916666666666669</v>
      </c>
      <c r="C39" s="514"/>
      <c r="D39" s="514"/>
      <c r="E39" s="514"/>
      <c r="F39" s="70">
        <v>0.20833333333333334</v>
      </c>
      <c r="G39" s="70">
        <v>0.22916666666666666</v>
      </c>
      <c r="H39" s="74"/>
    </row>
    <row r="40" spans="1:16" ht="18" customHeight="1">
      <c r="A40" s="70">
        <v>0.47916666666666669</v>
      </c>
      <c r="B40" s="70">
        <v>0.5</v>
      </c>
      <c r="C40" s="514"/>
      <c r="D40" s="514"/>
      <c r="E40" s="514"/>
      <c r="F40" s="70">
        <v>0.22916666666666666</v>
      </c>
      <c r="G40" s="70">
        <v>0.25</v>
      </c>
      <c r="H40" s="74"/>
    </row>
    <row r="41" spans="1:16" ht="18" customHeight="1">
      <c r="A41" s="70">
        <v>0.5</v>
      </c>
      <c r="B41" s="70">
        <v>0.52083333333333337</v>
      </c>
      <c r="C41" s="515" t="s">
        <v>928</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14" t="s">
        <v>1635</v>
      </c>
      <c r="D43" s="514"/>
      <c r="E43" s="514"/>
      <c r="F43" s="70">
        <v>0.29166666666666669</v>
      </c>
      <c r="G43" s="70">
        <v>0.3125</v>
      </c>
      <c r="H43" s="74"/>
    </row>
    <row r="44" spans="1:16" ht="18" customHeight="1">
      <c r="A44" s="70">
        <v>0.5625</v>
      </c>
      <c r="B44" s="70">
        <v>0.58333333333333337</v>
      </c>
      <c r="C44" s="514"/>
      <c r="D44" s="514"/>
      <c r="E44" s="514"/>
      <c r="F44" s="70">
        <v>0.3125</v>
      </c>
      <c r="G44" s="70">
        <v>0.33333333333333331</v>
      </c>
      <c r="H44" s="74"/>
    </row>
    <row r="45" spans="1:16" ht="18" customHeight="1">
      <c r="A45" s="70">
        <v>0.58333333333333337</v>
      </c>
      <c r="B45" s="70">
        <v>0.60416666666666663</v>
      </c>
      <c r="C45" s="514"/>
      <c r="D45" s="514"/>
      <c r="E45" s="514"/>
      <c r="F45" s="70">
        <v>0.33333333333333331</v>
      </c>
      <c r="G45" s="70">
        <v>0.35416666666666669</v>
      </c>
      <c r="H45" s="74"/>
    </row>
    <row r="46" spans="1:16" ht="18" customHeight="1">
      <c r="A46" s="70">
        <v>0.60416666666666663</v>
      </c>
      <c r="B46" s="70">
        <v>0.625</v>
      </c>
      <c r="C46" s="514"/>
      <c r="D46" s="514"/>
      <c r="E46" s="514"/>
      <c r="F46" s="70">
        <v>0.35416666666666669</v>
      </c>
      <c r="G46" s="70">
        <v>0.375</v>
      </c>
      <c r="H46" s="74"/>
    </row>
    <row r="47" spans="1:16" ht="18" customHeight="1">
      <c r="A47" s="70">
        <v>0.625</v>
      </c>
      <c r="B47" s="70">
        <v>0.64583333333333337</v>
      </c>
      <c r="C47" s="514"/>
      <c r="D47" s="514"/>
      <c r="E47" s="514"/>
      <c r="F47" s="70">
        <v>0.375</v>
      </c>
      <c r="G47" s="70">
        <v>0.39583333333333331</v>
      </c>
      <c r="H47" s="74"/>
    </row>
    <row r="48" spans="1:16" ht="18" customHeight="1">
      <c r="A48" s="70">
        <v>0.64583333333333337</v>
      </c>
      <c r="B48" s="70">
        <v>0.66666666666666663</v>
      </c>
      <c r="C48" s="515" t="s">
        <v>929</v>
      </c>
      <c r="D48" s="515"/>
      <c r="E48" s="515" t="s">
        <v>927</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14" t="s">
        <v>980</v>
      </c>
      <c r="D50" s="514"/>
      <c r="E50" s="514"/>
      <c r="F50" s="70">
        <v>0.4375</v>
      </c>
      <c r="G50" s="70">
        <v>0.45833333333333331</v>
      </c>
      <c r="H50" s="74"/>
    </row>
    <row r="51" spans="1:8" ht="18" customHeight="1">
      <c r="A51" s="70">
        <v>0.70833333333333337</v>
      </c>
      <c r="B51" s="70">
        <v>0.72916666666666663</v>
      </c>
      <c r="C51" s="514"/>
      <c r="D51" s="514"/>
      <c r="E51" s="514"/>
      <c r="F51" s="70">
        <v>0.45833333333333331</v>
      </c>
      <c r="G51" s="70">
        <v>0.47916666666666669</v>
      </c>
      <c r="H51" s="74"/>
    </row>
    <row r="52" spans="1:8" ht="18" customHeight="1">
      <c r="A52" s="70">
        <v>0.72916666666666663</v>
      </c>
      <c r="B52" s="70">
        <v>0.75</v>
      </c>
      <c r="C52" s="515" t="s">
        <v>929</v>
      </c>
      <c r="D52" s="515"/>
      <c r="E52" s="515"/>
      <c r="F52" s="70">
        <v>0.47916666666666669</v>
      </c>
      <c r="G52" s="70">
        <v>0.5</v>
      </c>
      <c r="H52" s="74"/>
    </row>
    <row r="53" spans="1:8" ht="18" customHeight="1">
      <c r="A53" s="70">
        <v>0.75</v>
      </c>
      <c r="B53" s="70">
        <v>0.83333333333333337</v>
      </c>
      <c r="C53" s="515" t="s">
        <v>930</v>
      </c>
      <c r="D53" s="515"/>
      <c r="E53" s="515"/>
      <c r="F53" s="70">
        <v>0.5</v>
      </c>
      <c r="G53" s="70">
        <v>0.58333333333333337</v>
      </c>
      <c r="H53" s="74"/>
    </row>
    <row r="54" spans="1:8">
      <c r="A54" s="510" t="str">
        <f>J6</f>
        <v>Day 5</v>
      </c>
      <c r="B54" s="510"/>
      <c r="C54" s="513">
        <f>I6</f>
        <v>44300</v>
      </c>
      <c r="D54" s="513"/>
      <c r="E54" s="513"/>
      <c r="F54" s="510" t="str">
        <f>A54</f>
        <v>Day 5</v>
      </c>
      <c r="G54" s="510"/>
      <c r="H54" s="74"/>
    </row>
    <row r="55" spans="1:8" ht="28.8">
      <c r="A55" s="510" t="s">
        <v>921</v>
      </c>
      <c r="B55" s="510"/>
      <c r="C55" s="68" t="str">
        <f>C36</f>
        <v>Mini team 1:ATM-5 / ATM-6 / ATM-7</v>
      </c>
      <c r="D55" s="68" t="str">
        <f>D36</f>
        <v>Full team: ATM-1 / ATM-2 / ATM-3 / ATM-4 /ATM-5 / ATM-6 / ATM-7 / ATM-8</v>
      </c>
      <c r="E55" s="68" t="str">
        <f>E36</f>
        <v>LA team: van Zyl, Pieter and ATMs if applicable</v>
      </c>
      <c r="F55" s="510" t="s">
        <v>922</v>
      </c>
      <c r="G55" s="510"/>
      <c r="H55" s="74"/>
    </row>
    <row r="56" spans="1:8" ht="18" customHeight="1">
      <c r="A56" s="70">
        <v>0.41666666666666669</v>
      </c>
      <c r="B56" s="70">
        <v>0.4375</v>
      </c>
      <c r="C56" s="515" t="s">
        <v>931</v>
      </c>
      <c r="D56" s="515"/>
      <c r="E56" s="72" t="s">
        <v>927</v>
      </c>
      <c r="F56" s="70">
        <v>0.16666666666666666</v>
      </c>
      <c r="G56" s="70">
        <v>0.1875</v>
      </c>
      <c r="H56" s="74"/>
    </row>
    <row r="57" spans="1:8" ht="18" customHeight="1">
      <c r="A57" s="70">
        <v>0.4375</v>
      </c>
      <c r="B57" s="70">
        <v>0.45833333333333331</v>
      </c>
      <c r="C57" s="514" t="s">
        <v>981</v>
      </c>
      <c r="D57" s="514"/>
      <c r="E57" s="514"/>
      <c r="F57" s="70">
        <v>0.1875</v>
      </c>
      <c r="G57" s="70">
        <v>0.20833333333333334</v>
      </c>
      <c r="H57" s="74"/>
    </row>
    <row r="58" spans="1:8" ht="18" customHeight="1">
      <c r="A58" s="70">
        <v>0.45833333333333331</v>
      </c>
      <c r="B58" s="70">
        <v>0.47916666666666669</v>
      </c>
      <c r="C58" s="514"/>
      <c r="D58" s="514"/>
      <c r="E58" s="514"/>
      <c r="F58" s="70">
        <v>0.20833333333333334</v>
      </c>
      <c r="G58" s="70">
        <v>0.22916666666666666</v>
      </c>
      <c r="H58" s="74"/>
    </row>
    <row r="59" spans="1:8" ht="18" customHeight="1">
      <c r="A59" s="70">
        <v>0.47916666666666669</v>
      </c>
      <c r="B59" s="70">
        <v>0.5</v>
      </c>
      <c r="C59" s="514"/>
      <c r="D59" s="514"/>
      <c r="E59" s="514"/>
      <c r="F59" s="70">
        <v>0.22916666666666666</v>
      </c>
      <c r="G59" s="70">
        <v>0.25</v>
      </c>
      <c r="H59" s="74"/>
    </row>
    <row r="60" spans="1:8" ht="18" customHeight="1">
      <c r="A60" s="70">
        <v>0.5</v>
      </c>
      <c r="B60" s="70">
        <v>0.52083333333333337</v>
      </c>
      <c r="C60" s="515" t="s">
        <v>928</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14" t="s">
        <v>1636</v>
      </c>
      <c r="D62" s="514"/>
      <c r="E62" s="514"/>
      <c r="F62" s="70">
        <v>0.29166666666666669</v>
      </c>
      <c r="G62" s="70">
        <v>0.3125</v>
      </c>
      <c r="H62" s="74"/>
    </row>
    <row r="63" spans="1:8" ht="18" customHeight="1">
      <c r="A63" s="70">
        <v>0.5625</v>
      </c>
      <c r="B63" s="70">
        <v>0.58333333333333337</v>
      </c>
      <c r="C63" s="514"/>
      <c r="D63" s="514"/>
      <c r="E63" s="514"/>
      <c r="F63" s="70">
        <v>0.3125</v>
      </c>
      <c r="G63" s="70">
        <v>0.33333333333333331</v>
      </c>
      <c r="H63" s="74"/>
    </row>
    <row r="64" spans="1:8" ht="18" customHeight="1">
      <c r="A64" s="70">
        <v>0.58333333333333337</v>
      </c>
      <c r="B64" s="70">
        <v>0.60416666666666663</v>
      </c>
      <c r="C64" s="514"/>
      <c r="D64" s="514"/>
      <c r="E64" s="514"/>
      <c r="F64" s="70">
        <v>0.33333333333333331</v>
      </c>
      <c r="G64" s="70">
        <v>0.35416666666666669</v>
      </c>
      <c r="H64" s="74"/>
    </row>
    <row r="65" spans="1:8" ht="18" customHeight="1">
      <c r="A65" s="70">
        <v>0.60416666666666663</v>
      </c>
      <c r="B65" s="70">
        <v>0.625</v>
      </c>
      <c r="C65" s="514"/>
      <c r="D65" s="514"/>
      <c r="E65" s="514"/>
      <c r="F65" s="70">
        <v>0.35416666666666669</v>
      </c>
      <c r="G65" s="70">
        <v>0.375</v>
      </c>
      <c r="H65" s="74"/>
    </row>
    <row r="66" spans="1:8" ht="18" customHeight="1">
      <c r="A66" s="70">
        <v>0.625</v>
      </c>
      <c r="B66" s="70">
        <v>0.64583333333333337</v>
      </c>
      <c r="C66" s="514"/>
      <c r="D66" s="514"/>
      <c r="E66" s="514"/>
      <c r="F66" s="70">
        <v>0.375</v>
      </c>
      <c r="G66" s="70">
        <v>0.39583333333333331</v>
      </c>
      <c r="H66" s="74"/>
    </row>
    <row r="67" spans="1:8" ht="18" customHeight="1">
      <c r="A67" s="70">
        <v>0.64583333333333337</v>
      </c>
      <c r="B67" s="70">
        <v>0.66666666666666663</v>
      </c>
      <c r="C67" s="514"/>
      <c r="D67" s="514"/>
      <c r="E67" s="514"/>
      <c r="F67" s="70">
        <v>0.39583333333333331</v>
      </c>
      <c r="G67" s="70">
        <v>0.41666666666666669</v>
      </c>
      <c r="H67" s="74"/>
    </row>
    <row r="68" spans="1:8" ht="18" customHeight="1">
      <c r="A68" s="70">
        <v>0.66666666666666663</v>
      </c>
      <c r="B68" s="70">
        <v>0.6875</v>
      </c>
      <c r="C68" s="515" t="s">
        <v>929</v>
      </c>
      <c r="D68" s="515"/>
      <c r="E68" s="515"/>
      <c r="F68" s="70">
        <v>0.41666666666666669</v>
      </c>
      <c r="G68" s="70">
        <v>0.4375</v>
      </c>
      <c r="H68" s="74"/>
    </row>
    <row r="69" spans="1:8" ht="18" customHeight="1">
      <c r="A69" s="70">
        <v>0.6875</v>
      </c>
      <c r="B69" s="70">
        <v>0.70833333333333337</v>
      </c>
      <c r="C69" s="514" t="s">
        <v>982</v>
      </c>
      <c r="D69" s="514"/>
      <c r="E69" s="514"/>
      <c r="F69" s="70">
        <v>0.4375</v>
      </c>
      <c r="G69" s="70">
        <v>0.45833333333333331</v>
      </c>
      <c r="H69" s="74"/>
    </row>
    <row r="70" spans="1:8" ht="18" customHeight="1">
      <c r="A70" s="70">
        <v>0.70833333333333337</v>
      </c>
      <c r="B70" s="70">
        <v>0.72916666666666663</v>
      </c>
      <c r="C70" s="514"/>
      <c r="D70" s="514"/>
      <c r="E70" s="514"/>
      <c r="F70" s="70">
        <v>0.45833333333333331</v>
      </c>
      <c r="G70" s="70">
        <v>0.47916666666666669</v>
      </c>
      <c r="H70" s="74"/>
    </row>
    <row r="71" spans="1:8" ht="18" customHeight="1">
      <c r="A71" s="70">
        <v>0.72916666666666663</v>
      </c>
      <c r="B71" s="70">
        <v>0.75</v>
      </c>
      <c r="C71" s="515" t="s">
        <v>929</v>
      </c>
      <c r="D71" s="515"/>
      <c r="E71" s="515"/>
      <c r="F71" s="70">
        <v>0.47916666666666669</v>
      </c>
      <c r="G71" s="70">
        <v>0.5</v>
      </c>
      <c r="H71" s="74"/>
    </row>
    <row r="72" spans="1:8" ht="18" customHeight="1">
      <c r="A72" s="70">
        <v>0.75</v>
      </c>
      <c r="B72" s="70">
        <v>0.83333333333333337</v>
      </c>
      <c r="C72" s="515" t="s">
        <v>930</v>
      </c>
      <c r="D72" s="515"/>
      <c r="E72" s="515"/>
      <c r="F72" s="70">
        <v>0.5</v>
      </c>
      <c r="G72" s="70">
        <v>0.58333333333333337</v>
      </c>
      <c r="H72" s="74"/>
    </row>
    <row r="73" spans="1:8">
      <c r="A73" s="510" t="str">
        <f>J7</f>
        <v>Day 6</v>
      </c>
      <c r="B73" s="510"/>
      <c r="C73" s="513">
        <f>I7</f>
        <v>44301</v>
      </c>
      <c r="D73" s="513"/>
      <c r="E73" s="513"/>
      <c r="F73" s="510" t="str">
        <f>A73</f>
        <v>Day 6</v>
      </c>
      <c r="G73" s="510"/>
      <c r="H73" s="74"/>
    </row>
    <row r="74" spans="1:8" ht="28.8">
      <c r="A74" s="510" t="s">
        <v>921</v>
      </c>
      <c r="B74" s="510"/>
      <c r="C74" s="68" t="str">
        <f>C55</f>
        <v>Mini team 1:ATM-5 / ATM-6 / ATM-7</v>
      </c>
      <c r="D74" s="68" t="str">
        <f>D55</f>
        <v>Full team: ATM-1 / ATM-2 / ATM-3 / ATM-4 /ATM-5 / ATM-6 / ATM-7 / ATM-8</v>
      </c>
      <c r="E74" s="68" t="str">
        <f>E55</f>
        <v>LA team: van Zyl, Pieter and ATMs if applicable</v>
      </c>
      <c r="F74" s="510" t="s">
        <v>922</v>
      </c>
      <c r="G74" s="510"/>
      <c r="H74" s="74"/>
    </row>
    <row r="75" spans="1:8" ht="18" customHeight="1">
      <c r="A75" s="70">
        <v>0.41666666666666669</v>
      </c>
      <c r="B75" s="70">
        <v>0.4375</v>
      </c>
      <c r="C75" s="515" t="s">
        <v>929</v>
      </c>
      <c r="D75" s="515"/>
      <c r="E75" s="515"/>
      <c r="F75" s="70">
        <v>0.16666666666666666</v>
      </c>
      <c r="G75" s="70">
        <v>0.1875</v>
      </c>
      <c r="H75" s="74"/>
    </row>
    <row r="76" spans="1:8" ht="18" customHeight="1">
      <c r="A76" s="70">
        <v>0.4375</v>
      </c>
      <c r="B76" s="70">
        <v>0.45833333333333331</v>
      </c>
      <c r="C76" s="514" t="s">
        <v>983</v>
      </c>
      <c r="D76" s="514"/>
      <c r="E76" s="514"/>
      <c r="F76" s="70">
        <v>0.1875</v>
      </c>
      <c r="G76" s="70">
        <v>0.20833333333333334</v>
      </c>
      <c r="H76" s="74"/>
    </row>
    <row r="77" spans="1:8" ht="18" customHeight="1">
      <c r="A77" s="70">
        <v>0.45833333333333331</v>
      </c>
      <c r="B77" s="70">
        <v>0.47916666666666669</v>
      </c>
      <c r="C77" s="514"/>
      <c r="D77" s="514"/>
      <c r="E77" s="514"/>
      <c r="F77" s="70">
        <v>0.20833333333333334</v>
      </c>
      <c r="G77" s="70">
        <v>0.22916666666666666</v>
      </c>
      <c r="H77" s="74"/>
    </row>
    <row r="78" spans="1:8" ht="18" customHeight="1">
      <c r="A78" s="70">
        <v>0.47916666666666669</v>
      </c>
      <c r="B78" s="70">
        <v>0.5</v>
      </c>
      <c r="C78" s="515" t="s">
        <v>929</v>
      </c>
      <c r="D78" s="515"/>
      <c r="E78" s="515"/>
      <c r="F78" s="70">
        <v>0.22916666666666666</v>
      </c>
      <c r="G78" s="70">
        <v>0.25</v>
      </c>
      <c r="H78" s="74"/>
    </row>
    <row r="79" spans="1:8" ht="18" customHeight="1">
      <c r="A79" s="70">
        <v>0.5</v>
      </c>
      <c r="B79" s="70">
        <v>0.52083333333333337</v>
      </c>
      <c r="C79" s="515" t="s">
        <v>928</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23" t="s">
        <v>932</v>
      </c>
      <c r="D81" s="523"/>
      <c r="E81" s="523"/>
      <c r="F81" s="70">
        <v>0.29166666666666669</v>
      </c>
      <c r="G81" s="70">
        <v>0.3125</v>
      </c>
      <c r="H81" s="74"/>
    </row>
    <row r="82" spans="1:8" ht="18" customHeight="1">
      <c r="A82" s="70">
        <v>0.5625</v>
      </c>
      <c r="B82" s="70">
        <v>0.58333333333333337</v>
      </c>
      <c r="C82" s="523"/>
      <c r="D82" s="523"/>
      <c r="E82" s="523"/>
      <c r="F82" s="70">
        <v>0.3125</v>
      </c>
      <c r="G82" s="70">
        <v>0.33333333333333331</v>
      </c>
      <c r="H82" s="74"/>
    </row>
    <row r="83" spans="1:8" ht="18" customHeight="1">
      <c r="A83" s="70">
        <v>0.58333333333333337</v>
      </c>
      <c r="B83" s="70">
        <v>0.60416666666666663</v>
      </c>
      <c r="C83" s="523"/>
      <c r="D83" s="523"/>
      <c r="E83" s="523"/>
      <c r="F83" s="70">
        <v>0.33333333333333331</v>
      </c>
      <c r="G83" s="70">
        <v>0.35416666666666669</v>
      </c>
      <c r="H83" s="74"/>
    </row>
    <row r="84" spans="1:8" ht="18" customHeight="1">
      <c r="A84" s="70">
        <v>0.60416666666666663</v>
      </c>
      <c r="B84" s="70">
        <v>0.625</v>
      </c>
      <c r="C84" s="523"/>
      <c r="D84" s="523"/>
      <c r="E84" s="523"/>
      <c r="F84" s="70">
        <v>0.35416666666666669</v>
      </c>
      <c r="G84" s="70">
        <v>0.375</v>
      </c>
      <c r="H84" s="74"/>
    </row>
    <row r="85" spans="1:8" ht="18" customHeight="1">
      <c r="A85" s="70">
        <v>0.625</v>
      </c>
      <c r="B85" s="70">
        <v>0.64583333333333337</v>
      </c>
      <c r="C85" s="514" t="s">
        <v>984</v>
      </c>
      <c r="D85" s="514"/>
      <c r="E85" s="514"/>
      <c r="F85" s="70">
        <v>0.375</v>
      </c>
      <c r="G85" s="70">
        <v>0.39583333333333331</v>
      </c>
      <c r="H85" s="74"/>
    </row>
    <row r="86" spans="1:8" ht="18" customHeight="1">
      <c r="A86" s="70">
        <v>0.64583333333333337</v>
      </c>
      <c r="B86" s="70">
        <v>0.66666666666666663</v>
      </c>
      <c r="C86" s="514"/>
      <c r="D86" s="514"/>
      <c r="E86" s="514"/>
      <c r="F86" s="70">
        <v>0.39583333333333331</v>
      </c>
      <c r="G86" s="70">
        <v>0.41666666666666669</v>
      </c>
      <c r="H86" s="74"/>
    </row>
    <row r="87" spans="1:8" ht="18" customHeight="1">
      <c r="A87" s="70">
        <v>0.66666666666666663</v>
      </c>
      <c r="B87" s="70">
        <v>0.6875</v>
      </c>
      <c r="C87" s="515" t="s">
        <v>929</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930</v>
      </c>
      <c r="D91" s="515"/>
      <c r="E91" s="515"/>
      <c r="F91" s="70">
        <v>0.5</v>
      </c>
      <c r="G91" s="70">
        <v>0.58333333333333337</v>
      </c>
      <c r="H91" s="74"/>
    </row>
    <row r="92" spans="1:8">
      <c r="A92" s="510" t="str">
        <f>J8</f>
        <v>Day 7</v>
      </c>
      <c r="B92" s="510"/>
      <c r="C92" s="513">
        <f>I8</f>
        <v>44302</v>
      </c>
      <c r="D92" s="513"/>
      <c r="E92" s="513"/>
      <c r="F92" s="510" t="str">
        <f>A92</f>
        <v>Day 7</v>
      </c>
      <c r="G92" s="510"/>
      <c r="H92" s="74"/>
    </row>
    <row r="93" spans="1:8" ht="28.8">
      <c r="A93" s="510" t="s">
        <v>921</v>
      </c>
      <c r="B93" s="510"/>
      <c r="C93" s="68" t="str">
        <f>C74</f>
        <v>Mini team 1:ATM-5 / ATM-6 / ATM-7</v>
      </c>
      <c r="D93" s="68" t="str">
        <f>D74</f>
        <v>Full team: ATM-1 / ATM-2 / ATM-3 / ATM-4 /ATM-5 / ATM-6 / ATM-7 / ATM-8</v>
      </c>
      <c r="E93" s="68" t="str">
        <f>E74</f>
        <v>LA team: van Zyl, Pieter and ATMs if applicable</v>
      </c>
      <c r="F93" s="510" t="s">
        <v>922</v>
      </c>
      <c r="G93" s="510"/>
      <c r="H93" s="74"/>
    </row>
    <row r="94" spans="1:8" ht="18" customHeight="1">
      <c r="A94" s="70">
        <v>0.41666666666666669</v>
      </c>
      <c r="B94" s="70">
        <v>0.4375</v>
      </c>
      <c r="C94" s="515" t="s">
        <v>929</v>
      </c>
      <c r="D94" s="515"/>
      <c r="E94" s="515"/>
      <c r="F94" s="70">
        <v>0.16666666666666666</v>
      </c>
      <c r="G94" s="70">
        <v>0.1875</v>
      </c>
      <c r="H94" s="74"/>
    </row>
    <row r="95" spans="1:8" ht="18" customHeight="1">
      <c r="A95" s="70">
        <v>0.4375</v>
      </c>
      <c r="B95" s="70">
        <v>0.45833333333333331</v>
      </c>
      <c r="C95" s="524" t="s">
        <v>985</v>
      </c>
      <c r="D95" s="525"/>
      <c r="E95" s="526"/>
      <c r="F95" s="70">
        <v>0.1875</v>
      </c>
      <c r="G95" s="70">
        <v>0.20833333333333334</v>
      </c>
      <c r="H95" s="74"/>
    </row>
    <row r="96" spans="1:8" ht="18" customHeight="1">
      <c r="A96" s="70">
        <v>0.45833333333333331</v>
      </c>
      <c r="B96" s="70">
        <v>0.47916666666666669</v>
      </c>
      <c r="C96" s="527"/>
      <c r="D96" s="528"/>
      <c r="E96" s="529"/>
      <c r="F96" s="70">
        <v>0.20833333333333334</v>
      </c>
      <c r="G96" s="70">
        <v>0.22916666666666666</v>
      </c>
      <c r="H96" s="74"/>
    </row>
    <row r="97" spans="1:8" ht="18" customHeight="1">
      <c r="A97" s="70">
        <v>0.47916666666666669</v>
      </c>
      <c r="B97" s="70">
        <v>0.5</v>
      </c>
      <c r="C97" s="524" t="s">
        <v>986</v>
      </c>
      <c r="D97" s="525"/>
      <c r="E97" s="526"/>
      <c r="F97" s="70">
        <v>0.22916666666666666</v>
      </c>
      <c r="G97" s="70">
        <v>0.25</v>
      </c>
      <c r="H97" s="74"/>
    </row>
    <row r="98" spans="1:8" ht="18" customHeight="1">
      <c r="A98" s="70">
        <v>0.5</v>
      </c>
      <c r="B98" s="70">
        <v>0.52083333333333337</v>
      </c>
      <c r="C98" s="527"/>
      <c r="D98" s="528"/>
      <c r="E98" s="529"/>
      <c r="F98" s="70">
        <v>0.25</v>
      </c>
      <c r="G98" s="70">
        <v>0.27083333333333331</v>
      </c>
      <c r="H98" s="74"/>
    </row>
    <row r="99" spans="1:8" ht="18" customHeight="1">
      <c r="A99" s="70">
        <v>0.52083333333333337</v>
      </c>
      <c r="B99" s="70">
        <v>0.54166666666666663</v>
      </c>
      <c r="C99" s="530" t="s">
        <v>928</v>
      </c>
      <c r="D99" s="531"/>
      <c r="E99" s="532"/>
      <c r="F99" s="70">
        <v>0.27083333333333331</v>
      </c>
      <c r="G99" s="70">
        <v>0.29166666666666669</v>
      </c>
      <c r="H99" s="74"/>
    </row>
    <row r="100" spans="1:8" ht="18" customHeight="1">
      <c r="A100" s="70">
        <v>0.54166666666666663</v>
      </c>
      <c r="B100" s="70">
        <v>0.5625</v>
      </c>
      <c r="C100" s="536"/>
      <c r="D100" s="537"/>
      <c r="E100" s="538"/>
      <c r="F100" s="70">
        <v>0.29166666666666669</v>
      </c>
      <c r="G100" s="70">
        <v>0.3125</v>
      </c>
      <c r="H100" s="74"/>
    </row>
    <row r="101" spans="1:8" ht="18" customHeight="1">
      <c r="A101" s="70">
        <v>0.5625</v>
      </c>
      <c r="B101" s="70">
        <v>0.58333333333333337</v>
      </c>
      <c r="C101" s="530" t="s">
        <v>1643</v>
      </c>
      <c r="D101" s="531"/>
      <c r="E101" s="532"/>
      <c r="F101" s="70">
        <v>0.3125</v>
      </c>
      <c r="G101" s="70">
        <v>0.33333333333333331</v>
      </c>
      <c r="H101" s="74"/>
    </row>
    <row r="102" spans="1:8" ht="18" customHeight="1">
      <c r="A102" s="70">
        <v>0.58333333333333337</v>
      </c>
      <c r="B102" s="70">
        <v>0.60416666666666663</v>
      </c>
      <c r="C102" s="533"/>
      <c r="D102" s="534"/>
      <c r="E102" s="535"/>
      <c r="F102" s="70">
        <v>0.33333333333333331</v>
      </c>
      <c r="G102" s="70">
        <v>0.35416666666666669</v>
      </c>
      <c r="H102" s="74"/>
    </row>
    <row r="103" spans="1:8" ht="18" customHeight="1">
      <c r="A103" s="70">
        <v>0.60416666666666663</v>
      </c>
      <c r="B103" s="70">
        <v>0.625</v>
      </c>
      <c r="C103" s="536"/>
      <c r="D103" s="537"/>
      <c r="E103" s="538"/>
      <c r="F103" s="70">
        <v>0.35416666666666669</v>
      </c>
      <c r="G103" s="70">
        <v>0.375</v>
      </c>
      <c r="H103" s="74"/>
    </row>
    <row r="104" spans="1:8" ht="18" customHeight="1">
      <c r="A104" s="70">
        <v>0.625</v>
      </c>
      <c r="B104" s="70">
        <v>0.64583333333333337</v>
      </c>
      <c r="C104" s="522" t="s">
        <v>1642</v>
      </c>
      <c r="D104" s="522"/>
      <c r="E104" s="522"/>
      <c r="F104" s="70">
        <v>0.375</v>
      </c>
      <c r="G104" s="70">
        <v>0.39583333333333331</v>
      </c>
      <c r="H104" s="74"/>
    </row>
    <row r="105" spans="1:8" ht="18" customHeight="1">
      <c r="A105" s="70">
        <v>0.64583333333333337</v>
      </c>
      <c r="B105" s="70">
        <v>0.66666666666666663</v>
      </c>
      <c r="C105" s="522"/>
      <c r="D105" s="522"/>
      <c r="E105" s="522"/>
      <c r="F105" s="70">
        <v>0.39583333333333331</v>
      </c>
      <c r="G105" s="70">
        <v>0.41666666666666669</v>
      </c>
      <c r="H105" s="74"/>
    </row>
    <row r="106" spans="1:8" ht="18" customHeight="1">
      <c r="A106" s="70">
        <v>0.66666666666666663</v>
      </c>
      <c r="B106" s="70">
        <v>0.6875</v>
      </c>
      <c r="C106" s="515" t="s">
        <v>933</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934</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1" t="s">
        <v>1182</v>
      </c>
      <c r="B1" s="511"/>
      <c r="C1" s="511"/>
      <c r="D1" s="511"/>
      <c r="E1" s="511"/>
      <c r="F1" s="511"/>
      <c r="G1" s="511"/>
      <c r="H1" s="65"/>
      <c r="I1" s="139" t="s">
        <v>917</v>
      </c>
      <c r="J1" s="140" t="s">
        <v>918</v>
      </c>
      <c r="K1" s="134" t="s">
        <v>919</v>
      </c>
      <c r="L1" s="134" t="s">
        <v>920</v>
      </c>
      <c r="M1" s="135"/>
      <c r="N1" s="67"/>
      <c r="O1" s="67"/>
      <c r="P1" s="67"/>
    </row>
    <row r="2" spans="1:16" ht="14.7" customHeight="1">
      <c r="A2" s="512" t="str">
        <f>CONCATENATE(TEXT(Planning!B26,"[$-x-sysdate]dddd, mmmm dd, yyyy")," (Technology test)")</f>
        <v>Thursday, 08 April 2021 (Technology test)</v>
      </c>
      <c r="B2" s="512"/>
      <c r="C2" s="512"/>
      <c r="D2" s="512"/>
      <c r="E2" s="512"/>
      <c r="F2" s="512"/>
      <c r="G2" s="512"/>
      <c r="H2" s="65"/>
      <c r="I2" s="134"/>
      <c r="J2" s="134"/>
      <c r="K2" s="134"/>
      <c r="L2" s="135"/>
      <c r="M2" s="135"/>
      <c r="N2" s="67"/>
      <c r="O2" s="67"/>
      <c r="P2" s="67"/>
    </row>
    <row r="3" spans="1:16">
      <c r="A3" s="510" t="str">
        <f>J3</f>
        <v>Day 1-2</v>
      </c>
      <c r="B3" s="510"/>
      <c r="C3" s="513" t="str">
        <f>CONCATENATE(TEXT(I3,"[$-x-sysdate]dddd, mmmm dd, yyyy")," to ",TEXT(K3,"[$-x-sysdate]dddd, mmmm dd, yyyy"))</f>
        <v>Saturday, 10 April 2021 to Sunday, 11 April 2021</v>
      </c>
      <c r="D3" s="513"/>
      <c r="E3" s="513"/>
      <c r="F3" s="510" t="str">
        <f>A3</f>
        <v>Day 1-2</v>
      </c>
      <c r="G3" s="510"/>
      <c r="H3" s="65"/>
      <c r="I3" s="141">
        <f>Planning!B27</f>
        <v>44296</v>
      </c>
      <c r="J3" s="142" t="str">
        <f>_xlfn.CONCAT("Day 1-",L3)</f>
        <v>Day 1-2</v>
      </c>
      <c r="K3" s="143">
        <f>Planning!B27+Planning!B29-1</f>
        <v>44297</v>
      </c>
      <c r="L3" s="134">
        <f>K3-I3+1</f>
        <v>2</v>
      </c>
      <c r="M3" s="135"/>
      <c r="N3" s="67"/>
      <c r="O3" s="67"/>
      <c r="P3" s="67"/>
    </row>
    <row r="4" spans="1:16" ht="49.5" customHeight="1">
      <c r="A4" s="510" t="s">
        <v>921</v>
      </c>
      <c r="B4" s="510"/>
      <c r="C4" s="229" t="str">
        <f>'Schedule4-1P'!C4</f>
        <v>Mini team 1:ATM-5 / ATM-6 / ATM-7</v>
      </c>
      <c r="D4" s="229" t="str">
        <f>'Schedule4-1P'!D4</f>
        <v>Full team: ATM-1 / ATM-2 / ATM-3 / ATM-4 /ATM-5 / ATM-6 / ATM-7 / ATM-8</v>
      </c>
      <c r="E4" s="229" t="str">
        <f>'Schedule4-1P'!E4</f>
        <v>LA team: van Zyl, Pieter and ATMs if applicable</v>
      </c>
      <c r="F4" s="510" t="s">
        <v>922</v>
      </c>
      <c r="G4" s="51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5" t="s">
        <v>923</v>
      </c>
      <c r="D5" s="515" t="s">
        <v>923</v>
      </c>
      <c r="E5" s="515"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5"/>
      <c r="D6" s="515"/>
      <c r="E6" s="515"/>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5"/>
      <c r="D7" s="515"/>
      <c r="E7" s="515"/>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5"/>
      <c r="D8" s="515"/>
      <c r="E8" s="515"/>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5"/>
      <c r="D9" s="515"/>
      <c r="E9" s="515"/>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5"/>
      <c r="D10" s="515"/>
      <c r="E10" s="515"/>
      <c r="F10" s="70">
        <v>0.375</v>
      </c>
      <c r="G10" s="70">
        <v>0.41666666666666669</v>
      </c>
      <c r="H10" s="65"/>
      <c r="I10" s="143"/>
      <c r="J10" s="135"/>
      <c r="K10" s="135"/>
      <c r="L10" s="135"/>
      <c r="M10" s="135"/>
      <c r="N10" s="67"/>
      <c r="O10" s="67"/>
      <c r="P10" s="67"/>
    </row>
    <row r="11" spans="1:16" ht="18" customHeight="1">
      <c r="A11" s="70">
        <v>0.66666666666666696</v>
      </c>
      <c r="B11" s="70">
        <v>0.70833333333333337</v>
      </c>
      <c r="C11" s="515"/>
      <c r="D11" s="515"/>
      <c r="E11" s="515"/>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5"/>
      <c r="D13" s="515"/>
      <c r="E13" s="515"/>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6" t="str">
        <f>CONCATENATE("Schedule above includes ",Planning!B28," non-working day(s).")</f>
        <v>Schedule above includes 0 non-working day(s).</v>
      </c>
      <c r="B15" s="516"/>
      <c r="C15" s="516"/>
      <c r="D15" s="516"/>
      <c r="E15" s="516"/>
      <c r="F15" s="516"/>
      <c r="G15" s="516"/>
      <c r="H15" s="65"/>
      <c r="K15" s="138"/>
      <c r="L15" s="134" t="str">
        <f>'P1PA-SS'!B96</f>
        <v>ATM-5</v>
      </c>
      <c r="M15" s="135"/>
      <c r="N15" s="67"/>
      <c r="O15" s="67"/>
      <c r="P15" s="67"/>
    </row>
    <row r="16" spans="1:16">
      <c r="A16" s="517" t="str">
        <f>J4</f>
        <v>Day 3</v>
      </c>
      <c r="B16" s="517"/>
      <c r="C16" s="518">
        <f>I4</f>
        <v>44298</v>
      </c>
      <c r="D16" s="518"/>
      <c r="E16" s="518"/>
      <c r="F16" s="517" t="str">
        <f>A16</f>
        <v>Day 3</v>
      </c>
      <c r="G16" s="517"/>
      <c r="H16" s="65"/>
      <c r="K16" s="138"/>
      <c r="L16" s="134" t="str">
        <f>'P1PA-SS'!B97</f>
        <v>ATM-6</v>
      </c>
      <c r="M16" s="135"/>
      <c r="N16" s="67"/>
      <c r="O16" s="67"/>
      <c r="P16" s="67"/>
    </row>
    <row r="17" spans="1:18" ht="28.8">
      <c r="A17" s="517" t="s">
        <v>921</v>
      </c>
      <c r="B17" s="517"/>
      <c r="C17" s="231" t="str">
        <f>C4</f>
        <v>Mini team 1:ATM-5 / ATM-6 / ATM-7</v>
      </c>
      <c r="D17" s="231" t="str">
        <f>D4</f>
        <v>Full team: ATM-1 / ATM-2 / ATM-3 / ATM-4 /ATM-5 / ATM-6 / ATM-7 / ATM-8</v>
      </c>
      <c r="E17" s="231" t="str">
        <f>E4</f>
        <v>LA team: van Zyl, Pieter and ATMs if applicable</v>
      </c>
      <c r="F17" s="517" t="s">
        <v>922</v>
      </c>
      <c r="G17" s="517"/>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4" t="s">
        <v>976</v>
      </c>
      <c r="D19" s="514"/>
      <c r="E19" s="514"/>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2" t="s">
        <v>977</v>
      </c>
      <c r="D20" s="522"/>
      <c r="E20" s="522"/>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2"/>
      <c r="D21" s="522"/>
      <c r="E21" s="522"/>
      <c r="F21" s="70">
        <v>0.22916666666666666</v>
      </c>
      <c r="G21" s="70">
        <v>0.25</v>
      </c>
      <c r="H21" s="65"/>
      <c r="I21" s="135"/>
      <c r="J21" s="135"/>
      <c r="K21" s="135"/>
      <c r="L21" s="135"/>
      <c r="M21" s="135"/>
      <c r="N21" s="67"/>
      <c r="O21" s="67"/>
      <c r="P21" s="67"/>
    </row>
    <row r="22" spans="1:18" ht="18.600000000000001" customHeight="1">
      <c r="A22" s="70">
        <v>0.5</v>
      </c>
      <c r="B22" s="70">
        <v>0.52083333333333337</v>
      </c>
      <c r="C22" s="515" t="s">
        <v>928</v>
      </c>
      <c r="D22" s="515"/>
      <c r="E22" s="515"/>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4" t="s">
        <v>978</v>
      </c>
      <c r="D24" s="514"/>
      <c r="E24" s="514"/>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4"/>
      <c r="D25" s="514"/>
      <c r="E25" s="514"/>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4"/>
      <c r="D26" s="514"/>
      <c r="E26" s="514"/>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4"/>
      <c r="D27" s="514"/>
      <c r="E27" s="514"/>
      <c r="F27" s="70">
        <v>0.35416666666666669</v>
      </c>
      <c r="G27" s="70">
        <v>0.375</v>
      </c>
      <c r="H27" s="65"/>
      <c r="I27" s="135"/>
      <c r="J27" s="135"/>
      <c r="K27" s="135"/>
      <c r="L27" s="135"/>
      <c r="M27" s="135"/>
      <c r="N27" s="67"/>
      <c r="O27" s="67"/>
      <c r="P27" s="67"/>
    </row>
    <row r="28" spans="1:18" ht="18.600000000000001" customHeight="1">
      <c r="A28" s="70">
        <v>0.625</v>
      </c>
      <c r="B28" s="70">
        <v>0.64583333333333337</v>
      </c>
      <c r="C28" s="515" t="s">
        <v>929</v>
      </c>
      <c r="D28" s="515"/>
      <c r="E28" s="515"/>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4" t="s">
        <v>978</v>
      </c>
      <c r="D29" s="514"/>
      <c r="E29" s="514"/>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4"/>
      <c r="D30" s="514"/>
      <c r="E30" s="514"/>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4"/>
      <c r="D31" s="514"/>
      <c r="E31" s="514"/>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4"/>
      <c r="D32" s="514"/>
      <c r="E32" s="514"/>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5" t="s">
        <v>1112</v>
      </c>
      <c r="D33" s="515"/>
      <c r="E33" s="515"/>
      <c r="F33" s="70">
        <v>0.47916666666666669</v>
      </c>
      <c r="G33" s="70">
        <v>0.5</v>
      </c>
      <c r="H33" s="65"/>
      <c r="I33" s="135"/>
      <c r="J33" s="135"/>
      <c r="K33" s="135"/>
      <c r="L33" s="135"/>
      <c r="M33" s="135"/>
      <c r="N33" s="67"/>
      <c r="O33" s="67"/>
      <c r="P33" s="67"/>
    </row>
    <row r="34" spans="1:16" ht="18.600000000000001" customHeight="1">
      <c r="A34" s="70">
        <v>0.75</v>
      </c>
      <c r="B34" s="70">
        <v>0.83333333333333337</v>
      </c>
      <c r="C34" s="515" t="s">
        <v>930</v>
      </c>
      <c r="D34" s="515"/>
      <c r="E34" s="515"/>
      <c r="F34" s="70">
        <v>0.5</v>
      </c>
      <c r="G34" s="70">
        <v>0.58333333333333337</v>
      </c>
      <c r="H34" s="65"/>
      <c r="I34" s="135"/>
      <c r="J34" s="135"/>
      <c r="K34" s="135"/>
      <c r="L34" s="135"/>
      <c r="M34" s="135"/>
      <c r="N34" s="67"/>
      <c r="O34" s="67"/>
      <c r="P34" s="67"/>
    </row>
    <row r="35" spans="1:16">
      <c r="A35" s="517" t="str">
        <f>J5</f>
        <v>Day 4</v>
      </c>
      <c r="B35" s="517"/>
      <c r="C35" s="518">
        <f>I5</f>
        <v>44299</v>
      </c>
      <c r="D35" s="518"/>
      <c r="E35" s="518"/>
      <c r="F35" s="517" t="str">
        <f>A35</f>
        <v>Day 4</v>
      </c>
      <c r="G35" s="517"/>
      <c r="H35" s="74"/>
    </row>
    <row r="36" spans="1:16" ht="28.8">
      <c r="A36" s="517" t="s">
        <v>921</v>
      </c>
      <c r="B36" s="517"/>
      <c r="C36" s="231" t="str">
        <f>C17</f>
        <v>Mini team 1:ATM-5 / ATM-6 / ATM-7</v>
      </c>
      <c r="D36" s="231" t="str">
        <f>D17</f>
        <v>Full team: ATM-1 / ATM-2 / ATM-3 / ATM-4 /ATM-5 / ATM-6 / ATM-7 / ATM-8</v>
      </c>
      <c r="E36" s="231" t="str">
        <f>E17</f>
        <v>LA team: van Zyl, Pieter and ATMs if applicable</v>
      </c>
      <c r="F36" s="517" t="s">
        <v>922</v>
      </c>
      <c r="G36" s="517"/>
      <c r="H36" s="74"/>
    </row>
    <row r="37" spans="1:16" ht="18" customHeight="1">
      <c r="A37" s="70">
        <v>0.41666666666666669</v>
      </c>
      <c r="B37" s="70">
        <v>0.4375</v>
      </c>
      <c r="C37" s="515" t="s">
        <v>929</v>
      </c>
      <c r="D37" s="515"/>
      <c r="E37" s="230" t="s">
        <v>927</v>
      </c>
      <c r="F37" s="70">
        <v>0.16666666666666666</v>
      </c>
      <c r="G37" s="70">
        <v>0.1875</v>
      </c>
      <c r="H37" s="74"/>
    </row>
    <row r="38" spans="1:16" ht="18" customHeight="1">
      <c r="A38" s="70">
        <v>0.4375</v>
      </c>
      <c r="B38" s="70">
        <v>0.45833333333333331</v>
      </c>
      <c r="C38" s="514" t="s">
        <v>979</v>
      </c>
      <c r="D38" s="514"/>
      <c r="E38" s="514"/>
      <c r="F38" s="70">
        <v>0.1875</v>
      </c>
      <c r="G38" s="70">
        <v>0.20833333333333334</v>
      </c>
      <c r="H38" s="74"/>
    </row>
    <row r="39" spans="1:16" ht="18" customHeight="1">
      <c r="A39" s="70">
        <v>0.45833333333333331</v>
      </c>
      <c r="B39" s="70">
        <v>0.47916666666666669</v>
      </c>
      <c r="C39" s="514"/>
      <c r="D39" s="514"/>
      <c r="E39" s="514"/>
      <c r="F39" s="70">
        <v>0.20833333333333334</v>
      </c>
      <c r="G39" s="70">
        <v>0.22916666666666666</v>
      </c>
      <c r="H39" s="74"/>
    </row>
    <row r="40" spans="1:16" ht="18" customHeight="1">
      <c r="A40" s="70">
        <v>0.47916666666666669</v>
      </c>
      <c r="B40" s="70">
        <v>0.5</v>
      </c>
      <c r="C40" s="514"/>
      <c r="D40" s="514"/>
      <c r="E40" s="514"/>
      <c r="F40" s="70">
        <v>0.22916666666666666</v>
      </c>
      <c r="G40" s="70">
        <v>0.25</v>
      </c>
      <c r="H40" s="74"/>
    </row>
    <row r="41" spans="1:16" ht="18" customHeight="1">
      <c r="A41" s="70">
        <v>0.5</v>
      </c>
      <c r="B41" s="70">
        <v>0.52083333333333337</v>
      </c>
      <c r="C41" s="515" t="s">
        <v>928</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14" t="s">
        <v>979</v>
      </c>
      <c r="D43" s="514"/>
      <c r="E43" s="514"/>
      <c r="F43" s="70">
        <v>0.29166666666666669</v>
      </c>
      <c r="G43" s="70">
        <v>0.3125</v>
      </c>
      <c r="H43" s="74"/>
    </row>
    <row r="44" spans="1:16" ht="18" customHeight="1">
      <c r="A44" s="70">
        <v>0.5625</v>
      </c>
      <c r="B44" s="70">
        <v>0.58333333333333337</v>
      </c>
      <c r="C44" s="514"/>
      <c r="D44" s="514"/>
      <c r="E44" s="514"/>
      <c r="F44" s="70">
        <v>0.3125</v>
      </c>
      <c r="G44" s="70">
        <v>0.33333333333333331</v>
      </c>
      <c r="H44" s="74"/>
    </row>
    <row r="45" spans="1:16" ht="18" customHeight="1">
      <c r="A45" s="70">
        <v>0.58333333333333337</v>
      </c>
      <c r="B45" s="70">
        <v>0.60416666666666663</v>
      </c>
      <c r="C45" s="514"/>
      <c r="D45" s="514"/>
      <c r="E45" s="514"/>
      <c r="F45" s="70">
        <v>0.33333333333333331</v>
      </c>
      <c r="G45" s="70">
        <v>0.35416666666666669</v>
      </c>
      <c r="H45" s="74"/>
    </row>
    <row r="46" spans="1:16" ht="18" customHeight="1">
      <c r="A46" s="70">
        <v>0.60416666666666663</v>
      </c>
      <c r="B46" s="70">
        <v>0.625</v>
      </c>
      <c r="C46" s="514"/>
      <c r="D46" s="514"/>
      <c r="E46" s="514"/>
      <c r="F46" s="70">
        <v>0.35416666666666669</v>
      </c>
      <c r="G46" s="70">
        <v>0.375</v>
      </c>
      <c r="H46" s="74"/>
    </row>
    <row r="47" spans="1:16" ht="18" customHeight="1">
      <c r="A47" s="70">
        <v>0.625</v>
      </c>
      <c r="B47" s="70">
        <v>0.64583333333333337</v>
      </c>
      <c r="C47" s="514"/>
      <c r="D47" s="514"/>
      <c r="E47" s="514"/>
      <c r="F47" s="70">
        <v>0.375</v>
      </c>
      <c r="G47" s="70">
        <v>0.39583333333333331</v>
      </c>
      <c r="H47" s="74"/>
    </row>
    <row r="48" spans="1:16" ht="18" customHeight="1">
      <c r="A48" s="70">
        <v>0.64583333333333337</v>
      </c>
      <c r="B48" s="70">
        <v>0.66666666666666663</v>
      </c>
      <c r="C48" s="515" t="s">
        <v>929</v>
      </c>
      <c r="D48" s="515"/>
      <c r="E48" s="515" t="s">
        <v>927</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14" t="s">
        <v>980</v>
      </c>
      <c r="D50" s="514"/>
      <c r="E50" s="514"/>
      <c r="F50" s="70">
        <v>0.4375</v>
      </c>
      <c r="G50" s="70">
        <v>0.45833333333333331</v>
      </c>
      <c r="H50" s="74"/>
    </row>
    <row r="51" spans="1:8" ht="18" customHeight="1">
      <c r="A51" s="70">
        <v>0.70833333333333337</v>
      </c>
      <c r="B51" s="70">
        <v>0.72916666666666663</v>
      </c>
      <c r="C51" s="514"/>
      <c r="D51" s="514"/>
      <c r="E51" s="514"/>
      <c r="F51" s="70">
        <v>0.45833333333333331</v>
      </c>
      <c r="G51" s="70">
        <v>0.47916666666666669</v>
      </c>
      <c r="H51" s="74"/>
    </row>
    <row r="52" spans="1:8" ht="18" customHeight="1">
      <c r="A52" s="70">
        <v>0.72916666666666663</v>
      </c>
      <c r="B52" s="70">
        <v>0.75</v>
      </c>
      <c r="C52" s="515" t="s">
        <v>1112</v>
      </c>
      <c r="D52" s="515"/>
      <c r="E52" s="515"/>
      <c r="F52" s="70">
        <v>0.47916666666666669</v>
      </c>
      <c r="G52" s="70">
        <v>0.5</v>
      </c>
      <c r="H52" s="74"/>
    </row>
    <row r="53" spans="1:8" ht="18" customHeight="1">
      <c r="A53" s="70">
        <v>0.75</v>
      </c>
      <c r="B53" s="70">
        <v>0.83333333333333337</v>
      </c>
      <c r="C53" s="515" t="s">
        <v>930</v>
      </c>
      <c r="D53" s="515"/>
      <c r="E53" s="515"/>
      <c r="F53" s="70">
        <v>0.5</v>
      </c>
      <c r="G53" s="70">
        <v>0.58333333333333337</v>
      </c>
      <c r="H53" s="74"/>
    </row>
    <row r="54" spans="1:8">
      <c r="A54" s="510" t="str">
        <f>J6</f>
        <v>Day 5</v>
      </c>
      <c r="B54" s="510"/>
      <c r="C54" s="513">
        <f>I6</f>
        <v>44300</v>
      </c>
      <c r="D54" s="513"/>
      <c r="E54" s="513"/>
      <c r="F54" s="510" t="str">
        <f>A54</f>
        <v>Day 5</v>
      </c>
      <c r="G54" s="510"/>
      <c r="H54" s="74"/>
    </row>
    <row r="55" spans="1:8" ht="28.8">
      <c r="A55" s="510" t="s">
        <v>921</v>
      </c>
      <c r="B55" s="510"/>
      <c r="C55" s="229" t="str">
        <f>C36</f>
        <v>Mini team 1:ATM-5 / ATM-6 / ATM-7</v>
      </c>
      <c r="D55" s="229" t="str">
        <f>D36</f>
        <v>Full team: ATM-1 / ATM-2 / ATM-3 / ATM-4 /ATM-5 / ATM-6 / ATM-7 / ATM-8</v>
      </c>
      <c r="E55" s="229" t="str">
        <f>E36</f>
        <v>LA team: van Zyl, Pieter and ATMs if applicable</v>
      </c>
      <c r="F55" s="510" t="s">
        <v>922</v>
      </c>
      <c r="G55" s="510"/>
      <c r="H55" s="74"/>
    </row>
    <row r="56" spans="1:8" ht="18" customHeight="1">
      <c r="A56" s="70">
        <v>0.41666666666666669</v>
      </c>
      <c r="B56" s="70">
        <v>0.4375</v>
      </c>
      <c r="C56" s="515" t="s">
        <v>931</v>
      </c>
      <c r="D56" s="515"/>
      <c r="E56" s="230" t="s">
        <v>927</v>
      </c>
      <c r="F56" s="70">
        <v>0.16666666666666666</v>
      </c>
      <c r="G56" s="70">
        <v>0.1875</v>
      </c>
      <c r="H56" s="74"/>
    </row>
    <row r="57" spans="1:8" ht="18" customHeight="1">
      <c r="A57" s="70">
        <v>0.4375</v>
      </c>
      <c r="B57" s="70">
        <v>0.45833333333333331</v>
      </c>
      <c r="C57" s="514" t="s">
        <v>981</v>
      </c>
      <c r="D57" s="514"/>
      <c r="E57" s="514"/>
      <c r="F57" s="70">
        <v>0.1875</v>
      </c>
      <c r="G57" s="70">
        <v>0.20833333333333334</v>
      </c>
      <c r="H57" s="74"/>
    </row>
    <row r="58" spans="1:8" ht="18" customHeight="1">
      <c r="A58" s="70">
        <v>0.45833333333333331</v>
      </c>
      <c r="B58" s="70">
        <v>0.47916666666666669</v>
      </c>
      <c r="C58" s="514"/>
      <c r="D58" s="514"/>
      <c r="E58" s="514"/>
      <c r="F58" s="70">
        <v>0.20833333333333334</v>
      </c>
      <c r="G58" s="70">
        <v>0.22916666666666666</v>
      </c>
      <c r="H58" s="74"/>
    </row>
    <row r="59" spans="1:8" ht="18" customHeight="1">
      <c r="A59" s="70">
        <v>0.47916666666666669</v>
      </c>
      <c r="B59" s="70">
        <v>0.5</v>
      </c>
      <c r="C59" s="514"/>
      <c r="D59" s="514"/>
      <c r="E59" s="514"/>
      <c r="F59" s="70">
        <v>0.22916666666666666</v>
      </c>
      <c r="G59" s="70">
        <v>0.25</v>
      </c>
      <c r="H59" s="74"/>
    </row>
    <row r="60" spans="1:8" ht="18" customHeight="1">
      <c r="A60" s="70">
        <v>0.5</v>
      </c>
      <c r="B60" s="70">
        <v>0.52083333333333337</v>
      </c>
      <c r="C60" s="515" t="s">
        <v>928</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14" t="s">
        <v>981</v>
      </c>
      <c r="D62" s="514"/>
      <c r="E62" s="514"/>
      <c r="F62" s="70">
        <v>0.29166666666666669</v>
      </c>
      <c r="G62" s="70">
        <v>0.3125</v>
      </c>
      <c r="H62" s="74"/>
    </row>
    <row r="63" spans="1:8" ht="18" customHeight="1">
      <c r="A63" s="70">
        <v>0.5625</v>
      </c>
      <c r="B63" s="70">
        <v>0.58333333333333337</v>
      </c>
      <c r="C63" s="514"/>
      <c r="D63" s="514"/>
      <c r="E63" s="514"/>
      <c r="F63" s="70">
        <v>0.3125</v>
      </c>
      <c r="G63" s="70">
        <v>0.33333333333333331</v>
      </c>
      <c r="H63" s="74"/>
    </row>
    <row r="64" spans="1:8" ht="18" customHeight="1">
      <c r="A64" s="70">
        <v>0.58333333333333337</v>
      </c>
      <c r="B64" s="70">
        <v>0.60416666666666663</v>
      </c>
      <c r="C64" s="514"/>
      <c r="D64" s="514"/>
      <c r="E64" s="514"/>
      <c r="F64" s="70">
        <v>0.33333333333333331</v>
      </c>
      <c r="G64" s="70">
        <v>0.35416666666666669</v>
      </c>
      <c r="H64" s="74"/>
    </row>
    <row r="65" spans="1:8" ht="18" customHeight="1">
      <c r="A65" s="70">
        <v>0.60416666666666663</v>
      </c>
      <c r="B65" s="70">
        <v>0.625</v>
      </c>
      <c r="C65" s="514"/>
      <c r="D65" s="514"/>
      <c r="E65" s="514"/>
      <c r="F65" s="70">
        <v>0.35416666666666669</v>
      </c>
      <c r="G65" s="70">
        <v>0.375</v>
      </c>
      <c r="H65" s="74"/>
    </row>
    <row r="66" spans="1:8" ht="18" customHeight="1">
      <c r="A66" s="70">
        <v>0.625</v>
      </c>
      <c r="B66" s="70">
        <v>0.64583333333333337</v>
      </c>
      <c r="C66" s="514"/>
      <c r="D66" s="514"/>
      <c r="E66" s="514"/>
      <c r="F66" s="70">
        <v>0.375</v>
      </c>
      <c r="G66" s="70">
        <v>0.39583333333333331</v>
      </c>
      <c r="H66" s="74"/>
    </row>
    <row r="67" spans="1:8" ht="18" customHeight="1">
      <c r="A67" s="70">
        <v>0.64583333333333337</v>
      </c>
      <c r="B67" s="70">
        <v>0.66666666666666663</v>
      </c>
      <c r="C67" s="514"/>
      <c r="D67" s="514"/>
      <c r="E67" s="514"/>
      <c r="F67" s="70">
        <v>0.39583333333333331</v>
      </c>
      <c r="G67" s="70">
        <v>0.41666666666666669</v>
      </c>
      <c r="H67" s="74"/>
    </row>
    <row r="68" spans="1:8" ht="18" customHeight="1">
      <c r="A68" s="70">
        <v>0.66666666666666663</v>
      </c>
      <c r="B68" s="70">
        <v>0.6875</v>
      </c>
      <c r="C68" s="515" t="s">
        <v>929</v>
      </c>
      <c r="D68" s="515"/>
      <c r="E68" s="515"/>
      <c r="F68" s="70">
        <v>0.41666666666666669</v>
      </c>
      <c r="G68" s="70">
        <v>0.4375</v>
      </c>
      <c r="H68" s="74"/>
    </row>
    <row r="69" spans="1:8" ht="18" customHeight="1">
      <c r="A69" s="70">
        <v>0.6875</v>
      </c>
      <c r="B69" s="70">
        <v>0.70833333333333337</v>
      </c>
      <c r="C69" s="514" t="s">
        <v>982</v>
      </c>
      <c r="D69" s="514"/>
      <c r="E69" s="514"/>
      <c r="F69" s="70">
        <v>0.4375</v>
      </c>
      <c r="G69" s="70">
        <v>0.45833333333333331</v>
      </c>
      <c r="H69" s="74"/>
    </row>
    <row r="70" spans="1:8" ht="18" customHeight="1">
      <c r="A70" s="70">
        <v>0.70833333333333337</v>
      </c>
      <c r="B70" s="70">
        <v>0.72916666666666663</v>
      </c>
      <c r="C70" s="514"/>
      <c r="D70" s="514"/>
      <c r="E70" s="514"/>
      <c r="F70" s="70">
        <v>0.45833333333333331</v>
      </c>
      <c r="G70" s="70">
        <v>0.47916666666666669</v>
      </c>
      <c r="H70" s="74"/>
    </row>
    <row r="71" spans="1:8" ht="18" customHeight="1">
      <c r="A71" s="70">
        <v>0.72916666666666663</v>
      </c>
      <c r="B71" s="70">
        <v>0.75</v>
      </c>
      <c r="C71" s="545" t="s">
        <v>1111</v>
      </c>
      <c r="D71" s="546"/>
      <c r="E71" s="547"/>
      <c r="F71" s="70">
        <v>0.47916666666666669</v>
      </c>
      <c r="G71" s="70">
        <v>0.5</v>
      </c>
      <c r="H71" s="74"/>
    </row>
    <row r="72" spans="1:8" ht="18" customHeight="1">
      <c r="A72" s="70">
        <v>0.75</v>
      </c>
      <c r="B72" s="70">
        <v>0.83333333333333337</v>
      </c>
      <c r="C72" s="548"/>
      <c r="D72" s="549"/>
      <c r="E72" s="550"/>
      <c r="F72" s="70">
        <v>0.5</v>
      </c>
      <c r="G72" s="70">
        <v>0.58333333333333337</v>
      </c>
      <c r="H72" s="74"/>
    </row>
    <row r="73" spans="1:8">
      <c r="A73" s="510" t="str">
        <f>J7</f>
        <v>Day 6</v>
      </c>
      <c r="B73" s="510"/>
      <c r="C73" s="513">
        <f>I7</f>
        <v>44301</v>
      </c>
      <c r="D73" s="513"/>
      <c r="E73" s="513"/>
      <c r="F73" s="510" t="str">
        <f>A73</f>
        <v>Day 6</v>
      </c>
      <c r="G73" s="510"/>
      <c r="H73" s="74"/>
    </row>
    <row r="74" spans="1:8" ht="28.8">
      <c r="A74" s="510" t="s">
        <v>921</v>
      </c>
      <c r="B74" s="510"/>
      <c r="C74" s="229" t="str">
        <f>C55</f>
        <v>Mini team 1:ATM-5 / ATM-6 / ATM-7</v>
      </c>
      <c r="D74" s="229" t="str">
        <f>D55</f>
        <v>Full team: ATM-1 / ATM-2 / ATM-3 / ATM-4 /ATM-5 / ATM-6 / ATM-7 / ATM-8</v>
      </c>
      <c r="E74" s="229" t="str">
        <f>E55</f>
        <v>LA team: van Zyl, Pieter and ATMs if applicable</v>
      </c>
      <c r="F74" s="510" t="s">
        <v>922</v>
      </c>
      <c r="G74" s="510"/>
      <c r="H74" s="74"/>
    </row>
    <row r="75" spans="1:8" ht="18" customHeight="1">
      <c r="A75" s="70">
        <v>0.41666666666666669</v>
      </c>
      <c r="B75" s="70">
        <v>0.4375</v>
      </c>
      <c r="C75" s="515" t="s">
        <v>929</v>
      </c>
      <c r="D75" s="515"/>
      <c r="E75" s="515"/>
      <c r="F75" s="70">
        <v>0.16666666666666666</v>
      </c>
      <c r="G75" s="70">
        <v>0.1875</v>
      </c>
      <c r="H75" s="74"/>
    </row>
    <row r="76" spans="1:8" ht="18" customHeight="1">
      <c r="A76" s="70">
        <v>0.4375</v>
      </c>
      <c r="B76" s="70">
        <v>0.45833333333333331</v>
      </c>
      <c r="C76" s="514" t="s">
        <v>983</v>
      </c>
      <c r="D76" s="514"/>
      <c r="E76" s="514"/>
      <c r="F76" s="70">
        <v>0.1875</v>
      </c>
      <c r="G76" s="70">
        <v>0.20833333333333334</v>
      </c>
      <c r="H76" s="74"/>
    </row>
    <row r="77" spans="1:8" ht="18" customHeight="1">
      <c r="A77" s="70">
        <v>0.45833333333333331</v>
      </c>
      <c r="B77" s="70">
        <v>0.47916666666666669</v>
      </c>
      <c r="C77" s="514"/>
      <c r="D77" s="514"/>
      <c r="E77" s="514"/>
      <c r="F77" s="70">
        <v>0.20833333333333334</v>
      </c>
      <c r="G77" s="70">
        <v>0.22916666666666666</v>
      </c>
      <c r="H77" s="74"/>
    </row>
    <row r="78" spans="1:8" ht="18" customHeight="1">
      <c r="A78" s="70">
        <v>0.47916666666666669</v>
      </c>
      <c r="B78" s="70">
        <v>0.5</v>
      </c>
      <c r="C78" s="515" t="s">
        <v>929</v>
      </c>
      <c r="D78" s="515"/>
      <c r="E78" s="515"/>
      <c r="F78" s="70">
        <v>0.22916666666666666</v>
      </c>
      <c r="G78" s="70">
        <v>0.25</v>
      </c>
      <c r="H78" s="74"/>
    </row>
    <row r="79" spans="1:8" ht="18" customHeight="1">
      <c r="A79" s="70">
        <v>0.5</v>
      </c>
      <c r="B79" s="70">
        <v>0.52083333333333337</v>
      </c>
      <c r="C79" s="515" t="s">
        <v>928</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45" t="s">
        <v>1111</v>
      </c>
      <c r="D81" s="546"/>
      <c r="E81" s="547"/>
      <c r="F81" s="70">
        <v>0.29166666666666669</v>
      </c>
      <c r="G81" s="70">
        <v>0.3125</v>
      </c>
      <c r="H81" s="74"/>
    </row>
    <row r="82" spans="1:8" ht="18" customHeight="1">
      <c r="A82" s="70">
        <v>0.5625</v>
      </c>
      <c r="B82" s="70">
        <v>0.58333333333333337</v>
      </c>
      <c r="C82" s="548"/>
      <c r="D82" s="549"/>
      <c r="E82" s="550"/>
      <c r="F82" s="70">
        <v>0.3125</v>
      </c>
      <c r="G82" s="70">
        <v>0.33333333333333331</v>
      </c>
      <c r="H82" s="74"/>
    </row>
    <row r="83" spans="1:8" ht="18" customHeight="1">
      <c r="A83" s="70">
        <v>0.58333333333333337</v>
      </c>
      <c r="B83" s="70">
        <v>0.60416666666666663</v>
      </c>
      <c r="C83" s="539" t="s">
        <v>932</v>
      </c>
      <c r="D83" s="540"/>
      <c r="E83" s="541"/>
      <c r="F83" s="70">
        <v>0.33333333333333331</v>
      </c>
      <c r="G83" s="70">
        <v>0.35416666666666669</v>
      </c>
      <c r="H83" s="74"/>
    </row>
    <row r="84" spans="1:8" ht="18" customHeight="1">
      <c r="A84" s="70">
        <v>0.60416666666666663</v>
      </c>
      <c r="B84" s="70">
        <v>0.625</v>
      </c>
      <c r="C84" s="542"/>
      <c r="D84" s="543"/>
      <c r="E84" s="544"/>
      <c r="F84" s="70">
        <v>0.35416666666666669</v>
      </c>
      <c r="G84" s="70">
        <v>0.375</v>
      </c>
      <c r="H84" s="74"/>
    </row>
    <row r="85" spans="1:8" ht="18" customHeight="1">
      <c r="A85" s="70">
        <v>0.625</v>
      </c>
      <c r="B85" s="70">
        <v>0.64583333333333337</v>
      </c>
      <c r="C85" s="514" t="s">
        <v>984</v>
      </c>
      <c r="D85" s="514"/>
      <c r="E85" s="514"/>
      <c r="F85" s="70">
        <v>0.375</v>
      </c>
      <c r="G85" s="70">
        <v>0.39583333333333331</v>
      </c>
      <c r="H85" s="74"/>
    </row>
    <row r="86" spans="1:8" ht="18" customHeight="1">
      <c r="A86" s="70">
        <v>0.64583333333333337</v>
      </c>
      <c r="B86" s="70">
        <v>0.66666666666666663</v>
      </c>
      <c r="C86" s="514"/>
      <c r="D86" s="514"/>
      <c r="E86" s="514"/>
      <c r="F86" s="70">
        <v>0.39583333333333331</v>
      </c>
      <c r="G86" s="70">
        <v>0.41666666666666669</v>
      </c>
      <c r="H86" s="74"/>
    </row>
    <row r="87" spans="1:8" ht="18" customHeight="1">
      <c r="A87" s="70">
        <v>0.66666666666666663</v>
      </c>
      <c r="B87" s="70">
        <v>0.6875</v>
      </c>
      <c r="C87" s="515" t="s">
        <v>929</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930</v>
      </c>
      <c r="D91" s="515"/>
      <c r="E91" s="515"/>
      <c r="F91" s="70">
        <v>0.5</v>
      </c>
      <c r="G91" s="70">
        <v>0.58333333333333337</v>
      </c>
      <c r="H91" s="74"/>
    </row>
    <row r="92" spans="1:8">
      <c r="A92" s="510" t="str">
        <f>J8</f>
        <v>Day 7</v>
      </c>
      <c r="B92" s="510"/>
      <c r="C92" s="513">
        <f>I8</f>
        <v>44302</v>
      </c>
      <c r="D92" s="513"/>
      <c r="E92" s="513"/>
      <c r="F92" s="510" t="str">
        <f>A92</f>
        <v>Day 7</v>
      </c>
      <c r="G92" s="510"/>
      <c r="H92" s="74"/>
    </row>
    <row r="93" spans="1:8" ht="28.8">
      <c r="A93" s="510" t="s">
        <v>921</v>
      </c>
      <c r="B93" s="510"/>
      <c r="C93" s="229" t="str">
        <f>C74</f>
        <v>Mini team 1:ATM-5 / ATM-6 / ATM-7</v>
      </c>
      <c r="D93" s="229" t="str">
        <f>D74</f>
        <v>Full team: ATM-1 / ATM-2 / ATM-3 / ATM-4 /ATM-5 / ATM-6 / ATM-7 / ATM-8</v>
      </c>
      <c r="E93" s="229" t="str">
        <f>E74</f>
        <v>LA team: van Zyl, Pieter and ATMs if applicable</v>
      </c>
      <c r="F93" s="510" t="s">
        <v>922</v>
      </c>
      <c r="G93" s="510"/>
      <c r="H93" s="74"/>
    </row>
    <row r="94" spans="1:8" ht="18" customHeight="1">
      <c r="A94" s="70">
        <v>0.41666666666666669</v>
      </c>
      <c r="B94" s="70">
        <v>0.4375</v>
      </c>
      <c r="C94" s="515" t="s">
        <v>929</v>
      </c>
      <c r="D94" s="515"/>
      <c r="E94" s="515"/>
      <c r="F94" s="70">
        <v>0.16666666666666666</v>
      </c>
      <c r="G94" s="70">
        <v>0.1875</v>
      </c>
      <c r="H94" s="74"/>
    </row>
    <row r="95" spans="1:8" ht="18" customHeight="1">
      <c r="A95" s="70">
        <v>0.4375</v>
      </c>
      <c r="B95" s="70">
        <v>0.45833333333333331</v>
      </c>
      <c r="C95" s="524" t="s">
        <v>985</v>
      </c>
      <c r="D95" s="525"/>
      <c r="E95" s="526"/>
      <c r="F95" s="70">
        <v>0.1875</v>
      </c>
      <c r="G95" s="70">
        <v>0.20833333333333334</v>
      </c>
      <c r="H95" s="74"/>
    </row>
    <row r="96" spans="1:8" ht="18" customHeight="1">
      <c r="A96" s="70">
        <v>0.45833333333333331</v>
      </c>
      <c r="B96" s="70">
        <v>0.47916666666666669</v>
      </c>
      <c r="C96" s="527"/>
      <c r="D96" s="528"/>
      <c r="E96" s="529"/>
      <c r="F96" s="70">
        <v>0.20833333333333334</v>
      </c>
      <c r="G96" s="70">
        <v>0.22916666666666666</v>
      </c>
      <c r="H96" s="74"/>
    </row>
    <row r="97" spans="1:8" ht="18" customHeight="1">
      <c r="A97" s="70">
        <v>0.47916666666666669</v>
      </c>
      <c r="B97" s="70">
        <v>0.5</v>
      </c>
      <c r="C97" s="524" t="s">
        <v>986</v>
      </c>
      <c r="D97" s="525"/>
      <c r="E97" s="526"/>
      <c r="F97" s="70">
        <v>0.22916666666666666</v>
      </c>
      <c r="G97" s="70">
        <v>0.25</v>
      </c>
      <c r="H97" s="74"/>
    </row>
    <row r="98" spans="1:8" ht="18" customHeight="1">
      <c r="A98" s="70">
        <v>0.5</v>
      </c>
      <c r="B98" s="70">
        <v>0.52083333333333337</v>
      </c>
      <c r="C98" s="527"/>
      <c r="D98" s="528"/>
      <c r="E98" s="529"/>
      <c r="F98" s="70">
        <v>0.25</v>
      </c>
      <c r="G98" s="70">
        <v>0.27083333333333331</v>
      </c>
      <c r="H98" s="74"/>
    </row>
    <row r="99" spans="1:8" ht="18" customHeight="1">
      <c r="A99" s="70">
        <v>0.52083333333333337</v>
      </c>
      <c r="B99" s="70">
        <v>0.54166666666666663</v>
      </c>
      <c r="C99" s="530" t="s">
        <v>928</v>
      </c>
      <c r="D99" s="531"/>
      <c r="E99" s="532"/>
      <c r="F99" s="70">
        <v>0.27083333333333331</v>
      </c>
      <c r="G99" s="70">
        <v>0.29166666666666669</v>
      </c>
      <c r="H99" s="74"/>
    </row>
    <row r="100" spans="1:8" ht="18" customHeight="1">
      <c r="A100" s="70">
        <v>0.54166666666666663</v>
      </c>
      <c r="B100" s="70">
        <v>0.5625</v>
      </c>
      <c r="C100" s="536"/>
      <c r="D100" s="537"/>
      <c r="E100" s="538"/>
      <c r="F100" s="70">
        <v>0.29166666666666669</v>
      </c>
      <c r="G100" s="70">
        <v>0.3125</v>
      </c>
      <c r="H100" s="74"/>
    </row>
    <row r="101" spans="1:8" ht="18" customHeight="1">
      <c r="A101" s="70">
        <v>0.5625</v>
      </c>
      <c r="B101" s="70">
        <v>0.58333333333333337</v>
      </c>
      <c r="C101" s="530" t="s">
        <v>1643</v>
      </c>
      <c r="D101" s="531"/>
      <c r="E101" s="532"/>
      <c r="F101" s="70">
        <v>0.3125</v>
      </c>
      <c r="G101" s="70">
        <v>0.33333333333333331</v>
      </c>
      <c r="H101" s="74"/>
    </row>
    <row r="102" spans="1:8" ht="18" customHeight="1">
      <c r="A102" s="70">
        <v>0.58333333333333337</v>
      </c>
      <c r="B102" s="70">
        <v>0.60416666666666663</v>
      </c>
      <c r="C102" s="533"/>
      <c r="D102" s="534"/>
      <c r="E102" s="535"/>
      <c r="F102" s="70">
        <v>0.33333333333333331</v>
      </c>
      <c r="G102" s="70">
        <v>0.35416666666666669</v>
      </c>
      <c r="H102" s="74"/>
    </row>
    <row r="103" spans="1:8" ht="18" customHeight="1">
      <c r="A103" s="70">
        <v>0.60416666666666663</v>
      </c>
      <c r="B103" s="70">
        <v>0.625</v>
      </c>
      <c r="C103" s="536"/>
      <c r="D103" s="537"/>
      <c r="E103" s="538"/>
      <c r="F103" s="70">
        <v>0.35416666666666669</v>
      </c>
      <c r="G103" s="70">
        <v>0.375</v>
      </c>
      <c r="H103" s="74"/>
    </row>
    <row r="104" spans="1:8" ht="18" customHeight="1">
      <c r="A104" s="70">
        <v>0.625</v>
      </c>
      <c r="B104" s="70">
        <v>0.64583333333333337</v>
      </c>
      <c r="C104" s="522" t="s">
        <v>1642</v>
      </c>
      <c r="D104" s="522"/>
      <c r="E104" s="522"/>
      <c r="F104" s="70">
        <v>0.375</v>
      </c>
      <c r="G104" s="70">
        <v>0.39583333333333331</v>
      </c>
      <c r="H104" s="74"/>
    </row>
    <row r="105" spans="1:8" ht="18" customHeight="1">
      <c r="A105" s="70">
        <v>0.64583333333333337</v>
      </c>
      <c r="B105" s="70">
        <v>0.66666666666666663</v>
      </c>
      <c r="C105" s="522"/>
      <c r="D105" s="522"/>
      <c r="E105" s="522"/>
      <c r="F105" s="70">
        <v>0.39583333333333331</v>
      </c>
      <c r="G105" s="70">
        <v>0.41666666666666669</v>
      </c>
      <c r="H105" s="74"/>
    </row>
    <row r="106" spans="1:8" ht="18" customHeight="1">
      <c r="A106" s="70">
        <v>0.66666666666666663</v>
      </c>
      <c r="B106" s="70">
        <v>0.6875</v>
      </c>
      <c r="C106" s="515" t="s">
        <v>933</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934</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1419</v>
      </c>
    </row>
    <row r="2" spans="1:8">
      <c r="A2" s="327" t="s">
        <v>1420</v>
      </c>
      <c r="B2" s="328">
        <f>Planning!B27</f>
        <v>44296</v>
      </c>
      <c r="C2" s="329">
        <f>B2+1</f>
        <v>44297</v>
      </c>
      <c r="D2" s="329">
        <f t="shared" ref="D2:G2" si="0">C2+1</f>
        <v>44298</v>
      </c>
      <c r="E2" s="329">
        <f t="shared" si="0"/>
        <v>44299</v>
      </c>
      <c r="F2" s="329">
        <f t="shared" si="0"/>
        <v>44300</v>
      </c>
      <c r="G2" s="329">
        <f t="shared" si="0"/>
        <v>44301</v>
      </c>
      <c r="H2" s="330" t="s">
        <v>1421</v>
      </c>
    </row>
    <row r="3" spans="1:8" ht="28.8">
      <c r="A3" s="331">
        <v>0.41666666666666702</v>
      </c>
      <c r="B3" s="551" t="s">
        <v>1422</v>
      </c>
      <c r="C3" s="332" t="s">
        <v>1423</v>
      </c>
      <c r="D3" s="333" t="s">
        <v>1424</v>
      </c>
      <c r="E3" s="333" t="s">
        <v>1424</v>
      </c>
      <c r="F3" s="552" t="s">
        <v>1425</v>
      </c>
      <c r="G3" s="552" t="s">
        <v>1426</v>
      </c>
      <c r="H3" s="334">
        <f t="shared" ref="H3:H19" si="1">+A3-0.25</f>
        <v>0.16666666666666702</v>
      </c>
    </row>
    <row r="4" spans="1:8">
      <c r="A4" s="331">
        <v>0.4375</v>
      </c>
      <c r="B4" s="551"/>
      <c r="C4" s="335" t="s">
        <v>1427</v>
      </c>
      <c r="D4" s="553" t="s">
        <v>1428</v>
      </c>
      <c r="E4" s="553" t="s">
        <v>1429</v>
      </c>
      <c r="F4" s="552"/>
      <c r="G4" s="552"/>
      <c r="H4" s="334">
        <f t="shared" si="1"/>
        <v>0.1875</v>
      </c>
    </row>
    <row r="5" spans="1:8">
      <c r="A5" s="331">
        <v>0.45833333333333398</v>
      </c>
      <c r="B5" s="554" t="s">
        <v>1430</v>
      </c>
      <c r="C5" s="555" t="s">
        <v>1431</v>
      </c>
      <c r="D5" s="553"/>
      <c r="E5" s="553"/>
      <c r="F5" s="552"/>
      <c r="G5" s="552"/>
      <c r="H5" s="334">
        <f t="shared" si="1"/>
        <v>0.20833333333333398</v>
      </c>
    </row>
    <row r="6" spans="1:8">
      <c r="A6" s="331">
        <v>0.47916666666666702</v>
      </c>
      <c r="B6" s="554"/>
      <c r="C6" s="555"/>
      <c r="D6" s="553"/>
      <c r="E6" s="553"/>
      <c r="F6" s="552"/>
      <c r="G6" s="332" t="s">
        <v>1427</v>
      </c>
      <c r="H6" s="334">
        <f t="shared" si="1"/>
        <v>0.22916666666666702</v>
      </c>
    </row>
    <row r="7" spans="1:8">
      <c r="A7" s="331">
        <v>0.5</v>
      </c>
      <c r="B7" s="554"/>
      <c r="C7" s="553" t="s">
        <v>1432</v>
      </c>
      <c r="D7" s="553"/>
      <c r="E7" s="553"/>
      <c r="F7" s="556" t="s">
        <v>928</v>
      </c>
      <c r="G7" s="556" t="s">
        <v>928</v>
      </c>
      <c r="H7" s="334">
        <f t="shared" si="1"/>
        <v>0.25</v>
      </c>
    </row>
    <row r="8" spans="1:8" ht="28.8">
      <c r="A8" s="331">
        <v>0.52083333333333404</v>
      </c>
      <c r="B8" s="336" t="s">
        <v>1422</v>
      </c>
      <c r="C8" s="553"/>
      <c r="D8" s="553"/>
      <c r="E8" s="553"/>
      <c r="F8" s="556"/>
      <c r="G8" s="556"/>
      <c r="H8" s="334">
        <f t="shared" si="1"/>
        <v>0.27083333333333404</v>
      </c>
    </row>
    <row r="9" spans="1:8">
      <c r="A9" s="331">
        <v>0.54166666666666696</v>
      </c>
      <c r="B9" s="557" t="s">
        <v>928</v>
      </c>
      <c r="C9" s="556" t="s">
        <v>928</v>
      </c>
      <c r="D9" s="556" t="s">
        <v>928</v>
      </c>
      <c r="E9" s="556" t="s">
        <v>928</v>
      </c>
      <c r="F9" s="332" t="s">
        <v>1427</v>
      </c>
      <c r="G9" s="555" t="s">
        <v>786</v>
      </c>
      <c r="H9" s="334">
        <f t="shared" si="1"/>
        <v>0.29166666666666696</v>
      </c>
    </row>
    <row r="10" spans="1:8">
      <c r="A10" s="331">
        <v>0.5625</v>
      </c>
      <c r="B10" s="557"/>
      <c r="C10" s="556"/>
      <c r="D10" s="556"/>
      <c r="E10" s="556"/>
      <c r="F10" s="555" t="s">
        <v>1433</v>
      </c>
      <c r="G10" s="555"/>
      <c r="H10" s="334">
        <f t="shared" si="1"/>
        <v>0.3125</v>
      </c>
    </row>
    <row r="11" spans="1:8">
      <c r="A11" s="331">
        <v>0.58333333333333304</v>
      </c>
      <c r="B11" s="551" t="s">
        <v>1434</v>
      </c>
      <c r="C11" s="553" t="s">
        <v>1435</v>
      </c>
      <c r="D11" s="553" t="s">
        <v>1436</v>
      </c>
      <c r="E11" s="553" t="s">
        <v>1437</v>
      </c>
      <c r="F11" s="555"/>
      <c r="G11" s="552" t="s">
        <v>1438</v>
      </c>
      <c r="H11" s="334">
        <f t="shared" si="1"/>
        <v>0.33333333333333304</v>
      </c>
    </row>
    <row r="12" spans="1:8">
      <c r="A12" s="331">
        <v>0.60416666666666696</v>
      </c>
      <c r="B12" s="551"/>
      <c r="C12" s="553"/>
      <c r="D12" s="553"/>
      <c r="E12" s="553"/>
      <c r="F12" s="555" t="s">
        <v>1439</v>
      </c>
      <c r="G12" s="552"/>
      <c r="H12" s="334">
        <f t="shared" si="1"/>
        <v>0.35416666666666696</v>
      </c>
    </row>
    <row r="13" spans="1:8">
      <c r="A13" s="331">
        <v>0.625</v>
      </c>
      <c r="B13" s="551"/>
      <c r="C13" s="553"/>
      <c r="D13" s="553" t="s">
        <v>1440</v>
      </c>
      <c r="E13" s="553"/>
      <c r="F13" s="555"/>
      <c r="G13" s="552"/>
      <c r="H13" s="334">
        <f t="shared" si="1"/>
        <v>0.375</v>
      </c>
    </row>
    <row r="14" spans="1:8">
      <c r="A14" s="331">
        <v>0.64583333333333304</v>
      </c>
      <c r="B14" s="551"/>
      <c r="C14" s="553"/>
      <c r="D14" s="553"/>
      <c r="E14" s="553"/>
      <c r="F14" s="552" t="s">
        <v>1426</v>
      </c>
      <c r="G14" s="558" t="s">
        <v>1441</v>
      </c>
      <c r="H14" s="334">
        <f t="shared" si="1"/>
        <v>0.39583333333333304</v>
      </c>
    </row>
    <row r="15" spans="1:8">
      <c r="A15" s="331">
        <v>0.66666666666666696</v>
      </c>
      <c r="B15" s="551"/>
      <c r="C15" s="335" t="s">
        <v>1427</v>
      </c>
      <c r="D15" s="553"/>
      <c r="E15" s="552" t="s">
        <v>1425</v>
      </c>
      <c r="F15" s="552"/>
      <c r="G15" s="558"/>
      <c r="H15" s="334">
        <f t="shared" si="1"/>
        <v>0.41666666666666696</v>
      </c>
    </row>
    <row r="16" spans="1:8">
      <c r="A16" s="331">
        <v>0.6875</v>
      </c>
      <c r="B16" s="551"/>
      <c r="C16" s="553" t="s">
        <v>1442</v>
      </c>
      <c r="D16" s="553" t="s">
        <v>1443</v>
      </c>
      <c r="E16" s="552"/>
      <c r="F16" s="552"/>
      <c r="G16" s="558"/>
      <c r="H16" s="334">
        <f t="shared" si="1"/>
        <v>0.4375</v>
      </c>
    </row>
    <row r="17" spans="1:8">
      <c r="A17" s="331">
        <v>0.70833333333333304</v>
      </c>
      <c r="B17" s="337" t="s">
        <v>1444</v>
      </c>
      <c r="C17" s="553"/>
      <c r="D17" s="553"/>
      <c r="E17" s="552"/>
      <c r="F17" s="552"/>
      <c r="G17" s="558"/>
      <c r="H17" s="334">
        <f t="shared" si="1"/>
        <v>0.45833333333333304</v>
      </c>
    </row>
    <row r="18" spans="1:8">
      <c r="A18" s="331">
        <v>0.72916666666666663</v>
      </c>
      <c r="B18" s="338" t="s">
        <v>1424</v>
      </c>
      <c r="C18" s="333" t="s">
        <v>1424</v>
      </c>
      <c r="D18" s="333" t="s">
        <v>1424</v>
      </c>
      <c r="E18" s="333" t="s">
        <v>1424</v>
      </c>
      <c r="F18" s="333" t="s">
        <v>1424</v>
      </c>
      <c r="G18" s="558"/>
      <c r="H18" s="334">
        <f t="shared" si="1"/>
        <v>0.47916666666666663</v>
      </c>
    </row>
    <row r="19" spans="1:8" ht="15" thickBot="1">
      <c r="A19" s="339">
        <v>0.75</v>
      </c>
      <c r="B19" s="559" t="s">
        <v>930</v>
      </c>
      <c r="C19" s="560"/>
      <c r="D19" s="560"/>
      <c r="E19" s="560"/>
      <c r="F19" s="560"/>
      <c r="G19" s="560"/>
      <c r="H19" s="340">
        <f t="shared" si="1"/>
        <v>0.5</v>
      </c>
    </row>
    <row r="21" spans="1:8" ht="15" thickBot="1">
      <c r="A21" s="8" t="s">
        <v>1445</v>
      </c>
    </row>
    <row r="22" spans="1:8">
      <c r="A22" s="327" t="s">
        <v>1420</v>
      </c>
      <c r="B22" s="328">
        <f>Planning!B27</f>
        <v>44296</v>
      </c>
      <c r="C22" s="328">
        <f>B22+1</f>
        <v>44297</v>
      </c>
      <c r="D22" s="328">
        <f t="shared" ref="D22:F22" si="2">C22+1</f>
        <v>44298</v>
      </c>
      <c r="E22" s="328">
        <f t="shared" si="2"/>
        <v>44299</v>
      </c>
      <c r="F22" s="328">
        <f t="shared" si="2"/>
        <v>44300</v>
      </c>
      <c r="G22" s="328">
        <f>F22+1</f>
        <v>44301</v>
      </c>
      <c r="H22" s="330" t="s">
        <v>1421</v>
      </c>
    </row>
    <row r="23" spans="1:8" ht="28.8">
      <c r="A23" s="331">
        <v>0.41666666666666702</v>
      </c>
      <c r="B23" s="551" t="s">
        <v>1422</v>
      </c>
      <c r="C23" s="332" t="s">
        <v>1423</v>
      </c>
      <c r="D23" s="333" t="s">
        <v>1424</v>
      </c>
      <c r="E23" s="333" t="s">
        <v>1424</v>
      </c>
      <c r="F23" s="561" t="s">
        <v>1425</v>
      </c>
      <c r="G23" s="561" t="s">
        <v>1426</v>
      </c>
      <c r="H23" s="334">
        <f t="shared" ref="H23:H39" si="3">+A23-0.25</f>
        <v>0.16666666666666702</v>
      </c>
    </row>
    <row r="24" spans="1:8">
      <c r="A24" s="331">
        <v>0.4375</v>
      </c>
      <c r="B24" s="551"/>
      <c r="C24" s="335" t="s">
        <v>1427</v>
      </c>
      <c r="D24" s="553" t="s">
        <v>1428</v>
      </c>
      <c r="E24" s="553" t="s">
        <v>1429</v>
      </c>
      <c r="F24" s="562"/>
      <c r="G24" s="562"/>
      <c r="H24" s="334">
        <f t="shared" si="3"/>
        <v>0.1875</v>
      </c>
    </row>
    <row r="25" spans="1:8">
      <c r="A25" s="331">
        <v>0.45833333333333398</v>
      </c>
      <c r="B25" s="554" t="s">
        <v>1430</v>
      </c>
      <c r="C25" s="555" t="s">
        <v>1431</v>
      </c>
      <c r="D25" s="553"/>
      <c r="E25" s="553"/>
      <c r="F25" s="562"/>
      <c r="G25" s="562"/>
      <c r="H25" s="334">
        <f t="shared" si="3"/>
        <v>0.20833333333333398</v>
      </c>
    </row>
    <row r="26" spans="1:8">
      <c r="A26" s="331">
        <v>0.47916666666666702</v>
      </c>
      <c r="B26" s="554"/>
      <c r="C26" s="555"/>
      <c r="D26" s="553"/>
      <c r="E26" s="553"/>
      <c r="F26" s="562"/>
      <c r="G26" s="562"/>
      <c r="H26" s="334">
        <f t="shared" si="3"/>
        <v>0.22916666666666702</v>
      </c>
    </row>
    <row r="27" spans="1:8">
      <c r="A27" s="331">
        <v>0.5</v>
      </c>
      <c r="B27" s="554"/>
      <c r="C27" s="553" t="s">
        <v>1432</v>
      </c>
      <c r="D27" s="553"/>
      <c r="E27" s="553"/>
      <c r="F27" s="562"/>
      <c r="G27" s="562"/>
      <c r="H27" s="334">
        <f t="shared" si="3"/>
        <v>0.25</v>
      </c>
    </row>
    <row r="28" spans="1:8" ht="28.8">
      <c r="A28" s="331">
        <v>0.52083333333333404</v>
      </c>
      <c r="B28" s="336" t="s">
        <v>1422</v>
      </c>
      <c r="C28" s="553"/>
      <c r="D28" s="553"/>
      <c r="E28" s="553"/>
      <c r="F28" s="563"/>
      <c r="G28" s="563"/>
      <c r="H28" s="334">
        <f t="shared" si="3"/>
        <v>0.27083333333333404</v>
      </c>
    </row>
    <row r="29" spans="1:8">
      <c r="A29" s="331">
        <v>0.54166666666666696</v>
      </c>
      <c r="B29" s="557" t="s">
        <v>928</v>
      </c>
      <c r="C29" s="556" t="s">
        <v>928</v>
      </c>
      <c r="D29" s="556" t="s">
        <v>928</v>
      </c>
      <c r="E29" s="556" t="s">
        <v>928</v>
      </c>
      <c r="F29" s="556" t="s">
        <v>928</v>
      </c>
      <c r="G29" s="556" t="s">
        <v>928</v>
      </c>
      <c r="H29" s="334">
        <f t="shared" si="3"/>
        <v>0.29166666666666696</v>
      </c>
    </row>
    <row r="30" spans="1:8">
      <c r="A30" s="331">
        <v>0.5625</v>
      </c>
      <c r="B30" s="557"/>
      <c r="C30" s="556"/>
      <c r="D30" s="556"/>
      <c r="E30" s="556"/>
      <c r="F30" s="556"/>
      <c r="G30" s="556"/>
      <c r="H30" s="334">
        <f t="shared" si="3"/>
        <v>0.3125</v>
      </c>
    </row>
    <row r="31" spans="1:8">
      <c r="A31" s="331">
        <v>0.58333333333333304</v>
      </c>
      <c r="B31" s="561" t="s">
        <v>1434</v>
      </c>
      <c r="C31" s="553" t="s">
        <v>1435</v>
      </c>
      <c r="D31" s="553" t="s">
        <v>1436</v>
      </c>
      <c r="E31" s="553" t="s">
        <v>1437</v>
      </c>
      <c r="F31" s="333" t="s">
        <v>1427</v>
      </c>
      <c r="G31" s="333" t="s">
        <v>1427</v>
      </c>
      <c r="H31" s="334">
        <f t="shared" si="3"/>
        <v>0.33333333333333304</v>
      </c>
    </row>
    <row r="32" spans="1:8">
      <c r="A32" s="331">
        <v>0.60416666666666696</v>
      </c>
      <c r="B32" s="562"/>
      <c r="C32" s="553"/>
      <c r="D32" s="553"/>
      <c r="E32" s="553"/>
      <c r="F32" s="555" t="s">
        <v>1433</v>
      </c>
      <c r="G32" s="555" t="s">
        <v>1641</v>
      </c>
      <c r="H32" s="334">
        <f t="shared" si="3"/>
        <v>0.35416666666666696</v>
      </c>
    </row>
    <row r="33" spans="1:8">
      <c r="A33" s="331">
        <v>0.625</v>
      </c>
      <c r="B33" s="562"/>
      <c r="C33" s="553"/>
      <c r="D33" s="553" t="s">
        <v>1440</v>
      </c>
      <c r="E33" s="553"/>
      <c r="F33" s="555"/>
      <c r="G33" s="555"/>
      <c r="H33" s="334">
        <f t="shared" si="3"/>
        <v>0.375</v>
      </c>
    </row>
    <row r="34" spans="1:8">
      <c r="A34" s="331">
        <v>0.64583333333333304</v>
      </c>
      <c r="B34" s="562"/>
      <c r="C34" s="553"/>
      <c r="D34" s="553"/>
      <c r="E34" s="553"/>
      <c r="F34" s="555" t="s">
        <v>1439</v>
      </c>
      <c r="G34" s="564" t="s">
        <v>1446</v>
      </c>
      <c r="H34" s="334">
        <f t="shared" si="3"/>
        <v>0.39583333333333304</v>
      </c>
    </row>
    <row r="35" spans="1:8">
      <c r="A35" s="331">
        <v>0.66666666666666696</v>
      </c>
      <c r="B35" s="563"/>
      <c r="C35" s="335" t="s">
        <v>1427</v>
      </c>
      <c r="D35" s="553"/>
      <c r="E35" s="552" t="s">
        <v>1425</v>
      </c>
      <c r="F35" s="555"/>
      <c r="G35" s="565"/>
      <c r="H35" s="334">
        <f t="shared" si="3"/>
        <v>0.41666666666666696</v>
      </c>
    </row>
    <row r="36" spans="1:8">
      <c r="A36" s="331">
        <v>0.6875</v>
      </c>
      <c r="B36" s="341" t="s">
        <v>1447</v>
      </c>
      <c r="C36" s="553" t="s">
        <v>1442</v>
      </c>
      <c r="D36" s="553" t="s">
        <v>1443</v>
      </c>
      <c r="E36" s="552"/>
      <c r="F36" s="561" t="s">
        <v>1426</v>
      </c>
      <c r="G36" s="564" t="s">
        <v>1448</v>
      </c>
      <c r="H36" s="334">
        <f t="shared" si="3"/>
        <v>0.4375</v>
      </c>
    </row>
    <row r="37" spans="1:8">
      <c r="A37" s="331">
        <v>0.70833333333333304</v>
      </c>
      <c r="B37" s="337" t="s">
        <v>1444</v>
      </c>
      <c r="C37" s="553"/>
      <c r="D37" s="553"/>
      <c r="E37" s="552"/>
      <c r="F37" s="563"/>
      <c r="G37" s="565"/>
      <c r="H37" s="334">
        <f t="shared" si="3"/>
        <v>0.45833333333333304</v>
      </c>
    </row>
    <row r="38" spans="1:8">
      <c r="A38" s="331">
        <v>0.72916666666666663</v>
      </c>
      <c r="B38" s="338" t="s">
        <v>1424</v>
      </c>
      <c r="C38" s="333" t="s">
        <v>1424</v>
      </c>
      <c r="D38" s="333" t="s">
        <v>1424</v>
      </c>
      <c r="E38" s="333" t="s">
        <v>1424</v>
      </c>
      <c r="F38" s="333" t="s">
        <v>1424</v>
      </c>
      <c r="G38" s="566"/>
      <c r="H38" s="334">
        <f t="shared" si="3"/>
        <v>0.47916666666666663</v>
      </c>
    </row>
    <row r="39" spans="1:8" ht="15" thickBot="1">
      <c r="A39" s="339">
        <v>0.75</v>
      </c>
      <c r="B39" s="559" t="s">
        <v>930</v>
      </c>
      <c r="C39" s="560"/>
      <c r="D39" s="560"/>
      <c r="E39" s="560"/>
      <c r="F39" s="560"/>
      <c r="G39" s="560"/>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1613</v>
      </c>
    </row>
    <row r="25" spans="1:24">
      <c r="C25" s="413" t="s">
        <v>1614</v>
      </c>
    </row>
    <row r="26" spans="1:24">
      <c r="C26" s="148" t="s">
        <v>1615</v>
      </c>
    </row>
    <row r="27" spans="1:24">
      <c r="C27" s="280" t="s">
        <v>1616</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1402</v>
      </c>
      <c r="B1" s="117"/>
      <c r="C1" s="117"/>
      <c r="D1" s="117"/>
    </row>
    <row r="2" spans="1:22" s="116" customFormat="1">
      <c r="A2" s="28" t="s">
        <v>1391</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1392</v>
      </c>
      <c r="C3" s="325" t="s">
        <v>1393</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1371</v>
      </c>
      <c r="B7" s="64">
        <v>6</v>
      </c>
      <c r="C7" s="325" t="str">
        <f t="shared" si="0"/>
        <v>Engineers (6)</v>
      </c>
    </row>
    <row r="8" spans="1:22">
      <c r="A8" s="124" t="s">
        <v>1390</v>
      </c>
      <c r="B8" s="64">
        <v>1</v>
      </c>
      <c r="C8" s="325" t="str">
        <f t="shared" si="0"/>
        <v>EPG (1)</v>
      </c>
    </row>
    <row r="9" spans="1:22">
      <c r="A9" s="124" t="s">
        <v>745</v>
      </c>
      <c r="B9" s="64">
        <v>1</v>
      </c>
      <c r="C9" s="325" t="str">
        <f t="shared" si="0"/>
        <v>OT (1)</v>
      </c>
    </row>
    <row r="10" spans="1:22">
      <c r="A10" s="124" t="s">
        <v>1395</v>
      </c>
      <c r="B10" s="64">
        <v>1</v>
      </c>
      <c r="C10" s="325" t="str">
        <f t="shared" si="0"/>
        <v>OUC (1)</v>
      </c>
    </row>
    <row r="11" spans="1:22">
      <c r="A11" s="124" t="s">
        <v>1378</v>
      </c>
      <c r="B11" s="64">
        <v>2</v>
      </c>
      <c r="C11" s="325" t="str">
        <f t="shared" si="0"/>
        <v>PMs (2)</v>
      </c>
    </row>
    <row r="12" spans="1:22">
      <c r="A12" s="124" t="s">
        <v>744</v>
      </c>
      <c r="B12" s="64">
        <v>1</v>
      </c>
      <c r="C12" s="325" t="str">
        <f t="shared" si="0"/>
        <v>PPQA (1)</v>
      </c>
    </row>
    <row r="13" spans="1:22">
      <c r="A13" s="124" t="s">
        <v>1394</v>
      </c>
      <c r="B13" s="64">
        <v>2</v>
      </c>
      <c r="C13" s="325" t="str">
        <f t="shared" si="0"/>
        <v>SM (2)</v>
      </c>
    </row>
    <row r="14" spans="1:22">
      <c r="A14" s="124" t="s">
        <v>592</v>
      </c>
      <c r="B14" s="64">
        <v>1</v>
      </c>
      <c r="C14" s="325" t="str">
        <f t="shared" si="0"/>
        <v>Sponsor (1)</v>
      </c>
    </row>
    <row r="15" spans="1:22">
      <c r="A15" s="124" t="s">
        <v>1396</v>
      </c>
      <c r="B15" s="64">
        <v>1</v>
      </c>
      <c r="C15" s="325" t="str">
        <f t="shared" si="0"/>
        <v>RI (1)</v>
      </c>
    </row>
    <row r="16" spans="1:22">
      <c r="A16" s="124" t="s">
        <v>1397</v>
      </c>
      <c r="B16" s="325">
        <f>B7+B6</f>
        <v>7</v>
      </c>
      <c r="C16" s="325" t="str">
        <f t="shared" si="0"/>
        <v>ParticipantsPrelim1 (7)</v>
      </c>
    </row>
    <row r="17" spans="1:22">
      <c r="A17" s="124" t="s">
        <v>1398</v>
      </c>
      <c r="B17" s="325">
        <f>B8+B9+B11+B12</f>
        <v>5</v>
      </c>
      <c r="C17" s="325" t="str">
        <f t="shared" si="0"/>
        <v>ParticipantsPrelim2 (5)</v>
      </c>
    </row>
    <row r="18" spans="1:22">
      <c r="A18" s="124" t="s">
        <v>1401</v>
      </c>
      <c r="B18" s="64">
        <v>5</v>
      </c>
      <c r="C18" s="325" t="str">
        <f t="shared" si="0"/>
        <v>ParticipantsTechTest (5)</v>
      </c>
    </row>
    <row r="19" spans="1:22">
      <c r="A19" s="124" t="s">
        <v>1399</v>
      </c>
      <c r="B19" s="325">
        <f>B13+B12+B11+B10+B9+B7+B6+B5</f>
        <v>18</v>
      </c>
      <c r="C19" s="325" t="str">
        <f t="shared" si="0"/>
        <v>ParticipantsOpen (18)</v>
      </c>
    </row>
    <row r="20" spans="1:22">
      <c r="A20" s="124" t="s">
        <v>1400</v>
      </c>
      <c r="B20" s="325">
        <f>B14+B13+B12+B11+B10+B8+B7+B6</f>
        <v>15</v>
      </c>
      <c r="C20" s="325" t="str">
        <f t="shared" si="0"/>
        <v>ParticipantsFinal (15)</v>
      </c>
    </row>
    <row r="21" spans="1:22" s="236" customFormat="1">
      <c r="B21" s="326"/>
      <c r="C21" s="326"/>
    </row>
    <row r="22" spans="1:22" s="116" customFormat="1">
      <c r="A22" s="28" t="s">
        <v>1403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1361</v>
      </c>
      <c r="B23" s="14" t="s">
        <v>1362</v>
      </c>
      <c r="C23" s="14" t="s">
        <v>1363</v>
      </c>
      <c r="D23" s="14" t="s">
        <v>1364</v>
      </c>
    </row>
    <row r="24" spans="1:22">
      <c r="A24" s="124" t="s">
        <v>1365</v>
      </c>
      <c r="B24" s="86" t="str">
        <f>C4</f>
        <v>ATL (1)</v>
      </c>
      <c r="C24" s="124" t="s">
        <v>1366</v>
      </c>
      <c r="D24" s="124">
        <v>120</v>
      </c>
    </row>
    <row r="25" spans="1:22">
      <c r="A25" s="124" t="s">
        <v>1365</v>
      </c>
      <c r="B25" s="86" t="str">
        <f>C5</f>
        <v>ATM (4)</v>
      </c>
      <c r="C25" s="124" t="s">
        <v>1366</v>
      </c>
      <c r="D25" s="124">
        <v>8</v>
      </c>
    </row>
    <row r="26" spans="1:22">
      <c r="A26" s="124" t="s">
        <v>1367</v>
      </c>
      <c r="B26" s="86" t="str">
        <f>_xlfn.CONCAT(C4,", ",C5,", ",C15)</f>
        <v>ATL (1), ATM (4), RI (1)</v>
      </c>
      <c r="C26" s="124" t="s">
        <v>1368</v>
      </c>
      <c r="D26" s="124">
        <v>8</v>
      </c>
    </row>
    <row r="27" spans="1:22">
      <c r="A27" s="124" t="s">
        <v>743</v>
      </c>
      <c r="B27" s="86" t="str">
        <f>_xlfn.CONCAT(B26,", ",C6)</f>
        <v>ATL (1), ATM (4), RI (1), CM (1)</v>
      </c>
      <c r="C27" s="124" t="s">
        <v>607</v>
      </c>
      <c r="D27" s="124">
        <v>1</v>
      </c>
    </row>
    <row r="28" spans="1:22">
      <c r="A28" s="124" t="s">
        <v>1369</v>
      </c>
      <c r="B28" s="86" t="str">
        <f>B26</f>
        <v>ATL (1), ATM (4), RI (1)</v>
      </c>
      <c r="C28" s="124" t="s">
        <v>1370</v>
      </c>
      <c r="D28" s="124">
        <v>12</v>
      </c>
    </row>
    <row r="29" spans="1:22">
      <c r="A29" s="124" t="s">
        <v>1371</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1372</v>
      </c>
      <c r="B32" s="86" t="str">
        <f>B26</f>
        <v>ATL (1), ATM (4), RI (1)</v>
      </c>
      <c r="C32" s="124" t="s">
        <v>1373</v>
      </c>
      <c r="D32" s="124">
        <v>24</v>
      </c>
    </row>
    <row r="33" spans="1:4">
      <c r="A33" s="124" t="s">
        <v>1374</v>
      </c>
      <c r="B33" s="86" t="str">
        <f>_xlfn.CONCAT(C4,", ",C15,", ",C10,", ",C8)</f>
        <v>ATL (1), RI (1), OUC (1), EPG (1)</v>
      </c>
      <c r="C33" s="124" t="s">
        <v>1375</v>
      </c>
      <c r="D33" s="124">
        <v>40</v>
      </c>
    </row>
    <row r="34" spans="1:4">
      <c r="A34" s="124" t="s">
        <v>1376</v>
      </c>
      <c r="B34" s="86" t="str">
        <f>_xlfn.CONCAT(C4,", ",C15,", ",C10,", ",C8)</f>
        <v>ATL (1), RI (1), OUC (1), EPG (1)</v>
      </c>
      <c r="C34" s="124" t="s">
        <v>1375</v>
      </c>
      <c r="D34" s="124">
        <v>120</v>
      </c>
    </row>
    <row r="35" spans="1:4">
      <c r="A35" s="124" t="s">
        <v>626</v>
      </c>
      <c r="B35" s="86" t="str">
        <f>_xlfn.CONCAT(B26,", ",C19,", ",C14)</f>
        <v>ATL (1), ATM (4), RI (1), ParticipantsOpen (18), Sponsor (1)</v>
      </c>
      <c r="C35" s="124" t="s">
        <v>1377</v>
      </c>
      <c r="D35" s="124">
        <v>1</v>
      </c>
    </row>
    <row r="36" spans="1:4">
      <c r="A36" s="124" t="s">
        <v>745</v>
      </c>
      <c r="B36" s="86" t="str">
        <f>_xlfn.CONCAT(B26,", ",C9)</f>
        <v>ATL (1), ATM (4), RI (1), OT (1)</v>
      </c>
      <c r="C36" s="124" t="s">
        <v>607</v>
      </c>
      <c r="D36" s="124">
        <v>1</v>
      </c>
    </row>
    <row r="37" spans="1:4">
      <c r="A37" s="124" t="s">
        <v>1378</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1379</v>
      </c>
      <c r="B39" s="86" t="str">
        <f>_xlfn.CONCAT(B26,", ",C16)</f>
        <v>ATL (1), ATM (4), RI (1), ParticipantsPrelim1 (7)</v>
      </c>
      <c r="C39" s="124" t="s">
        <v>747</v>
      </c>
      <c r="D39" s="124">
        <v>1</v>
      </c>
    </row>
    <row r="40" spans="1:4">
      <c r="A40" s="124" t="s">
        <v>1380</v>
      </c>
      <c r="B40" s="86" t="str">
        <f>_xlfn.CONCAT(B26,", ",C17)</f>
        <v>ATL (1), ATM (4), RI (1), ParticipantsPrelim2 (5)</v>
      </c>
      <c r="C40" s="124" t="s">
        <v>747</v>
      </c>
      <c r="D40" s="124">
        <v>1</v>
      </c>
    </row>
    <row r="41" spans="1:4">
      <c r="A41" s="124" t="s">
        <v>1381</v>
      </c>
      <c r="B41" s="86" t="str">
        <f>B26</f>
        <v>ATL (1), ATM (4), RI (1)</v>
      </c>
      <c r="C41" s="124" t="s">
        <v>1382</v>
      </c>
      <c r="D41" s="124">
        <v>4</v>
      </c>
    </row>
    <row r="42" spans="1:4">
      <c r="A42" s="124" t="s">
        <v>1383</v>
      </c>
      <c r="B42" s="86" t="str">
        <f>B26</f>
        <v>ATL (1), ATM (4), RI (1)</v>
      </c>
      <c r="C42" s="124" t="s">
        <v>1382</v>
      </c>
      <c r="D42" s="124">
        <v>8</v>
      </c>
    </row>
    <row r="43" spans="1:4">
      <c r="A43" s="124" t="s">
        <v>1384</v>
      </c>
      <c r="B43" s="86" t="str">
        <f>_xlfn.CONCAT(B26,", ",C20,", ",C14)</f>
        <v>ATL (1), ATM (4), RI (1), ParticipantsFinal (15), Sponsor (1)</v>
      </c>
      <c r="C43" s="124" t="s">
        <v>1385</v>
      </c>
      <c r="D43" s="124">
        <v>4</v>
      </c>
    </row>
    <row r="44" spans="1:4">
      <c r="A44" s="124" t="s">
        <v>923</v>
      </c>
      <c r="B44" s="86" t="str">
        <f>B26</f>
        <v>ATL (1), ATM (4), RI (1)</v>
      </c>
      <c r="C44" s="124" t="s">
        <v>1386</v>
      </c>
      <c r="D44" s="124">
        <v>18</v>
      </c>
    </row>
    <row r="45" spans="1:4">
      <c r="A45" s="124" t="s">
        <v>1387</v>
      </c>
      <c r="B45" s="86" t="str">
        <f>_xlfn.CONCAT(B26,", ",C13)</f>
        <v>ATL (1), ATM (4), RI (1), SM (2)</v>
      </c>
      <c r="C45" s="124" t="s">
        <v>607</v>
      </c>
      <c r="D45" s="124">
        <v>1</v>
      </c>
    </row>
    <row r="46" spans="1:4">
      <c r="A46" s="124" t="s">
        <v>1388</v>
      </c>
      <c r="B46" s="86" t="str">
        <f>_xlfn.CONCAT(B26,", ",C14)</f>
        <v>ATL (1), ATM (4), RI (1), Sponsor (1)</v>
      </c>
      <c r="C46" s="124" t="s">
        <v>1366</v>
      </c>
      <c r="D46" s="124">
        <v>5</v>
      </c>
    </row>
    <row r="47" spans="1:4">
      <c r="A47" s="124" t="s">
        <v>1389</v>
      </c>
      <c r="B47" s="86" t="str">
        <f>_xlfn.CONCAT(B26,", ",C18)</f>
        <v>ATL (1), ATM (4), RI (1), ParticipantsTechTest (5)</v>
      </c>
      <c r="C47" s="124" t="s">
        <v>1389</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1310</v>
      </c>
      <c r="B1" t="s">
        <v>1293</v>
      </c>
      <c r="C1" s="279" t="s">
        <v>1294</v>
      </c>
      <c r="D1" t="s">
        <v>1311</v>
      </c>
      <c r="E1" t="s">
        <v>1312</v>
      </c>
      <c r="F1" s="279" t="s">
        <v>1297</v>
      </c>
      <c r="G1" s="279" t="s">
        <v>1298</v>
      </c>
      <c r="H1" t="s">
        <v>1313</v>
      </c>
      <c r="I1" t="s">
        <v>1314</v>
      </c>
      <c r="J1" t="s">
        <v>1315</v>
      </c>
      <c r="K1" t="s">
        <v>31</v>
      </c>
      <c r="L1" t="s">
        <v>32</v>
      </c>
      <c r="M1" t="s">
        <v>33</v>
      </c>
      <c r="N1" t="s">
        <v>34</v>
      </c>
      <c r="O1" t="s">
        <v>35</v>
      </c>
      <c r="P1" t="s">
        <v>17</v>
      </c>
    </row>
    <row r="2" spans="1:16">
      <c r="A2" t="s">
        <v>1333</v>
      </c>
      <c r="B2" t="s">
        <v>1317</v>
      </c>
      <c r="C2">
        <v>1</v>
      </c>
      <c r="D2" t="s">
        <v>1513</v>
      </c>
      <c r="E2" t="s">
        <v>388</v>
      </c>
      <c r="H2" t="s">
        <v>1331</v>
      </c>
      <c r="I2" t="s">
        <v>388</v>
      </c>
      <c r="J2" t="s">
        <v>1537</v>
      </c>
      <c r="K2" t="s">
        <v>1569</v>
      </c>
      <c r="L2" t="s">
        <v>1568</v>
      </c>
      <c r="M2" t="s">
        <v>1556</v>
      </c>
      <c r="N2" t="s">
        <v>1557</v>
      </c>
      <c r="O2" t="s">
        <v>1573</v>
      </c>
      <c r="P2" t="s">
        <v>18</v>
      </c>
    </row>
    <row r="3" spans="1:16">
      <c r="A3" t="s">
        <v>1334</v>
      </c>
      <c r="B3" t="s">
        <v>1317</v>
      </c>
      <c r="C3">
        <v>2</v>
      </c>
      <c r="D3" t="s">
        <v>1514</v>
      </c>
      <c r="E3" t="s">
        <v>388</v>
      </c>
      <c r="H3" t="s">
        <v>1331</v>
      </c>
      <c r="I3" t="s">
        <v>388</v>
      </c>
      <c r="J3" t="s">
        <v>1538</v>
      </c>
      <c r="K3" t="s">
        <v>1569</v>
      </c>
      <c r="L3" t="s">
        <v>1568</v>
      </c>
      <c r="M3" t="s">
        <v>1556</v>
      </c>
      <c r="N3" t="s">
        <v>1557</v>
      </c>
      <c r="O3" t="s">
        <v>1573</v>
      </c>
      <c r="P3" t="s">
        <v>18</v>
      </c>
    </row>
    <row r="4" spans="1:16">
      <c r="A4" t="s">
        <v>1335</v>
      </c>
      <c r="B4" t="s">
        <v>1317</v>
      </c>
      <c r="C4">
        <v>1</v>
      </c>
      <c r="D4" t="s">
        <v>1515</v>
      </c>
      <c r="E4" t="s">
        <v>388</v>
      </c>
      <c r="H4" t="s">
        <v>1331</v>
      </c>
      <c r="I4" t="s">
        <v>388</v>
      </c>
      <c r="J4" t="s">
        <v>1539</v>
      </c>
      <c r="K4" t="s">
        <v>1569</v>
      </c>
      <c r="L4" t="s">
        <v>1568</v>
      </c>
      <c r="M4" t="s">
        <v>1556</v>
      </c>
      <c r="N4" t="s">
        <v>1557</v>
      </c>
      <c r="O4" t="s">
        <v>1573</v>
      </c>
      <c r="P4" t="s">
        <v>18</v>
      </c>
    </row>
    <row r="5" spans="1:16">
      <c r="A5" t="s">
        <v>1336</v>
      </c>
      <c r="B5" t="s">
        <v>1317</v>
      </c>
      <c r="C5">
        <v>1</v>
      </c>
      <c r="D5" t="s">
        <v>1516</v>
      </c>
      <c r="E5" t="s">
        <v>388</v>
      </c>
      <c r="H5" t="s">
        <v>1331</v>
      </c>
      <c r="I5" t="s">
        <v>388</v>
      </c>
      <c r="J5" t="s">
        <v>1540</v>
      </c>
      <c r="K5" t="s">
        <v>1569</v>
      </c>
      <c r="L5" t="s">
        <v>1568</v>
      </c>
      <c r="M5" t="s">
        <v>1556</v>
      </c>
      <c r="N5" t="s">
        <v>1557</v>
      </c>
      <c r="O5" t="s">
        <v>1573</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1292</v>
      </c>
      <c r="B1" t="s">
        <v>1293</v>
      </c>
      <c r="C1" s="279" t="s">
        <v>1294</v>
      </c>
      <c r="D1" t="s">
        <v>1295</v>
      </c>
      <c r="E1" t="s">
        <v>1296</v>
      </c>
      <c r="F1" s="279" t="s">
        <v>1297</v>
      </c>
      <c r="G1" s="279" t="s">
        <v>1298</v>
      </c>
      <c r="H1" t="s">
        <v>1299</v>
      </c>
      <c r="I1" s="279" t="s">
        <v>1300</v>
      </c>
      <c r="J1" s="279" t="s">
        <v>1301</v>
      </c>
      <c r="K1" s="279" t="s">
        <v>1302</v>
      </c>
      <c r="L1" s="279" t="s">
        <v>1303</v>
      </c>
      <c r="M1" t="s">
        <v>1304</v>
      </c>
      <c r="N1" s="279" t="s">
        <v>1305</v>
      </c>
      <c r="O1" t="s">
        <v>1306</v>
      </c>
      <c r="P1" t="s">
        <v>32</v>
      </c>
      <c r="Q1" t="s">
        <v>1307</v>
      </c>
      <c r="R1" t="s">
        <v>34</v>
      </c>
      <c r="S1" t="s">
        <v>35</v>
      </c>
      <c r="T1" t="s">
        <v>1308</v>
      </c>
    </row>
    <row r="2" spans="1:20" ht="24" customHeight="1">
      <c r="A2" t="s">
        <v>1506</v>
      </c>
      <c r="C2">
        <v>5</v>
      </c>
      <c r="D2" t="s">
        <v>1505</v>
      </c>
      <c r="E2" t="s">
        <v>388</v>
      </c>
      <c r="H2" t="s">
        <v>1331</v>
      </c>
      <c r="I2" t="s">
        <v>1320</v>
      </c>
      <c r="J2" t="s">
        <v>1134</v>
      </c>
      <c r="K2" s="319">
        <v>44021</v>
      </c>
      <c r="L2" s="319">
        <v>44260</v>
      </c>
      <c r="M2" t="s">
        <v>388</v>
      </c>
      <c r="N2" t="s">
        <v>1521</v>
      </c>
      <c r="O2" t="s">
        <v>1569</v>
      </c>
      <c r="P2" t="s">
        <v>1568</v>
      </c>
      <c r="Q2" t="s">
        <v>1556</v>
      </c>
      <c r="R2" t="s">
        <v>1557</v>
      </c>
      <c r="S2" t="s">
        <v>1573</v>
      </c>
      <c r="T2" t="s">
        <v>18</v>
      </c>
    </row>
    <row r="3" spans="1:20" ht="24" customHeight="1">
      <c r="A3" t="s">
        <v>1507</v>
      </c>
      <c r="C3">
        <v>5</v>
      </c>
      <c r="D3" t="s">
        <v>1508</v>
      </c>
      <c r="E3" t="s">
        <v>388</v>
      </c>
      <c r="H3" t="s">
        <v>1331</v>
      </c>
      <c r="I3" t="s">
        <v>1320</v>
      </c>
      <c r="J3" t="s">
        <v>1134</v>
      </c>
      <c r="K3" s="319">
        <v>44086</v>
      </c>
      <c r="L3" s="319">
        <v>44258</v>
      </c>
      <c r="M3" t="s">
        <v>388</v>
      </c>
      <c r="N3" t="s">
        <v>1526</v>
      </c>
      <c r="O3" t="s">
        <v>1569</v>
      </c>
      <c r="P3" t="s">
        <v>1568</v>
      </c>
      <c r="Q3" t="s">
        <v>1556</v>
      </c>
      <c r="R3" t="s">
        <v>1557</v>
      </c>
      <c r="S3" t="s">
        <v>1573</v>
      </c>
      <c r="T3" t="s">
        <v>18</v>
      </c>
    </row>
    <row r="4" spans="1:20" ht="24" customHeight="1">
      <c r="A4" t="s">
        <v>1509</v>
      </c>
      <c r="C4">
        <v>5</v>
      </c>
      <c r="D4" t="s">
        <v>1510</v>
      </c>
      <c r="E4" t="s">
        <v>388</v>
      </c>
      <c r="H4" t="s">
        <v>1331</v>
      </c>
      <c r="I4" t="s">
        <v>1320</v>
      </c>
      <c r="J4" t="s">
        <v>1134</v>
      </c>
      <c r="K4" s="319">
        <v>44062</v>
      </c>
      <c r="L4" s="319">
        <v>44247</v>
      </c>
      <c r="M4" t="s">
        <v>388</v>
      </c>
      <c r="N4" t="s">
        <v>1531</v>
      </c>
      <c r="O4" t="s">
        <v>1569</v>
      </c>
      <c r="P4" t="s">
        <v>1568</v>
      </c>
      <c r="Q4" t="s">
        <v>1556</v>
      </c>
      <c r="R4" t="s">
        <v>1557</v>
      </c>
      <c r="S4" t="s">
        <v>1573</v>
      </c>
      <c r="T4" t="s">
        <v>18</v>
      </c>
    </row>
    <row r="5" spans="1:20" ht="24" customHeight="1">
      <c r="A5" t="s">
        <v>1511</v>
      </c>
      <c r="C5">
        <v>5</v>
      </c>
      <c r="D5" t="s">
        <v>1512</v>
      </c>
      <c r="E5" t="s">
        <v>388</v>
      </c>
      <c r="H5" t="s">
        <v>1331</v>
      </c>
      <c r="I5" t="s">
        <v>1320</v>
      </c>
      <c r="J5" t="s">
        <v>1134</v>
      </c>
      <c r="K5" s="319">
        <v>44116</v>
      </c>
      <c r="L5" s="319">
        <v>44265</v>
      </c>
      <c r="M5" t="s">
        <v>388</v>
      </c>
      <c r="N5" t="s">
        <v>1536</v>
      </c>
      <c r="O5" t="s">
        <v>1569</v>
      </c>
      <c r="P5" t="s">
        <v>1568</v>
      </c>
      <c r="Q5" t="s">
        <v>1556</v>
      </c>
      <c r="R5" t="s">
        <v>1557</v>
      </c>
      <c r="S5" t="s">
        <v>1573</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1270</v>
      </c>
      <c r="B1" t="s">
        <v>1271</v>
      </c>
      <c r="C1" t="s">
        <v>1272</v>
      </c>
    </row>
    <row r="2" spans="1:3">
      <c r="A2" t="s">
        <v>1519</v>
      </c>
      <c r="B2" t="s">
        <v>1139</v>
      </c>
      <c r="C2" t="s">
        <v>1331</v>
      </c>
    </row>
    <row r="3" spans="1:3">
      <c r="A3" t="s">
        <v>1518</v>
      </c>
      <c r="B3" t="s">
        <v>903</v>
      </c>
      <c r="C3" t="s">
        <v>1331</v>
      </c>
    </row>
    <row r="4" spans="1:3">
      <c r="A4" t="s">
        <v>1522</v>
      </c>
      <c r="B4" t="s">
        <v>902</v>
      </c>
      <c r="C4" t="s">
        <v>1331</v>
      </c>
    </row>
    <row r="5" spans="1:3">
      <c r="A5" t="s">
        <v>1524</v>
      </c>
      <c r="B5" t="s">
        <v>1139</v>
      </c>
      <c r="C5" t="s">
        <v>1331</v>
      </c>
    </row>
    <row r="6" spans="1:3">
      <c r="A6" t="s">
        <v>1531</v>
      </c>
      <c r="B6" t="s">
        <v>1342</v>
      </c>
      <c r="C6" t="s">
        <v>1331</v>
      </c>
    </row>
    <row r="7" spans="1:3">
      <c r="A7" t="s">
        <v>1536</v>
      </c>
      <c r="B7" t="s">
        <v>1342</v>
      </c>
      <c r="C7" t="s">
        <v>1331</v>
      </c>
    </row>
    <row r="8" spans="1:3">
      <c r="A8" t="s">
        <v>1537</v>
      </c>
      <c r="B8" t="s">
        <v>1341</v>
      </c>
      <c r="C8" t="s">
        <v>1331</v>
      </c>
    </row>
    <row r="9" spans="1:3">
      <c r="A9" t="s">
        <v>1538</v>
      </c>
      <c r="B9" t="s">
        <v>1343</v>
      </c>
      <c r="C9" t="s">
        <v>1331</v>
      </c>
    </row>
    <row r="10" spans="1:3">
      <c r="A10" t="s">
        <v>1539</v>
      </c>
      <c r="B10" t="s">
        <v>1340</v>
      </c>
      <c r="C10" t="s">
        <v>1331</v>
      </c>
    </row>
    <row r="11" spans="1:3">
      <c r="A11" t="s">
        <v>1540</v>
      </c>
      <c r="B11" t="s">
        <v>1224</v>
      </c>
      <c r="C11" t="s">
        <v>1331</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1506</v>
      </c>
      <c r="C1" t="s">
        <v>1507</v>
      </c>
      <c r="D1" t="s">
        <v>1509</v>
      </c>
      <c r="E1" t="s">
        <v>1511</v>
      </c>
      <c r="F1" t="s">
        <v>1333</v>
      </c>
      <c r="G1" t="s">
        <v>1334</v>
      </c>
      <c r="H1" t="s">
        <v>1335</v>
      </c>
      <c r="I1" t="s">
        <v>1336</v>
      </c>
    </row>
    <row r="2" spans="1:9">
      <c r="A2" t="s">
        <v>1519</v>
      </c>
      <c r="B2" t="s">
        <v>1289</v>
      </c>
    </row>
    <row r="3" spans="1:9">
      <c r="A3" t="s">
        <v>1518</v>
      </c>
      <c r="B3" t="s">
        <v>1289</v>
      </c>
    </row>
    <row r="4" spans="1:9">
      <c r="A4" t="s">
        <v>1522</v>
      </c>
      <c r="C4" t="s">
        <v>1289</v>
      </c>
    </row>
    <row r="5" spans="1:9">
      <c r="A5" t="s">
        <v>1524</v>
      </c>
      <c r="C5" t="s">
        <v>1289</v>
      </c>
    </row>
    <row r="6" spans="1:9">
      <c r="A6" t="s">
        <v>1531</v>
      </c>
      <c r="D6" t="s">
        <v>1289</v>
      </c>
    </row>
    <row r="7" spans="1:9">
      <c r="A7" t="s">
        <v>1536</v>
      </c>
      <c r="E7" t="s">
        <v>1289</v>
      </c>
    </row>
    <row r="8" spans="1:9">
      <c r="A8" t="s">
        <v>1537</v>
      </c>
      <c r="F8" t="s">
        <v>1289</v>
      </c>
    </row>
    <row r="9" spans="1:9">
      <c r="A9" t="s">
        <v>1538</v>
      </c>
      <c r="G9" t="s">
        <v>1289</v>
      </c>
    </row>
    <row r="10" spans="1:9">
      <c r="A10" t="s">
        <v>1539</v>
      </c>
      <c r="H10" t="s">
        <v>1289</v>
      </c>
    </row>
    <row r="11" spans="1:9">
      <c r="A11" t="s">
        <v>1540</v>
      </c>
      <c r="I11" t="s">
        <v>1289</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1519</v>
      </c>
      <c r="D2" t="s">
        <v>1289</v>
      </c>
      <c r="E2" t="s">
        <v>1289</v>
      </c>
      <c r="F2" t="s">
        <v>1289</v>
      </c>
      <c r="G2" t="s">
        <v>1289</v>
      </c>
    </row>
    <row r="3" spans="1:20">
      <c r="A3" t="s">
        <v>1518</v>
      </c>
      <c r="E3" t="s">
        <v>1289</v>
      </c>
      <c r="F3" t="s">
        <v>1289</v>
      </c>
    </row>
    <row r="4" spans="1:20">
      <c r="A4" t="s">
        <v>1522</v>
      </c>
      <c r="B4" t="s">
        <v>1289</v>
      </c>
      <c r="E4" t="s">
        <v>1289</v>
      </c>
    </row>
    <row r="5" spans="1:20">
      <c r="A5" t="s">
        <v>1524</v>
      </c>
      <c r="D5" t="s">
        <v>1289</v>
      </c>
      <c r="E5" t="s">
        <v>1289</v>
      </c>
      <c r="F5" t="s">
        <v>1289</v>
      </c>
      <c r="G5" t="s">
        <v>1289</v>
      </c>
    </row>
    <row r="6" spans="1:20">
      <c r="A6" t="s">
        <v>1531</v>
      </c>
      <c r="E6" t="s">
        <v>1289</v>
      </c>
      <c r="H6" t="s">
        <v>1289</v>
      </c>
      <c r="I6" t="s">
        <v>1289</v>
      </c>
      <c r="J6" t="s">
        <v>1289</v>
      </c>
      <c r="K6" t="s">
        <v>1289</v>
      </c>
      <c r="M6" t="s">
        <v>1289</v>
      </c>
      <c r="N6" t="s">
        <v>1289</v>
      </c>
    </row>
    <row r="7" spans="1:20">
      <c r="A7" t="s">
        <v>1536</v>
      </c>
      <c r="E7" t="s">
        <v>1289</v>
      </c>
      <c r="H7" t="s">
        <v>1289</v>
      </c>
      <c r="I7" t="s">
        <v>1289</v>
      </c>
      <c r="J7" t="s">
        <v>1289</v>
      </c>
      <c r="K7" t="s">
        <v>1289</v>
      </c>
      <c r="M7" t="s">
        <v>1289</v>
      </c>
      <c r="N7" t="s">
        <v>1289</v>
      </c>
    </row>
    <row r="8" spans="1:20">
      <c r="A8" t="s">
        <v>1537</v>
      </c>
      <c r="O8" t="s">
        <v>1289</v>
      </c>
    </row>
    <row r="9" spans="1:20">
      <c r="A9" t="s">
        <v>1538</v>
      </c>
      <c r="M9" t="s">
        <v>1289</v>
      </c>
      <c r="N9" t="s">
        <v>1289</v>
      </c>
      <c r="P9" t="s">
        <v>1289</v>
      </c>
      <c r="Q9" t="s">
        <v>1289</v>
      </c>
      <c r="R9" t="s">
        <v>1289</v>
      </c>
    </row>
    <row r="10" spans="1:20">
      <c r="A10" t="s">
        <v>1539</v>
      </c>
      <c r="L10" t="s">
        <v>1289</v>
      </c>
    </row>
    <row r="11" spans="1:20">
      <c r="A11" t="s">
        <v>1540</v>
      </c>
      <c r="C11" t="s">
        <v>1289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0" t="s">
        <v>1070</v>
      </c>
      <c r="C2" s="580" t="s">
        <v>1071</v>
      </c>
      <c r="D2" s="574" t="s">
        <v>1072</v>
      </c>
      <c r="E2" s="576"/>
      <c r="F2" s="577" t="s">
        <v>1073</v>
      </c>
      <c r="G2" s="579"/>
      <c r="H2" s="574" t="s">
        <v>1074</v>
      </c>
      <c r="I2" s="575"/>
      <c r="J2" s="575"/>
      <c r="K2" s="576"/>
      <c r="L2" s="577" t="s">
        <v>1075</v>
      </c>
      <c r="M2" s="578"/>
      <c r="N2" s="579"/>
      <c r="O2" s="208" t="s">
        <v>1076</v>
      </c>
      <c r="P2" s="209" t="s">
        <v>1077</v>
      </c>
      <c r="Q2" s="574" t="s">
        <v>1078</v>
      </c>
      <c r="R2" s="575"/>
      <c r="S2" s="576"/>
      <c r="T2" s="577" t="s">
        <v>1079</v>
      </c>
      <c r="U2" s="578"/>
      <c r="V2" s="579"/>
      <c r="W2" s="205" t="s">
        <v>1080</v>
      </c>
    </row>
    <row r="3" spans="2:28" ht="15.6">
      <c r="B3" s="581"/>
      <c r="C3" s="581"/>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1" t="s">
        <v>1081</v>
      </c>
      <c r="C5" s="212"/>
      <c r="D5" s="284"/>
      <c r="E5" s="284"/>
      <c r="F5" s="284"/>
      <c r="G5" s="284"/>
      <c r="H5" s="284"/>
      <c r="I5" s="284"/>
      <c r="J5" s="284"/>
      <c r="K5" s="284"/>
      <c r="L5" s="284"/>
      <c r="M5" s="284"/>
      <c r="N5" s="284"/>
      <c r="O5" s="284"/>
      <c r="P5" s="284"/>
      <c r="Q5" s="284"/>
      <c r="R5" s="284"/>
      <c r="S5" s="284"/>
      <c r="T5" s="284"/>
      <c r="U5" s="284"/>
      <c r="V5" s="284"/>
      <c r="W5" s="195" t="s">
        <v>1086</v>
      </c>
      <c r="Z5" s="445" t="s">
        <v>1683</v>
      </c>
    </row>
    <row r="6" spans="2:28" ht="15" customHeight="1">
      <c r="B6" s="572"/>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2"/>
      <c r="C7" s="282">
        <v>1.2</v>
      </c>
      <c r="D7" s="285"/>
      <c r="E7" s="285"/>
      <c r="F7" s="285"/>
      <c r="G7" s="285"/>
      <c r="H7" s="285"/>
      <c r="I7" s="285"/>
      <c r="J7" s="285"/>
      <c r="K7" s="285"/>
      <c r="L7" s="285"/>
      <c r="M7" s="285"/>
      <c r="N7" s="285"/>
      <c r="O7" s="285"/>
      <c r="P7" s="285"/>
      <c r="Q7" s="285"/>
      <c r="R7" s="285"/>
      <c r="S7" s="285"/>
      <c r="T7" s="285"/>
      <c r="U7" s="285"/>
      <c r="V7" s="285"/>
      <c r="W7" s="195" t="s">
        <v>904</v>
      </c>
      <c r="Z7" s="194" t="s">
        <v>1681</v>
      </c>
      <c r="AB7" s="444" t="s">
        <v>1085</v>
      </c>
    </row>
    <row r="8" spans="2:28" ht="15" customHeight="1">
      <c r="B8" s="573"/>
      <c r="C8" s="282">
        <v>1.3</v>
      </c>
      <c r="D8" s="285"/>
      <c r="E8" s="285"/>
      <c r="F8" s="285"/>
      <c r="G8" s="285"/>
      <c r="H8" s="285"/>
      <c r="I8" s="285"/>
      <c r="J8" s="285"/>
      <c r="K8" s="285"/>
      <c r="L8" s="285"/>
      <c r="M8" s="285"/>
      <c r="N8" s="285"/>
      <c r="O8" s="285"/>
      <c r="P8" s="285"/>
      <c r="Q8" s="285"/>
      <c r="R8" s="285"/>
      <c r="S8" s="285"/>
      <c r="T8" s="285"/>
      <c r="U8" s="285"/>
      <c r="V8" s="285"/>
      <c r="W8" s="195" t="s">
        <v>1083</v>
      </c>
      <c r="Z8" s="194" t="s">
        <v>1682</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1"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1689</v>
      </c>
    </row>
    <row r="11" spans="2:28" ht="15" customHeight="1">
      <c r="B11" s="572"/>
      <c r="C11" s="282">
        <v>2.1</v>
      </c>
      <c r="D11" s="212"/>
      <c r="E11" s="212"/>
      <c r="F11" s="212"/>
      <c r="G11" s="212"/>
      <c r="H11" s="212"/>
      <c r="I11" s="419" t="s">
        <v>1620</v>
      </c>
      <c r="J11" s="212"/>
      <c r="K11" s="212"/>
      <c r="L11" s="212"/>
      <c r="M11" s="212"/>
      <c r="N11" s="212"/>
      <c r="O11" s="212"/>
      <c r="P11" s="212"/>
      <c r="Q11" s="212"/>
      <c r="R11" s="212"/>
      <c r="S11" s="212"/>
      <c r="T11" s="212"/>
      <c r="U11" s="212"/>
      <c r="V11" s="212"/>
      <c r="W11" s="195"/>
    </row>
    <row r="12" spans="2:28" ht="15" customHeight="1">
      <c r="B12" s="572"/>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1684</v>
      </c>
      <c r="AB12" s="443" t="s">
        <v>1082</v>
      </c>
    </row>
    <row r="13" spans="2:28" ht="15" customHeight="1">
      <c r="B13" s="572"/>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1685</v>
      </c>
      <c r="AB13" s="443" t="s">
        <v>1083</v>
      </c>
    </row>
    <row r="14" spans="2:28" ht="15" customHeight="1">
      <c r="B14" s="572"/>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1686</v>
      </c>
      <c r="AB14" s="443" t="s">
        <v>904</v>
      </c>
    </row>
    <row r="15" spans="2:28" ht="15" customHeight="1">
      <c r="B15" s="572"/>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1687</v>
      </c>
      <c r="AB15" s="443" t="s">
        <v>1084</v>
      </c>
    </row>
    <row r="16" spans="2:28" ht="15" customHeight="1">
      <c r="B16" s="572"/>
      <c r="C16" s="282">
        <v>2.6</v>
      </c>
      <c r="D16" s="212"/>
      <c r="E16" s="212"/>
      <c r="F16" s="212"/>
      <c r="G16" s="212"/>
      <c r="H16" s="212"/>
      <c r="I16" s="212"/>
      <c r="J16" s="212"/>
      <c r="K16" s="212"/>
      <c r="L16" s="212"/>
      <c r="M16" s="212"/>
      <c r="N16" s="212"/>
      <c r="O16" s="212"/>
      <c r="P16" s="212"/>
      <c r="Q16" s="212"/>
      <c r="R16" s="212"/>
      <c r="S16" s="212"/>
      <c r="T16" s="212"/>
      <c r="U16" s="212"/>
      <c r="V16" s="212"/>
      <c r="W16" s="195"/>
      <c r="Z16" s="194" t="s">
        <v>1688</v>
      </c>
      <c r="AB16" s="443" t="s">
        <v>1088</v>
      </c>
    </row>
    <row r="17" spans="2:23" ht="15" customHeight="1">
      <c r="B17" s="572"/>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3"/>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1"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2"/>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2"/>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2"/>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2"/>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2"/>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2"/>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3"/>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1"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2"/>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2"/>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2"/>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2"/>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3"/>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7"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7"/>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7"/>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7"/>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70" t="s">
        <v>1070</v>
      </c>
      <c r="C49" s="570" t="s">
        <v>1071</v>
      </c>
      <c r="D49" s="568" t="s">
        <v>1072</v>
      </c>
      <c r="E49" s="568"/>
      <c r="F49" s="569" t="s">
        <v>1073</v>
      </c>
      <c r="G49" s="569"/>
      <c r="H49" s="568" t="s">
        <v>1074</v>
      </c>
      <c r="I49" s="568"/>
      <c r="J49" s="568"/>
      <c r="K49" s="568"/>
      <c r="L49" s="569" t="s">
        <v>1075</v>
      </c>
      <c r="M49" s="569"/>
      <c r="N49" s="569"/>
      <c r="O49" s="208" t="s">
        <v>1076</v>
      </c>
      <c r="P49" s="209" t="s">
        <v>1077</v>
      </c>
      <c r="Q49" s="568" t="s">
        <v>1078</v>
      </c>
      <c r="R49" s="568"/>
      <c r="S49" s="568"/>
      <c r="T49" s="569" t="s">
        <v>1079</v>
      </c>
      <c r="U49" s="569"/>
      <c r="V49" s="569"/>
    </row>
    <row r="50" spans="2:28" ht="93.6">
      <c r="B50" s="570"/>
      <c r="C50" s="570"/>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1"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2"/>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2"/>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3"/>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67"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67"/>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67"/>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67"/>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67"/>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67"/>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67"/>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67"/>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67"/>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7"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67"/>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67"/>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67"/>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67"/>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67"/>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67"/>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67"/>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7"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67"/>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67"/>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67"/>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67"/>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67"/>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7"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67"/>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67"/>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67"/>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4" priority="118" operator="equal">
      <formula>"S"</formula>
    </cfRule>
    <cfRule type="cellIs" dxfId="113" priority="119" stopIfTrue="1" operator="equal">
      <formula>"FM"</formula>
    </cfRule>
    <cfRule type="cellIs" dxfId="112" priority="120" stopIfTrue="1" operator="equal">
      <formula>"LM"</formula>
    </cfRule>
    <cfRule type="cellIs" dxfId="111" priority="121" stopIfTrue="1" operator="equal">
      <formula>"PM"</formula>
    </cfRule>
    <cfRule type="cellIs" dxfId="110" priority="167" stopIfTrue="1" operator="equal">
      <formula>"DM"</formula>
    </cfRule>
  </conditionalFormatting>
  <conditionalFormatting sqref="C5">
    <cfRule type="cellIs" dxfId="109" priority="108" operator="equal">
      <formula>"S"</formula>
    </cfRule>
    <cfRule type="cellIs" dxfId="108" priority="109" stopIfTrue="1" operator="equal">
      <formula>"FM"</formula>
    </cfRule>
    <cfRule type="cellIs" dxfId="107" priority="110" stopIfTrue="1" operator="equal">
      <formula>"LM"</formula>
    </cfRule>
    <cfRule type="cellIs" dxfId="106" priority="111" stopIfTrue="1" operator="equal">
      <formula>"PM"</formula>
    </cfRule>
    <cfRule type="cellIs" dxfId="105" priority="112" stopIfTrue="1" operator="equal">
      <formula>"DM"</formula>
    </cfRule>
  </conditionalFormatting>
  <conditionalFormatting sqref="C10">
    <cfRule type="cellIs" dxfId="104" priority="103" operator="equal">
      <formula>"S"</formula>
    </cfRule>
    <cfRule type="cellIs" dxfId="103" priority="104" stopIfTrue="1" operator="equal">
      <formula>"FM"</formula>
    </cfRule>
    <cfRule type="cellIs" dxfId="102" priority="105" stopIfTrue="1" operator="equal">
      <formula>"LM"</formula>
    </cfRule>
    <cfRule type="cellIs" dxfId="101" priority="106" stopIfTrue="1" operator="equal">
      <formula>"PM"</formula>
    </cfRule>
    <cfRule type="cellIs" dxfId="100" priority="107" stopIfTrue="1" operator="equal">
      <formula>"DM"</formula>
    </cfRule>
  </conditionalFormatting>
  <conditionalFormatting sqref="C20">
    <cfRule type="cellIs" dxfId="99" priority="98" operator="equal">
      <formula>"S"</formula>
    </cfRule>
    <cfRule type="cellIs" dxfId="98" priority="99" stopIfTrue="1" operator="equal">
      <formula>"FM"</formula>
    </cfRule>
    <cfRule type="cellIs" dxfId="97" priority="100" stopIfTrue="1" operator="equal">
      <formula>"LM"</formula>
    </cfRule>
    <cfRule type="cellIs" dxfId="96" priority="101" stopIfTrue="1" operator="equal">
      <formula>"PM"</formula>
    </cfRule>
    <cfRule type="cellIs" dxfId="95" priority="102" stopIfTrue="1" operator="equal">
      <formula>"DM"</formula>
    </cfRule>
  </conditionalFormatting>
  <conditionalFormatting sqref="C29">
    <cfRule type="cellIs" dxfId="94" priority="93" operator="equal">
      <formula>"S"</formula>
    </cfRule>
    <cfRule type="cellIs" dxfId="93" priority="94" stopIfTrue="1" operator="equal">
      <formula>"FM"</formula>
    </cfRule>
    <cfRule type="cellIs" dxfId="92" priority="95" stopIfTrue="1" operator="equal">
      <formula>"LM"</formula>
    </cfRule>
    <cfRule type="cellIs" dxfId="91" priority="96" stopIfTrue="1" operator="equal">
      <formula>"PM"</formula>
    </cfRule>
    <cfRule type="cellIs" dxfId="90" priority="97" stopIfTrue="1" operator="equal">
      <formula>"DM"</formula>
    </cfRule>
  </conditionalFormatting>
  <conditionalFormatting sqref="C36">
    <cfRule type="cellIs" dxfId="89" priority="88" operator="equal">
      <formula>"S"</formula>
    </cfRule>
    <cfRule type="cellIs" dxfId="88" priority="89" stopIfTrue="1" operator="equal">
      <formula>"FM"</formula>
    </cfRule>
    <cfRule type="cellIs" dxfId="87" priority="90" stopIfTrue="1" operator="equal">
      <formula>"LM"</formula>
    </cfRule>
    <cfRule type="cellIs" dxfId="86" priority="91" stopIfTrue="1" operator="equal">
      <formula>"PM"</formula>
    </cfRule>
    <cfRule type="cellIs" dxfId="85" priority="92" stopIfTrue="1" operator="equal">
      <formula>"DM"</formula>
    </cfRule>
  </conditionalFormatting>
  <conditionalFormatting sqref="D67:V74 D76:V81 D83:V86 W52:W89 D52:V65">
    <cfRule type="cellIs" dxfId="84" priority="57" stopIfTrue="1" operator="equal">
      <formula>"U"</formula>
    </cfRule>
    <cfRule type="cellIs" dxfId="83" priority="83" stopIfTrue="1" operator="equal">
      <formula>"S"</formula>
    </cfRule>
    <cfRule type="cellIs" dxfId="82" priority="84" stopIfTrue="1" operator="equal">
      <formula>"FM"</formula>
    </cfRule>
    <cfRule type="cellIs" dxfId="81" priority="85" stopIfTrue="1" operator="equal">
      <formula>"LM"</formula>
    </cfRule>
    <cfRule type="cellIs" dxfId="80" priority="86" stopIfTrue="1" operator="equal">
      <formula>"PM"</formula>
    </cfRule>
    <cfRule type="cellIs" dxfId="79" priority="87" stopIfTrue="1" operator="equal">
      <formula>"DM"</formula>
    </cfRule>
  </conditionalFormatting>
  <conditionalFormatting sqref="C52">
    <cfRule type="cellIs" dxfId="78" priority="78" operator="equal">
      <formula>"S"</formula>
    </cfRule>
    <cfRule type="cellIs" dxfId="77" priority="79" stopIfTrue="1" operator="equal">
      <formula>"FM"</formula>
    </cfRule>
    <cfRule type="cellIs" dxfId="76" priority="80" stopIfTrue="1" operator="equal">
      <formula>"LM"</formula>
    </cfRule>
    <cfRule type="cellIs" dxfId="75" priority="81" stopIfTrue="1" operator="equal">
      <formula>"PM"</formula>
    </cfRule>
    <cfRule type="cellIs" dxfId="74" priority="82" stopIfTrue="1" operator="equal">
      <formula>"DM"</formula>
    </cfRule>
  </conditionalFormatting>
  <conditionalFormatting sqref="C57">
    <cfRule type="cellIs" dxfId="73" priority="73" operator="equal">
      <formula>"S"</formula>
    </cfRule>
    <cfRule type="cellIs" dxfId="72" priority="74" stopIfTrue="1" operator="equal">
      <formula>"FM"</formula>
    </cfRule>
    <cfRule type="cellIs" dxfId="71" priority="75" stopIfTrue="1" operator="equal">
      <formula>"LM"</formula>
    </cfRule>
    <cfRule type="cellIs" dxfId="70" priority="76" stopIfTrue="1" operator="equal">
      <formula>"PM"</formula>
    </cfRule>
    <cfRule type="cellIs" dxfId="69" priority="77" stopIfTrue="1" operator="equal">
      <formula>"DM"</formula>
    </cfRule>
  </conditionalFormatting>
  <conditionalFormatting sqref="C67">
    <cfRule type="cellIs" dxfId="68" priority="68" operator="equal">
      <formula>"S"</formula>
    </cfRule>
    <cfRule type="cellIs" dxfId="67" priority="69" stopIfTrue="1" operator="equal">
      <formula>"FM"</formula>
    </cfRule>
    <cfRule type="cellIs" dxfId="66" priority="70" stopIfTrue="1" operator="equal">
      <formula>"LM"</formula>
    </cfRule>
    <cfRule type="cellIs" dxfId="65" priority="71" stopIfTrue="1" operator="equal">
      <formula>"PM"</formula>
    </cfRule>
    <cfRule type="cellIs" dxfId="64" priority="72" stopIfTrue="1" operator="equal">
      <formula>"DM"</formula>
    </cfRule>
  </conditionalFormatting>
  <conditionalFormatting sqref="C76">
    <cfRule type="cellIs" dxfId="63" priority="63" operator="equal">
      <formula>"S"</formula>
    </cfRule>
    <cfRule type="cellIs" dxfId="62" priority="64" stopIfTrue="1" operator="equal">
      <formula>"FM"</formula>
    </cfRule>
    <cfRule type="cellIs" dxfId="61" priority="65" stopIfTrue="1" operator="equal">
      <formula>"LM"</formula>
    </cfRule>
    <cfRule type="cellIs" dxfId="60" priority="66" stopIfTrue="1" operator="equal">
      <formula>"PM"</formula>
    </cfRule>
    <cfRule type="cellIs" dxfId="59" priority="67" stopIfTrue="1" operator="equal">
      <formula>"DM"</formula>
    </cfRule>
  </conditionalFormatting>
  <conditionalFormatting sqref="C83">
    <cfRule type="cellIs" dxfId="58" priority="58" operator="equal">
      <formula>"S"</formula>
    </cfRule>
    <cfRule type="cellIs" dxfId="57" priority="59" stopIfTrue="1" operator="equal">
      <formula>"FM"</formula>
    </cfRule>
    <cfRule type="cellIs" dxfId="56" priority="60" stopIfTrue="1" operator="equal">
      <formula>"LM"</formula>
    </cfRule>
    <cfRule type="cellIs" dxfId="55" priority="61" stopIfTrue="1" operator="equal">
      <formula>"PM"</formula>
    </cfRule>
    <cfRule type="cellIs" dxfId="54" priority="62" stopIfTrue="1" operator="equal">
      <formula>"DM"</formula>
    </cfRule>
  </conditionalFormatting>
  <conditionalFormatting sqref="D20:V22 D24:V27 D23:H23 J23:V23">
    <cfRule type="cellIs" dxfId="53" priority="42" operator="equal">
      <formula>"S"</formula>
    </cfRule>
    <cfRule type="cellIs" dxfId="52" priority="43" stopIfTrue="1" operator="equal">
      <formula>"FM"</formula>
    </cfRule>
    <cfRule type="cellIs" dxfId="51" priority="44" stopIfTrue="1" operator="equal">
      <formula>"LM"</formula>
    </cfRule>
    <cfRule type="cellIs" dxfId="50" priority="45" stopIfTrue="1" operator="equal">
      <formula>"PM"</formula>
    </cfRule>
    <cfRule type="cellIs" dxfId="49" priority="46" stopIfTrue="1" operator="equal">
      <formula>"DM"</formula>
    </cfRule>
  </conditionalFormatting>
  <conditionalFormatting sqref="D29:V34">
    <cfRule type="cellIs" dxfId="48" priority="37" operator="equal">
      <formula>"S"</formula>
    </cfRule>
    <cfRule type="cellIs" dxfId="47" priority="38" stopIfTrue="1" operator="equal">
      <formula>"FM"</formula>
    </cfRule>
    <cfRule type="cellIs" dxfId="46" priority="39" stopIfTrue="1" operator="equal">
      <formula>"LM"</formula>
    </cfRule>
    <cfRule type="cellIs" dxfId="45" priority="40" stopIfTrue="1" operator="equal">
      <formula>"PM"</formula>
    </cfRule>
    <cfRule type="cellIs" dxfId="44" priority="41" stopIfTrue="1" operator="equal">
      <formula>"DM"</formula>
    </cfRule>
  </conditionalFormatting>
  <conditionalFormatting sqref="D36:V39">
    <cfRule type="cellIs" dxfId="43" priority="32" operator="equal">
      <formula>"S"</formula>
    </cfRule>
    <cfRule type="cellIs" dxfId="42" priority="33" stopIfTrue="1" operator="equal">
      <formula>"FM"</formula>
    </cfRule>
    <cfRule type="cellIs" dxfId="41" priority="34" stopIfTrue="1" operator="equal">
      <formula>"LM"</formula>
    </cfRule>
    <cfRule type="cellIs" dxfId="40" priority="35" stopIfTrue="1" operator="equal">
      <formula>"PM"</formula>
    </cfRule>
    <cfRule type="cellIs" dxfId="39" priority="36" stopIfTrue="1" operator="equal">
      <formula>"DM"</formula>
    </cfRule>
  </conditionalFormatting>
  <conditionalFormatting sqref="D5:V8">
    <cfRule type="cellIs" dxfId="38" priority="22" operator="equal">
      <formula>"S"</formula>
    </cfRule>
    <cfRule type="cellIs" dxfId="37" priority="23" stopIfTrue="1" operator="equal">
      <formula>"FM"</formula>
    </cfRule>
    <cfRule type="cellIs" dxfId="36" priority="24" stopIfTrue="1" operator="equal">
      <formula>"LM"</formula>
    </cfRule>
    <cfRule type="cellIs" dxfId="35" priority="25" stopIfTrue="1" operator="equal">
      <formula>"PM"</formula>
    </cfRule>
    <cfRule type="cellIs" dxfId="34" priority="26" stopIfTrue="1" operator="equal">
      <formula>"DM"</formula>
    </cfRule>
  </conditionalFormatting>
  <conditionalFormatting sqref="D10:V18">
    <cfRule type="cellIs" dxfId="33" priority="17" operator="equal">
      <formula>"S"</formula>
    </cfRule>
    <cfRule type="cellIs" dxfId="32" priority="18" stopIfTrue="1" operator="equal">
      <formula>"FM"</formula>
    </cfRule>
    <cfRule type="cellIs" dxfId="31" priority="19" stopIfTrue="1" operator="equal">
      <formula>"LM"</formula>
    </cfRule>
    <cfRule type="cellIs" dxfId="30" priority="20" stopIfTrue="1" operator="equal">
      <formula>"PM"</formula>
    </cfRule>
    <cfRule type="cellIs" dxfId="29" priority="21" stopIfTrue="1" operator="equal">
      <formula>"DM"</formula>
    </cfRule>
  </conditionalFormatting>
  <conditionalFormatting sqref="I23">
    <cfRule type="cellIs" dxfId="28" priority="12" operator="equal">
      <formula>"S"</formula>
    </cfRule>
    <cfRule type="cellIs" dxfId="27" priority="13" stopIfTrue="1" operator="equal">
      <formula>"FM"</formula>
    </cfRule>
    <cfRule type="cellIs" dxfId="26" priority="14" stopIfTrue="1" operator="equal">
      <formula>"LM"</formula>
    </cfRule>
    <cfRule type="cellIs" dxfId="25" priority="15" stopIfTrue="1" operator="equal">
      <formula>"PM"</formula>
    </cfRule>
    <cfRule type="cellIs" dxfId="24" priority="16" stopIfTrue="1" operator="equal">
      <formula>"DM"</formula>
    </cfRule>
  </conditionalFormatting>
  <conditionalFormatting sqref="AB12:AB16">
    <cfRule type="cellIs" dxfId="23" priority="7" operator="equal">
      <formula>"S"</formula>
    </cfRule>
    <cfRule type="cellIs" dxfId="22" priority="8" stopIfTrue="1" operator="equal">
      <formula>"FM"</formula>
    </cfRule>
    <cfRule type="cellIs" dxfId="21" priority="9" stopIfTrue="1" operator="equal">
      <formula>"LM"</formula>
    </cfRule>
    <cfRule type="cellIs" dxfId="20" priority="10" stopIfTrue="1" operator="equal">
      <formula>"PM"</formula>
    </cfRule>
    <cfRule type="cellIs" dxfId="19" priority="11" stopIfTrue="1" operator="equal">
      <formula>"DM"</formula>
    </cfRule>
  </conditionalFormatting>
  <conditionalFormatting sqref="AB7:AB8">
    <cfRule type="cellIs" dxfId="18" priority="2" operator="equal">
      <formula>"S"</formula>
    </cfRule>
    <cfRule type="cellIs" dxfId="17" priority="3" stopIfTrue="1" operator="equal">
      <formula>"FM"</formula>
    </cfRule>
    <cfRule type="cellIs" dxfId="16" priority="4" stopIfTrue="1" operator="equal">
      <formula>"LM"</formula>
    </cfRule>
    <cfRule type="cellIs" dxfId="15" priority="5" stopIfTrue="1" operator="equal">
      <formula>"PM"</formula>
    </cfRule>
    <cfRule type="cellIs" dxfId="14" priority="6" stopIfTrue="1" operator="equal">
      <formula>"DM"</formula>
    </cfRule>
  </conditionalFormatting>
  <conditionalFormatting sqref="AB8">
    <cfRule type="cellIs" dxfId="13"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1522</v>
      </c>
      <c r="B6" s="308">
        <v>2</v>
      </c>
    </row>
    <row r="7" spans="1:2">
      <c r="A7" s="125" t="s">
        <v>1341</v>
      </c>
      <c r="B7" s="308">
        <v>1</v>
      </c>
    </row>
    <row r="8" spans="1:2">
      <c r="A8" s="277" t="s">
        <v>1537</v>
      </c>
      <c r="B8" s="308">
        <v>1</v>
      </c>
    </row>
    <row r="9" spans="1:2">
      <c r="A9" s="125" t="s">
        <v>903</v>
      </c>
      <c r="B9" s="308">
        <v>1</v>
      </c>
    </row>
    <row r="10" spans="1:2">
      <c r="A10" s="277" t="s">
        <v>1518</v>
      </c>
      <c r="B10" s="308">
        <v>1</v>
      </c>
    </row>
    <row r="11" spans="1:2">
      <c r="A11" s="125" t="s">
        <v>1139</v>
      </c>
      <c r="B11" s="308">
        <v>2</v>
      </c>
    </row>
    <row r="12" spans="1:2">
      <c r="A12" s="277" t="s">
        <v>1519</v>
      </c>
      <c r="B12" s="308">
        <v>1</v>
      </c>
    </row>
    <row r="13" spans="1:2">
      <c r="A13" s="277" t="s">
        <v>1524</v>
      </c>
      <c r="B13" s="308">
        <v>1</v>
      </c>
    </row>
    <row r="14" spans="1:2">
      <c r="A14" s="125" t="s">
        <v>1342</v>
      </c>
      <c r="B14" s="308">
        <v>4</v>
      </c>
    </row>
    <row r="15" spans="1:2">
      <c r="A15" s="277" t="s">
        <v>1531</v>
      </c>
      <c r="B15" s="308">
        <v>3</v>
      </c>
    </row>
    <row r="16" spans="1:2">
      <c r="A16" s="277" t="s">
        <v>1536</v>
      </c>
      <c r="B16" s="308">
        <v>1</v>
      </c>
    </row>
    <row r="17" spans="1:2">
      <c r="A17" s="125" t="s">
        <v>1224</v>
      </c>
      <c r="B17" s="308">
        <v>1</v>
      </c>
    </row>
    <row r="18" spans="1:2">
      <c r="A18" s="277" t="s">
        <v>1540</v>
      </c>
      <c r="B18" s="308">
        <v>1</v>
      </c>
    </row>
    <row r="19" spans="1:2">
      <c r="A19" s="125" t="s">
        <v>1340</v>
      </c>
      <c r="B19" s="308">
        <v>1</v>
      </c>
    </row>
    <row r="20" spans="1:2">
      <c r="A20" s="277" t="s">
        <v>1539</v>
      </c>
      <c r="B20" s="308">
        <v>1</v>
      </c>
    </row>
    <row r="21" spans="1:2">
      <c r="A21" s="125" t="s">
        <v>1343</v>
      </c>
      <c r="B21" s="308">
        <v>5</v>
      </c>
    </row>
    <row r="22" spans="1:2">
      <c r="A22" s="277" t="s">
        <v>1538</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1522</v>
      </c>
    </row>
    <row r="5" spans="1:6">
      <c r="A5" s="125" t="s">
        <v>875</v>
      </c>
    </row>
    <row r="6" spans="1:6">
      <c r="A6" s="125" t="s">
        <v>876</v>
      </c>
    </row>
    <row r="7" spans="1:6">
      <c r="A7" s="305" t="s">
        <v>1537</v>
      </c>
    </row>
    <row r="8" spans="1:6">
      <c r="A8" s="125" t="s">
        <v>743</v>
      </c>
    </row>
    <row r="9" spans="1:6">
      <c r="A9" s="305" t="s">
        <v>1518</v>
      </c>
    </row>
    <row r="10" spans="1:6">
      <c r="A10" s="125" t="s">
        <v>874</v>
      </c>
    </row>
    <row r="11" spans="1:6">
      <c r="A11" s="305" t="s">
        <v>1519</v>
      </c>
    </row>
    <row r="12" spans="1:6">
      <c r="A12" s="125" t="s">
        <v>873</v>
      </c>
    </row>
    <row r="13" spans="1:6">
      <c r="A13" s="305" t="s">
        <v>1524</v>
      </c>
    </row>
    <row r="14" spans="1:6">
      <c r="A14" s="125" t="s">
        <v>877</v>
      </c>
    </row>
    <row r="15" spans="1:6">
      <c r="A15" s="305" t="s">
        <v>1540</v>
      </c>
    </row>
    <row r="16" spans="1:6">
      <c r="A16" s="125" t="s">
        <v>827</v>
      </c>
    </row>
    <row r="17" spans="1:1">
      <c r="A17" s="305" t="s">
        <v>1538</v>
      </c>
    </row>
    <row r="18" spans="1:1">
      <c r="A18" s="125" t="s">
        <v>885</v>
      </c>
    </row>
    <row r="19" spans="1:1">
      <c r="A19" s="125" t="s">
        <v>886</v>
      </c>
    </row>
    <row r="20" spans="1:1">
      <c r="A20" s="125" t="s">
        <v>878</v>
      </c>
    </row>
    <row r="21" spans="1:1">
      <c r="A21" s="125" t="s">
        <v>879</v>
      </c>
    </row>
    <row r="22" spans="1:1">
      <c r="A22" s="125" t="s">
        <v>880</v>
      </c>
    </row>
    <row r="23" spans="1:1">
      <c r="A23" s="305" t="s">
        <v>1531</v>
      </c>
    </row>
    <row r="24" spans="1:1">
      <c r="A24" s="125" t="s">
        <v>882</v>
      </c>
    </row>
    <row r="25" spans="1:1">
      <c r="A25" s="125" t="s">
        <v>883</v>
      </c>
    </row>
    <row r="26" spans="1:1">
      <c r="A26" s="125" t="s">
        <v>884</v>
      </c>
    </row>
    <row r="27" spans="1:1">
      <c r="A27" s="305" t="s">
        <v>1536</v>
      </c>
    </row>
    <row r="28" spans="1:1">
      <c r="A28" s="125" t="s">
        <v>881</v>
      </c>
    </row>
    <row r="29" spans="1:1">
      <c r="A29" s="305" t="s">
        <v>1539</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1506</v>
      </c>
    </row>
    <row r="7" spans="1:6">
      <c r="A7" s="125" t="s">
        <v>1519</v>
      </c>
    </row>
    <row r="8" spans="1:6">
      <c r="A8" s="125" t="s">
        <v>1518</v>
      </c>
    </row>
    <row r="9" spans="1:6">
      <c r="A9" s="305" t="s">
        <v>1507</v>
      </c>
    </row>
    <row r="10" spans="1:6">
      <c r="A10" s="125" t="s">
        <v>1522</v>
      </c>
    </row>
    <row r="11" spans="1:6">
      <c r="A11" s="125" t="s">
        <v>1524</v>
      </c>
    </row>
    <row r="12" spans="1:6">
      <c r="A12" s="305" t="s">
        <v>1509</v>
      </c>
    </row>
    <row r="13" spans="1:6">
      <c r="A13" s="125" t="s">
        <v>1531</v>
      </c>
    </row>
    <row r="14" spans="1:6">
      <c r="A14" s="305" t="s">
        <v>1511</v>
      </c>
    </row>
    <row r="15" spans="1:6">
      <c r="A15" s="125" t="s">
        <v>1536</v>
      </c>
    </row>
    <row r="16" spans="1:6">
      <c r="A16" s="305" t="s">
        <v>1333</v>
      </c>
    </row>
    <row r="17" spans="1:1">
      <c r="A17" s="125" t="s">
        <v>1537</v>
      </c>
    </row>
    <row r="18" spans="1:1">
      <c r="A18" s="305" t="s">
        <v>1334</v>
      </c>
    </row>
    <row r="19" spans="1:1">
      <c r="A19" s="125" t="s">
        <v>1538</v>
      </c>
    </row>
    <row r="20" spans="1:1">
      <c r="A20" s="305" t="s">
        <v>1335</v>
      </c>
    </row>
    <row r="21" spans="1:1">
      <c r="A21" s="125" t="s">
        <v>1539</v>
      </c>
    </row>
    <row r="22" spans="1:1">
      <c r="A22" s="305" t="s">
        <v>1336</v>
      </c>
    </row>
    <row r="23" spans="1:1">
      <c r="A23" s="125" t="s">
        <v>1540</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1531</v>
      </c>
    </row>
    <row r="8" spans="1:1">
      <c r="A8" s="125" t="s">
        <v>1536</v>
      </c>
    </row>
    <row r="9" spans="1:1">
      <c r="A9" s="305" t="s">
        <v>979</v>
      </c>
    </row>
    <row r="10" spans="1:1">
      <c r="A10" s="125" t="s">
        <v>1519</v>
      </c>
    </row>
    <row r="11" spans="1:1">
      <c r="A11" s="125" t="s">
        <v>1518</v>
      </c>
    </row>
    <row r="12" spans="1:1">
      <c r="A12" s="125" t="s">
        <v>1522</v>
      </c>
    </row>
    <row r="13" spans="1:1">
      <c r="A13" s="125" t="s">
        <v>1524</v>
      </c>
    </row>
    <row r="14" spans="1:1">
      <c r="A14" s="305" t="s">
        <v>980</v>
      </c>
    </row>
    <row r="15" spans="1:1">
      <c r="A15" s="125" t="s">
        <v>1537</v>
      </c>
    </row>
    <row r="16" spans="1:1">
      <c r="A16" s="305" t="s">
        <v>981</v>
      </c>
    </row>
    <row r="17" spans="1:1">
      <c r="A17" s="125" t="s">
        <v>1538</v>
      </c>
    </row>
    <row r="18" spans="1:1">
      <c r="A18" s="305" t="s">
        <v>982</v>
      </c>
    </row>
    <row r="19" spans="1:1">
      <c r="A19" s="125" t="s">
        <v>1539</v>
      </c>
    </row>
    <row r="20" spans="1:1">
      <c r="A20" s="305" t="s">
        <v>987</v>
      </c>
    </row>
    <row r="21" spans="1:1">
      <c r="A21" s="125" t="s">
        <v>1540</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3" t="str">
        <f>StartupInfo!B3</f>
        <v>Software for Mars (Pty) Ltd</v>
      </c>
      <c r="C2" s="583"/>
      <c r="D2" s="583"/>
      <c r="E2" s="583"/>
      <c r="F2" s="583"/>
      <c r="G2" s="583"/>
      <c r="H2" s="583"/>
      <c r="I2" s="583"/>
      <c r="J2" s="414"/>
      <c r="K2" s="414"/>
    </row>
    <row r="3" spans="1:11" ht="19.5" customHeight="1">
      <c r="B3" s="583" t="str">
        <f>StartupInfo!B4</f>
        <v>Mars</v>
      </c>
      <c r="C3" s="583"/>
      <c r="D3" s="583"/>
      <c r="E3" s="583"/>
      <c r="F3" s="583"/>
      <c r="G3" s="583"/>
      <c r="H3" s="583"/>
      <c r="I3" s="583"/>
      <c r="J3" s="415"/>
      <c r="K3" s="234"/>
    </row>
    <row r="4" spans="1:11" ht="24" customHeight="1">
      <c r="A4" s="235"/>
      <c r="B4" s="584" t="str">
        <f>IF(StartupInfo!B18="","",StartupInfo!B18)</f>
        <v>R&amp;D Department</v>
      </c>
      <c r="C4" s="584"/>
      <c r="D4" s="584"/>
      <c r="E4" s="584"/>
      <c r="F4" s="584"/>
      <c r="G4" s="584"/>
      <c r="H4" s="584"/>
      <c r="I4" s="584"/>
    </row>
    <row r="5" spans="1:11">
      <c r="A5" s="235"/>
      <c r="B5" s="585" t="str">
        <f>IF(StartupInfo!B19="","",StartupInfo!B19)</f>
        <v/>
      </c>
      <c r="C5" s="585"/>
      <c r="D5" s="585"/>
      <c r="E5" s="585"/>
      <c r="F5" s="585"/>
      <c r="G5" s="585"/>
      <c r="H5" s="585"/>
      <c r="I5" s="585"/>
      <c r="J5" s="235"/>
      <c r="K5" s="235"/>
    </row>
    <row r="6" spans="1:11">
      <c r="A6" s="234"/>
      <c r="B6" s="415"/>
      <c r="C6" s="415"/>
      <c r="D6" s="415"/>
      <c r="E6" s="415"/>
      <c r="F6" s="415"/>
      <c r="G6" s="415"/>
      <c r="H6" s="415"/>
      <c r="I6" s="415"/>
      <c r="J6" s="415"/>
      <c r="K6" s="234"/>
    </row>
    <row r="7" spans="1:11" s="418" customFormat="1">
      <c r="A7" s="416"/>
      <c r="B7" s="586" t="str">
        <f>CONCATENATE("was rated on ",TEXT(Planning!B33,"dd mmmm yyyy")," at ",Planning!B10)</f>
        <v>was rated on 16 April 2021 at Maturity Level 5</v>
      </c>
      <c r="C7" s="586"/>
      <c r="D7" s="586"/>
      <c r="E7" s="586"/>
      <c r="F7" s="586"/>
      <c r="G7" s="586"/>
      <c r="H7" s="586"/>
      <c r="I7" s="586"/>
      <c r="J7" s="417"/>
      <c r="K7" s="416"/>
    </row>
    <row r="8" spans="1:11">
      <c r="A8" s="235"/>
      <c r="B8" s="235"/>
      <c r="C8" s="235"/>
      <c r="E8" s="587"/>
      <c r="F8" s="587"/>
      <c r="G8" s="587"/>
      <c r="H8" s="235"/>
      <c r="I8" s="235"/>
      <c r="J8" s="235"/>
      <c r="K8" s="235"/>
    </row>
    <row r="9" spans="1:11">
      <c r="A9" s="235"/>
      <c r="B9" s="235"/>
      <c r="C9" s="235"/>
      <c r="D9" s="235"/>
      <c r="E9" s="587"/>
      <c r="F9" s="587"/>
      <c r="G9" s="587"/>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8" t="str">
        <f>_xlfn.CONCAT("CAS ID",'Agreement 3'!B5)</f>
        <v>CAS ID53517</v>
      </c>
      <c r="G11" s="588"/>
      <c r="H11" s="588"/>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2" t="str">
        <f>'Agreement 3'!B7</f>
        <v>van Zyl, Pieter</v>
      </c>
      <c r="H13" s="582"/>
      <c r="I13" s="582"/>
      <c r="J13" s="235"/>
      <c r="K13" s="235"/>
    </row>
    <row r="14" spans="1:11">
      <c r="A14" s="235"/>
      <c r="B14" s="235"/>
      <c r="C14" s="235"/>
      <c r="D14" s="235"/>
      <c r="E14" s="235"/>
      <c r="F14" s="235"/>
      <c r="G14" s="582" t="str">
        <f>'Agreement 3'!B9</f>
        <v>CMMI V2.0 High Maturity Lead Appraiser</v>
      </c>
      <c r="H14" s="582"/>
      <c r="I14" s="582"/>
      <c r="J14" s="235"/>
      <c r="K14" s="235"/>
    </row>
    <row r="15" spans="1:11">
      <c r="A15" s="235"/>
      <c r="B15" s="235"/>
      <c r="C15" s="235"/>
      <c r="D15" s="235"/>
      <c r="E15" s="235"/>
      <c r="F15" s="235"/>
      <c r="G15" s="582" t="str">
        <f>'Agreement 3'!B11</f>
        <v>0500535-01</v>
      </c>
      <c r="H15" s="582"/>
      <c r="I15" s="582"/>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1648</v>
      </c>
      <c r="C27" s="173" t="s">
        <v>1030</v>
      </c>
      <c r="D27" s="174">
        <f>'P1PA-SS'!B70</f>
        <v>44322</v>
      </c>
      <c r="E27" s="160"/>
      <c r="G27" s="175" t="str">
        <f>G24</f>
        <v>16 Apr 2024</v>
      </c>
      <c r="H27" s="169" t="s">
        <v>1031</v>
      </c>
    </row>
    <row r="28" spans="1:9" s="8" customFormat="1" ht="15.6">
      <c r="A28" s="158"/>
      <c r="B28" s="173" t="s">
        <v>1754</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9" t="s">
        <v>1647</v>
      </c>
      <c r="C31" s="589"/>
      <c r="D31" s="589"/>
      <c r="E31" s="160"/>
      <c r="G31" s="178" t="s">
        <v>1390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1649</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1638</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1468</v>
      </c>
      <c r="B33" s="380" t="s">
        <v>382</v>
      </c>
    </row>
    <row r="34" spans="1:2" ht="31.95" customHeight="1">
      <c r="A34" s="389" t="s">
        <v>786</v>
      </c>
      <c r="B34" s="385" t="s">
        <v>1469</v>
      </c>
    </row>
    <row r="35" spans="1:2" ht="31.95" customHeight="1">
      <c r="A35" s="389" t="s">
        <v>1470</v>
      </c>
      <c r="B35" s="386" t="s">
        <v>1356</v>
      </c>
    </row>
    <row r="36" spans="1:2" ht="31.95" customHeight="1">
      <c r="A36" s="389" t="s">
        <v>787</v>
      </c>
      <c r="B36" s="386" t="s">
        <v>1353</v>
      </c>
    </row>
    <row r="37" spans="1:2" ht="31.95" customHeight="1">
      <c r="A37" s="389" t="s">
        <v>1471</v>
      </c>
      <c r="B37" s="386" t="s">
        <v>1354</v>
      </c>
    </row>
    <row r="38" spans="1:2" ht="31.95" customHeight="1">
      <c r="A38" s="389" t="s">
        <v>664</v>
      </c>
      <c r="B38" s="386" t="s">
        <v>1472</v>
      </c>
    </row>
    <row r="39" spans="1:2">
      <c r="A39" s="380" t="s">
        <v>1473</v>
      </c>
      <c r="B39" s="380" t="s">
        <v>382</v>
      </c>
    </row>
    <row r="40" spans="1:2" ht="34.950000000000003" customHeight="1">
      <c r="A40" s="389" t="s">
        <v>1474</v>
      </c>
      <c r="B40" s="386" t="s">
        <v>1475</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2" t="str">
        <f>'P1PA-SS'!B76</f>
        <v>CMMI Development V2.0 (CMMI-DEV) without SAM</v>
      </c>
      <c r="B2" s="593"/>
      <c r="C2" s="593"/>
      <c r="D2" s="592"/>
      <c r="E2" s="593"/>
      <c r="F2" s="593"/>
      <c r="G2" s="593"/>
      <c r="H2" s="593"/>
      <c r="I2" s="593"/>
      <c r="L2" s="355" t="s">
        <v>1279</v>
      </c>
      <c r="M2" s="355">
        <f>VALUE(RIGHT(Planning!B10,1))</f>
        <v>5</v>
      </c>
      <c r="N2" s="343" t="s">
        <v>1280</v>
      </c>
    </row>
    <row r="3" spans="1:16" s="342" customFormat="1">
      <c r="A3" s="594" t="str">
        <f>'P1PA-SS'!B75</f>
        <v>Maturity Level 5</v>
      </c>
      <c r="B3" s="595"/>
      <c r="C3" s="595"/>
      <c r="D3" s="594"/>
      <c r="E3" s="595"/>
      <c r="F3" s="595"/>
      <c r="G3" s="595"/>
      <c r="H3" s="595"/>
      <c r="I3" s="595"/>
      <c r="J3" s="358"/>
      <c r="K3" s="353"/>
      <c r="L3" s="353"/>
      <c r="M3" s="353"/>
      <c r="N3" s="358"/>
      <c r="O3" s="358"/>
      <c r="P3" s="358"/>
    </row>
    <row r="4" spans="1:16">
      <c r="A4" s="359" t="s">
        <v>1449</v>
      </c>
      <c r="B4" s="359" t="s">
        <v>910</v>
      </c>
      <c r="C4" s="360" t="s">
        <v>1450</v>
      </c>
      <c r="D4" s="373" t="s">
        <v>910</v>
      </c>
      <c r="E4" s="374">
        <v>1</v>
      </c>
      <c r="F4" s="374">
        <v>2</v>
      </c>
      <c r="G4" s="374">
        <v>3</v>
      </c>
      <c r="H4" s="374">
        <v>4</v>
      </c>
      <c r="I4" s="374">
        <v>5</v>
      </c>
      <c r="M4" s="353" t="s">
        <v>1465</v>
      </c>
    </row>
    <row r="5" spans="1:16" ht="20.7" customHeight="1">
      <c r="A5" s="596" t="s">
        <v>1454</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6"/>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596"/>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6"/>
      <c r="B8" s="361" t="s">
        <v>1455</v>
      </c>
      <c r="C8" s="354">
        <f t="shared" si="0"/>
        <v>3</v>
      </c>
      <c r="D8" s="375" t="s">
        <v>1455</v>
      </c>
      <c r="E8" s="376" t="str">
        <f t="shared" si="2"/>
        <v>x</v>
      </c>
      <c r="F8" s="376" t="str">
        <f t="shared" si="1"/>
        <v>x</v>
      </c>
      <c r="G8" s="376" t="str">
        <f t="shared" si="1"/>
        <v>x</v>
      </c>
      <c r="H8" s="376" t="str">
        <f t="shared" si="1"/>
        <v/>
      </c>
      <c r="I8" s="376" t="str">
        <f t="shared" si="1"/>
        <v/>
      </c>
      <c r="M8" s="353">
        <v>3</v>
      </c>
    </row>
    <row r="9" spans="1:16" ht="20.7" customHeight="1">
      <c r="A9" s="597" t="s">
        <v>1457</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7"/>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1466</v>
      </c>
      <c r="B11" s="364" t="s">
        <v>1467</v>
      </c>
      <c r="C11" s="354">
        <f t="shared" si="0"/>
        <v>4</v>
      </c>
      <c r="D11" s="375" t="s">
        <v>1467</v>
      </c>
      <c r="E11" s="376" t="str">
        <f t="shared" si="2"/>
        <v>x</v>
      </c>
      <c r="F11" s="376" t="str">
        <f t="shared" si="1"/>
        <v>x</v>
      </c>
      <c r="G11" s="376" t="str">
        <f t="shared" si="1"/>
        <v>x</v>
      </c>
      <c r="H11" s="376" t="str">
        <f t="shared" si="1"/>
        <v>x</v>
      </c>
      <c r="I11" s="376" t="str">
        <f t="shared" si="1"/>
        <v/>
      </c>
      <c r="M11" s="353">
        <v>4</v>
      </c>
    </row>
    <row r="12" spans="1:16" ht="20.7" customHeight="1">
      <c r="A12" s="598" t="s">
        <v>1464</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8"/>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8"/>
      <c r="B14" s="365" t="s">
        <v>1458</v>
      </c>
      <c r="C14" s="354">
        <f t="shared" si="0"/>
        <v>3</v>
      </c>
      <c r="D14" s="375" t="s">
        <v>1458</v>
      </c>
      <c r="E14" s="376" t="str">
        <f t="shared" si="2"/>
        <v>x</v>
      </c>
      <c r="F14" s="376" t="str">
        <f t="shared" si="1"/>
        <v>x</v>
      </c>
      <c r="G14" s="376" t="str">
        <f t="shared" si="1"/>
        <v>x</v>
      </c>
      <c r="H14" s="376" t="str">
        <f t="shared" si="1"/>
        <v/>
      </c>
      <c r="I14" s="376" t="str">
        <f t="shared" si="1"/>
        <v/>
      </c>
      <c r="M14" s="353">
        <v>3</v>
      </c>
    </row>
    <row r="15" spans="1:16" ht="20.7" customHeight="1">
      <c r="A15" s="366" t="s">
        <v>1463</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1462</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9" t="s">
        <v>1461</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9"/>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9"/>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0" t="s">
        <v>1460</v>
      </c>
      <c r="B20" s="371" t="s">
        <v>1639</v>
      </c>
      <c r="C20" s="354">
        <f t="shared" si="0"/>
        <v>4</v>
      </c>
      <c r="D20" s="375" t="s">
        <v>1639</v>
      </c>
      <c r="E20" s="376" t="str">
        <f t="shared" si="2"/>
        <v>x</v>
      </c>
      <c r="F20" s="376" t="str">
        <f t="shared" si="1"/>
        <v>x</v>
      </c>
      <c r="G20" s="376" t="str">
        <f t="shared" si="1"/>
        <v>x</v>
      </c>
      <c r="H20" s="376" t="str">
        <f t="shared" si="1"/>
        <v>x</v>
      </c>
      <c r="I20" s="376" t="str">
        <f t="shared" si="1"/>
        <v/>
      </c>
      <c r="M20" s="353">
        <v>4</v>
      </c>
    </row>
    <row r="21" spans="1:13" ht="20.7" customHeight="1">
      <c r="A21" s="590"/>
      <c r="B21" s="371" t="s">
        <v>1459</v>
      </c>
      <c r="C21" s="354">
        <f t="shared" si="0"/>
        <v>3</v>
      </c>
      <c r="D21" s="375" t="s">
        <v>1459</v>
      </c>
      <c r="E21" s="376" t="str">
        <f t="shared" si="2"/>
        <v>x</v>
      </c>
      <c r="F21" s="376" t="str">
        <f t="shared" si="2"/>
        <v>x</v>
      </c>
      <c r="G21" s="376" t="str">
        <f t="shared" si="2"/>
        <v>x</v>
      </c>
      <c r="H21" s="376" t="str">
        <f t="shared" si="2"/>
        <v/>
      </c>
      <c r="I21" s="376" t="str">
        <f t="shared" si="2"/>
        <v/>
      </c>
      <c r="M21" s="353">
        <v>3</v>
      </c>
    </row>
    <row r="22" spans="1:13" ht="20.7" customHeight="1">
      <c r="A22" s="591" t="s">
        <v>1456</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1"/>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1"/>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2"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1150</v>
      </c>
      <c r="E24" s="232" t="s">
        <v>1186</v>
      </c>
      <c r="G24" s="245" t="s">
        <v>1159</v>
      </c>
      <c r="H24" s="149" t="s">
        <v>1187</v>
      </c>
    </row>
  </sheetData>
  <conditionalFormatting sqref="V10">
    <cfRule type="cellIs" dxfId="11" priority="11" operator="equal">
      <formula>"x"</formula>
    </cfRule>
    <cfRule type="cellIs" dxfId="10" priority="12" operator="equal">
      <formula>0</formula>
    </cfRule>
  </conditionalFormatting>
  <conditionalFormatting sqref="D23:T23 G24 D24">
    <cfRule type="cellIs" dxfId="9" priority="8" operator="equal">
      <formula>"s"</formula>
    </cfRule>
    <cfRule type="cellIs" dxfId="8" priority="9" operator="equal">
      <formula>"a"</formula>
    </cfRule>
    <cfRule type="cellIs" dxfId="7" priority="10" operator="equal">
      <formula>0</formula>
    </cfRule>
  </conditionalFormatting>
  <conditionalFormatting sqref="U23">
    <cfRule type="cellIs" dxfId="6" priority="4" operator="equal">
      <formula>"s"</formula>
    </cfRule>
    <cfRule type="cellIs" dxfId="5" priority="5" operator="equal">
      <formula>"a"</formula>
    </cfRule>
    <cfRule type="cellIs" dxfId="4" priority="6" operator="equal">
      <formula>0</formula>
    </cfRule>
  </conditionalFormatting>
  <conditionalFormatting sqref="D11:U22">
    <cfRule type="cellIs" dxfId="3" priority="1" operator="equal">
      <formula>"s"</formula>
    </cfRule>
    <cfRule type="cellIs" dxfId="2" priority="2" operator="equal">
      <formula>"a"</formula>
    </cfRule>
    <cfRule type="cellIs" dxfId="1"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3" t="str">
        <f>_xlfn.CONCAT('P1PA-SS'!B139,"(",'P1PA-SS'!B140,")")</f>
        <v>All projects(AP)</v>
      </c>
      <c r="B2" s="226" t="str">
        <f>'Project&amp;Support'!B3</f>
        <v>p1Falcon9</v>
      </c>
      <c r="C2" s="227" t="str">
        <f>'Project&amp;Support'!AB3</f>
        <v>xx</v>
      </c>
      <c r="D2" s="226" t="str">
        <f>'Project&amp;Support'!C3</f>
        <v>Falcon project description</v>
      </c>
      <c r="E2" s="603" t="str">
        <f>_xlfn.CONCAT(StartupInfo!B5,", ",StartupInfo!B6,", ",StartupInfo!B7,CHAR(13),CHAR(10),StartupInfo!B8,", ",StartupInfo!B9)</f>
        <v>Room 1, Dome 1, No. 1 First Street, Base Alpha City_x000D_
Tharsis, Planet04</v>
      </c>
    </row>
    <row r="3" spans="1:5" ht="63" customHeight="1">
      <c r="A3" s="603"/>
      <c r="B3" s="226" t="str">
        <f>'Project&amp;Support'!B4</f>
        <v>p2Raptor</v>
      </c>
      <c r="C3" s="227" t="str">
        <f>'Project&amp;Support'!AB4</f>
        <v>xx</v>
      </c>
      <c r="D3" s="226" t="str">
        <f>'Project&amp;Support'!C4</f>
        <v>Raptor project description</v>
      </c>
      <c r="E3" s="603"/>
    </row>
    <row r="4" spans="1:5" ht="63" customHeight="1">
      <c r="A4" s="603"/>
      <c r="B4" s="226" t="str">
        <f>'Project&amp;Support'!B5</f>
        <v>p3Starship</v>
      </c>
      <c r="C4" s="227" t="str">
        <f>'Project&amp;Support'!AB5</f>
        <v>xx</v>
      </c>
      <c r="D4" s="226" t="str">
        <f>'Project&amp;Support'!C5</f>
        <v>Startship project description</v>
      </c>
      <c r="E4" s="603"/>
    </row>
    <row r="5" spans="1:5" ht="63" customHeight="1">
      <c r="A5" s="603"/>
      <c r="B5" s="226" t="str">
        <f>'Project&amp;Support'!B6</f>
        <v>p4SupperHeavy</v>
      </c>
      <c r="C5" s="227" t="str">
        <f>'Project&amp;Support'!AB6</f>
        <v>xx</v>
      </c>
      <c r="D5" s="226" t="str">
        <f>'Project&amp;Support'!C6</f>
        <v>Super Heavy description</v>
      </c>
      <c r="E5" s="603"/>
    </row>
    <row r="6" spans="1:5" ht="42" hidden="1">
      <c r="A6" s="603"/>
      <c r="B6" s="226" t="s">
        <v>1640</v>
      </c>
      <c r="C6" s="227">
        <f>'Project&amp;Support'!AB7</f>
        <v>1</v>
      </c>
      <c r="D6" s="226" t="str">
        <f>'Project&amp;Support'!C7</f>
        <v>The Configuration Management (CM) function, manages baselines for projects and the organisation.</v>
      </c>
      <c r="E6" s="603"/>
    </row>
    <row r="7" spans="1:5" ht="105" hidden="1">
      <c r="A7" s="603"/>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3"/>
    </row>
    <row r="8" spans="1:5" ht="63" hidden="1">
      <c r="A8" s="603"/>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3"/>
    </row>
    <row r="9" spans="1:5" ht="42" hidden="1">
      <c r="A9" s="603"/>
      <c r="B9" s="226" t="str">
        <f>'Project&amp;Support'!B10</f>
        <v>s4PPQA</v>
      </c>
      <c r="C9" s="227">
        <f>'Project&amp;Support'!AB10</f>
        <v>1</v>
      </c>
      <c r="D9" s="226" t="str">
        <f>'Project&amp;Support'!C10</f>
        <v xml:space="preserve">The Process and Product Quality Assurance (PPQA) team manage and performs process quality assurance. </v>
      </c>
      <c r="E9" s="603"/>
    </row>
    <row r="10" spans="1:5" ht="21" hidden="1">
      <c r="A10" s="603"/>
      <c r="B10" s="226">
        <f>'Project&amp;Support'!B11</f>
        <v>0</v>
      </c>
      <c r="C10" s="227">
        <f>'Project&amp;Support'!AB11</f>
        <v>0</v>
      </c>
      <c r="D10" s="226">
        <f>'Project&amp;Support'!C11</f>
        <v>0</v>
      </c>
      <c r="E10" s="603"/>
    </row>
    <row r="11" spans="1:5" ht="21" hidden="1">
      <c r="A11" s="603"/>
      <c r="B11" s="226">
        <f>'Project&amp;Support'!B12</f>
        <v>0</v>
      </c>
      <c r="C11" s="227">
        <f>'Project&amp;Support'!AB12</f>
        <v>0</v>
      </c>
      <c r="D11" s="226">
        <f>'Project&amp;Support'!C12</f>
        <v>0</v>
      </c>
      <c r="E11" s="603"/>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0" t="s">
        <v>1109</v>
      </c>
      <c r="B16" s="226" t="str">
        <f>'Project&amp;Support'!B7</f>
        <v>s1CM</v>
      </c>
      <c r="C16" s="228">
        <f>'Project&amp;Support'!AB7</f>
        <v>1</v>
      </c>
      <c r="D16" s="226" t="str">
        <f>'Project&amp;Support'!C7</f>
        <v>The Configuration Management (CM) function, manages baselines for projects and the organisation.</v>
      </c>
      <c r="E16" s="604" t="str">
        <f>StartupInfo!B11</f>
        <v>Room 1, Dome 1, No. 1 First Street, Base Alpha City, Tharsis, Planet04, China</v>
      </c>
    </row>
    <row r="17" spans="1:5" ht="105">
      <c r="A17" s="601"/>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5"/>
    </row>
    <row r="18" spans="1:5" ht="63">
      <c r="A18" s="601"/>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5"/>
    </row>
    <row r="19" spans="1:5" ht="42">
      <c r="A19" s="601"/>
      <c r="B19" s="226" t="str">
        <f>'Project&amp;Support'!B10</f>
        <v>s4PPQA</v>
      </c>
      <c r="C19" s="228">
        <f>'Project&amp;Support'!AB10</f>
        <v>1</v>
      </c>
      <c r="D19" s="226" t="str">
        <f>'Project&amp;Support'!C10</f>
        <v xml:space="preserve">The Process and Product Quality Assurance (PPQA) team manage and performs process quality assurance. </v>
      </c>
      <c r="E19" s="605"/>
    </row>
    <row r="20" spans="1:5" ht="126" hidden="1" customHeight="1">
      <c r="A20" s="601"/>
      <c r="B20" s="226">
        <f>'Project&amp;Support'!B11</f>
        <v>0</v>
      </c>
      <c r="C20" s="228">
        <f>'Project&amp;Support'!AB11</f>
        <v>0</v>
      </c>
      <c r="D20" s="226">
        <f>'Project&amp;Support'!C11</f>
        <v>0</v>
      </c>
      <c r="E20" s="605"/>
    </row>
    <row r="21" spans="1:5" ht="126" hidden="1" customHeight="1">
      <c r="A21" s="602"/>
      <c r="B21" s="226">
        <f>'Project&amp;Support'!B12</f>
        <v>0</v>
      </c>
      <c r="C21" s="228">
        <f>'Project&amp;Support'!AB12</f>
        <v>0</v>
      </c>
      <c r="D21" s="226">
        <f>'Project&amp;Support'!C12</f>
        <v>0</v>
      </c>
      <c r="E21" s="606"/>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7" t="s">
        <v>1102</v>
      </c>
      <c r="C2" s="608"/>
      <c r="D2" s="608"/>
      <c r="E2" s="378"/>
      <c r="F2" s="378"/>
      <c r="G2" s="378"/>
      <c r="H2" s="378"/>
      <c r="I2" s="378"/>
      <c r="J2" s="378"/>
      <c r="K2" s="378"/>
      <c r="L2" s="378"/>
      <c r="M2" s="378"/>
    </row>
    <row r="3" spans="2:13" ht="31.2">
      <c r="B3" s="404">
        <v>1</v>
      </c>
      <c r="C3" s="399" t="s">
        <v>1188</v>
      </c>
      <c r="D3" s="399" t="s">
        <v>1189</v>
      </c>
    </row>
    <row r="4" spans="2:13" ht="31.2">
      <c r="B4" s="404">
        <v>2</v>
      </c>
      <c r="C4" s="399" t="s">
        <v>1190</v>
      </c>
      <c r="D4" s="399" t="s">
        <v>1191</v>
      </c>
    </row>
    <row r="5" spans="2:13" ht="31.2">
      <c r="B5" s="404">
        <v>3</v>
      </c>
      <c r="C5" s="399" t="s">
        <v>1192</v>
      </c>
      <c r="D5" s="399" t="s">
        <v>1193</v>
      </c>
    </row>
    <row r="6" spans="2:13">
      <c r="B6" s="404">
        <v>4</v>
      </c>
      <c r="C6" s="399" t="s">
        <v>1103</v>
      </c>
      <c r="D6" s="399" t="s">
        <v>1104</v>
      </c>
    </row>
    <row r="7" spans="2:13" ht="31.2">
      <c r="B7" s="404">
        <v>5</v>
      </c>
      <c r="C7" s="399" t="s">
        <v>1194</v>
      </c>
      <c r="D7" s="399" t="s">
        <v>1195</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7" t="s">
        <v>1101</v>
      </c>
      <c r="C18" s="608"/>
      <c r="D18" s="608"/>
    </row>
    <row r="19" spans="2:4" ht="31.2">
      <c r="B19" s="404">
        <v>1</v>
      </c>
      <c r="C19" s="399" t="s">
        <v>1196</v>
      </c>
      <c r="D19" s="399" t="s">
        <v>1197</v>
      </c>
    </row>
    <row r="20" spans="2:4" ht="46.8">
      <c r="B20" s="404">
        <v>2</v>
      </c>
      <c r="C20" s="399" t="s">
        <v>1198</v>
      </c>
      <c r="D20" s="399" t="s">
        <v>1199</v>
      </c>
    </row>
    <row r="21" spans="2:4" ht="46.8">
      <c r="B21" s="404">
        <v>3</v>
      </c>
      <c r="C21" s="399" t="s">
        <v>1200</v>
      </c>
      <c r="D21" s="399" t="s">
        <v>1201</v>
      </c>
    </row>
    <row r="22" spans="2:4" ht="46.8">
      <c r="B22" s="404">
        <v>4</v>
      </c>
      <c r="C22" s="399" t="s">
        <v>1202</v>
      </c>
      <c r="D22" s="399" t="s">
        <v>1203</v>
      </c>
    </row>
    <row r="23" spans="2:4" ht="46.8">
      <c r="B23" s="404">
        <v>5</v>
      </c>
      <c r="C23" s="399" t="s">
        <v>1204</v>
      </c>
      <c r="D23" s="399" t="s">
        <v>1205</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1151</v>
      </c>
      <c r="AN4" s="25" t="s">
        <v>1621</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1152</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1290</v>
      </c>
    </row>
    <row r="2" spans="1:3">
      <c r="A2" s="124" t="s">
        <v>1291</v>
      </c>
      <c r="B2" s="124" t="s">
        <v>1318</v>
      </c>
      <c r="C2" s="124" t="s">
        <v>1319</v>
      </c>
    </row>
    <row r="3" spans="1:3">
      <c r="A3" s="124" t="s">
        <v>876</v>
      </c>
      <c r="B3" s="124" t="s">
        <v>1310</v>
      </c>
      <c r="C3" s="124" t="s">
        <v>1292</v>
      </c>
    </row>
    <row r="4" spans="1:3">
      <c r="A4" s="124" t="s">
        <v>827</v>
      </c>
      <c r="B4" s="124" t="s">
        <v>1293</v>
      </c>
      <c r="C4" s="124" t="s">
        <v>1293</v>
      </c>
    </row>
    <row r="5" spans="1:3">
      <c r="A5" s="124" t="s">
        <v>877</v>
      </c>
      <c r="B5" s="124" t="s">
        <v>1294</v>
      </c>
      <c r="C5" s="124" t="s">
        <v>1294</v>
      </c>
    </row>
    <row r="6" spans="1:3">
      <c r="A6" s="124" t="s">
        <v>875</v>
      </c>
      <c r="B6" s="124" t="s">
        <v>1311</v>
      </c>
      <c r="C6" s="124" t="s">
        <v>1295</v>
      </c>
    </row>
    <row r="7" spans="1:3">
      <c r="A7" s="124" t="s">
        <v>874</v>
      </c>
      <c r="B7" s="124" t="s">
        <v>1312</v>
      </c>
      <c r="C7" s="124" t="s">
        <v>1296</v>
      </c>
    </row>
    <row r="8" spans="1:3">
      <c r="A8" s="124" t="s">
        <v>873</v>
      </c>
      <c r="B8" s="124" t="s">
        <v>1297</v>
      </c>
      <c r="C8" s="124" t="s">
        <v>1297</v>
      </c>
    </row>
    <row r="9" spans="1:3">
      <c r="A9" s="124" t="s">
        <v>882</v>
      </c>
      <c r="B9" s="124" t="s">
        <v>1298</v>
      </c>
      <c r="C9" s="124" t="s">
        <v>1298</v>
      </c>
    </row>
    <row r="10" spans="1:3">
      <c r="A10" s="124" t="s">
        <v>884</v>
      </c>
      <c r="B10" s="124" t="s">
        <v>1313</v>
      </c>
      <c r="C10" s="124" t="s">
        <v>1299</v>
      </c>
    </row>
    <row r="11" spans="1:3">
      <c r="A11" s="124" t="s">
        <v>883</v>
      </c>
      <c r="B11" s="124" t="s">
        <v>1314</v>
      </c>
      <c r="C11" s="124" t="s">
        <v>1300</v>
      </c>
    </row>
    <row r="12" spans="1:3">
      <c r="A12" s="124" t="s">
        <v>881</v>
      </c>
      <c r="B12" s="124" t="s">
        <v>1315</v>
      </c>
      <c r="C12" s="124" t="s">
        <v>1301</v>
      </c>
    </row>
    <row r="13" spans="1:3">
      <c r="A13" s="124" t="s">
        <v>745</v>
      </c>
      <c r="B13" s="124" t="s">
        <v>31</v>
      </c>
      <c r="C13" s="124" t="s">
        <v>1302</v>
      </c>
    </row>
    <row r="14" spans="1:3">
      <c r="A14" s="124" t="s">
        <v>885</v>
      </c>
      <c r="B14" s="124" t="s">
        <v>32</v>
      </c>
      <c r="C14" s="124" t="s">
        <v>1303</v>
      </c>
    </row>
    <row r="15" spans="1:3">
      <c r="A15" s="124" t="s">
        <v>886</v>
      </c>
      <c r="B15" s="124" t="s">
        <v>33</v>
      </c>
      <c r="C15" s="124" t="s">
        <v>1304</v>
      </c>
    </row>
    <row r="16" spans="1:3">
      <c r="A16" s="124" t="s">
        <v>743</v>
      </c>
      <c r="B16" s="124" t="s">
        <v>34</v>
      </c>
      <c r="C16" s="124" t="s">
        <v>1305</v>
      </c>
    </row>
    <row r="17" spans="1:3">
      <c r="A17" s="124" t="s">
        <v>880</v>
      </c>
      <c r="B17" s="124" t="s">
        <v>35</v>
      </c>
      <c r="C17" s="124" t="s">
        <v>1306</v>
      </c>
    </row>
    <row r="18" spans="1:3">
      <c r="A18" s="124" t="s">
        <v>879</v>
      </c>
      <c r="B18" s="124" t="s">
        <v>17</v>
      </c>
      <c r="C18" s="124" t="s">
        <v>32</v>
      </c>
    </row>
    <row r="19" spans="1:3">
      <c r="A19" s="124" t="s">
        <v>878</v>
      </c>
      <c r="B19" s="124" t="s">
        <v>1316</v>
      </c>
      <c r="C19" s="124" t="s">
        <v>1307</v>
      </c>
    </row>
    <row r="20" spans="1:3">
      <c r="A20" s="124" t="s">
        <v>900</v>
      </c>
      <c r="C20" s="124" t="s">
        <v>34</v>
      </c>
    </row>
    <row r="21" spans="1:3">
      <c r="A21" s="124" t="s">
        <v>901</v>
      </c>
      <c r="C21" s="124" t="s">
        <v>35</v>
      </c>
    </row>
    <row r="22" spans="1:3">
      <c r="C22" s="124" t="s">
        <v>1308</v>
      </c>
    </row>
    <row r="23" spans="1:3">
      <c r="C23" s="124" t="s">
        <v>1309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2022-08-12T16:02:34Z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