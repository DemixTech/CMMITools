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4CA7EC26-7CEC-4241-8325-C918EB058C00}" xr6:coauthVersionLast="47" xr6:coauthVersionMax="47" xr10:uidLastSave="{00000000-0000-0000-0000-000000000000}"/>
  <bookViews>
    <workbookView xWindow="-120" yWindow="-16320" windowWidth="29040" windowHeight="15720" tabRatio="859" firstSheet="3" activeTab="5"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0" r:id="rId53"/>
    <pivotCache cacheId="1" r:id="rId54"/>
    <pivotCache cacheId="2" r:id="rId55"/>
    <pivotCache cacheId="3" r:id="rId56"/>
    <pivotCache cacheId="4" r:id="rId57"/>
    <pivotCache cacheId="5"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<sst xmlns="http://schemas.openxmlformats.org/spreadsheetml/2006/main" count="4362" uniqueCount="1723">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</sst>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abSelected="1" topLeftCell="A17" workbookViewId="0">
      <selection activeCell="H37" sqref="H37"/>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21</v>
      </c>
    </row>
    <row r="38" spans="1:4" s="116" customFormat="1">
      <c r="A38" s="116" t="s">
        <v>1126</v>
      </c>
      <c r="B38" s="238">
        <f>B36+B37-1</f>
        <v>44322</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37"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70.8">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1530</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v>10</v>
      </c>
      <c r="AC3" s="269" t="s">
        <v>1303</v>
      </c>
      <c r="AD3" s="269"/>
      <c r="AE3" s="269"/>
      <c r="AF3" s="269"/>
      <c r="AG3" s="269"/>
      <c r="AH3" s="269"/>
      <c r="AI3" s="269"/>
      <c r="AJ3" s="270"/>
    </row>
    <row r="4" spans="1:36" s="264" customFormat="1" ht="13.8">
      <c r="A4" s="265" t="s">
        <v>897</v>
      </c>
      <c r="B4" s="264" t="s">
        <v>1531</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v>11</v>
      </c>
      <c r="AC4" s="269" t="s">
        <v>1303</v>
      </c>
      <c r="AD4" s="269"/>
      <c r="AE4" s="269"/>
      <c r="AF4" s="269"/>
      <c r="AG4" s="269"/>
      <c r="AH4" s="269"/>
      <c r="AI4" s="269"/>
      <c r="AJ4" s="270"/>
    </row>
    <row r="5" spans="1:36" s="264" customFormat="1" ht="13.8">
      <c r="A5" s="265" t="s">
        <v>898</v>
      </c>
      <c r="B5" s="264" t="s">
        <v>1533</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v>9</v>
      </c>
      <c r="AC5" s="269"/>
      <c r="AD5" s="269" t="s">
        <v>1303</v>
      </c>
      <c r="AE5" s="269"/>
      <c r="AF5" s="269"/>
      <c r="AG5" s="269"/>
      <c r="AH5" s="269"/>
      <c r="AI5" s="269"/>
      <c r="AJ5" s="270"/>
    </row>
    <row r="6" spans="1:36" s="264" customFormat="1" ht="13.8">
      <c r="A6" s="265" t="s">
        <v>899</v>
      </c>
      <c r="B6" s="264" t="s">
        <v>1535</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v>7</v>
      </c>
      <c r="AC6" s="269"/>
      <c r="AD6" s="269" t="s">
        <v>411</v>
      </c>
      <c r="AE6" s="269"/>
      <c r="AF6" s="269"/>
      <c r="AG6" s="269"/>
      <c r="AH6" s="269"/>
      <c r="AI6" s="269"/>
      <c r="AJ6" s="270"/>
    </row>
    <row r="7" spans="1:36" s="264" customFormat="1" ht="27.6">
      <c r="A7" s="273" t="s">
        <v>901</v>
      </c>
      <c r="B7" s="273" t="s">
        <v>1347</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1348</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v>1</v>
      </c>
      <c r="AC8" s="269"/>
      <c r="AD8" s="269"/>
      <c r="AE8" s="269"/>
      <c r="AF8" s="269" t="s">
        <v>411</v>
      </c>
      <c r="AG8" s="269" t="s">
        <v>411</v>
      </c>
      <c r="AH8" s="269"/>
      <c r="AI8" s="269"/>
      <c r="AJ8" s="270"/>
    </row>
    <row r="9" spans="1:36" s="264" customFormat="1" ht="41.4">
      <c r="A9" s="273" t="s">
        <v>903</v>
      </c>
      <c r="B9" s="273" t="s">
        <v>1349</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1350</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str">
        <f>VLOOKUP(E31,B3:D27,2,FALSE)</f>
        <v>Surname, Process manager2</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44322</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66"/>
      <c r="D6" s="451"/>
      <c r="E6" s="466"/>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66"/>
      <c r="D7" s="452"/>
      <c r="E7" s="466"/>
      <c r="F7" s="452"/>
      <c r="G7" s="442" t="s">
        <v>1443</v>
      </c>
      <c r="H7" s="452"/>
      <c r="I7" s="467" t="s">
        <v>987</v>
      </c>
      <c r="J7" s="452"/>
      <c r="K7" s="478" t="s">
        <v>1681</v>
      </c>
      <c r="L7" s="452"/>
      <c r="M7" s="478" t="s">
        <v>991</v>
      </c>
      <c r="N7" s="452"/>
      <c r="O7" s="475" t="s">
        <v>1682</v>
      </c>
      <c r="P7" s="452"/>
      <c r="Q7" s="440">
        <v>0.4375</v>
      </c>
      <c r="R7" s="440">
        <v>0.1875</v>
      </c>
      <c r="T7" s="432">
        <f>T4-T6</f>
        <v>100</v>
      </c>
    </row>
    <row r="8" spans="1:20" ht="19.95" customHeight="1">
      <c r="A8" s="440">
        <v>0.45833333333333331</v>
      </c>
      <c r="B8" s="440">
        <v>0.20833333333333334</v>
      </c>
      <c r="C8" s="470" t="s">
        <v>1698</v>
      </c>
      <c r="D8" s="452"/>
      <c r="E8" s="470" t="s">
        <v>1698</v>
      </c>
      <c r="F8" s="452"/>
      <c r="G8" s="475" t="s">
        <v>1683</v>
      </c>
      <c r="H8" s="452"/>
      <c r="I8" s="467"/>
      <c r="J8" s="452"/>
      <c r="K8" s="478"/>
      <c r="L8" s="452"/>
      <c r="M8" s="478"/>
      <c r="N8" s="452"/>
      <c r="O8" s="475"/>
      <c r="P8" s="452"/>
      <c r="Q8" s="440">
        <v>0.45833333333333331</v>
      </c>
      <c r="R8" s="440">
        <v>0.20833333333333334</v>
      </c>
      <c r="T8" s="432">
        <f>ROUNDUP(T7/7,0)</f>
        <v>15</v>
      </c>
    </row>
    <row r="9" spans="1:20" ht="19.95" customHeight="1">
      <c r="A9" s="440">
        <v>0.47916666666666663</v>
      </c>
      <c r="B9" s="440">
        <v>0.22916666666666669</v>
      </c>
      <c r="C9" s="471"/>
      <c r="D9" s="452"/>
      <c r="E9" s="471"/>
      <c r="F9" s="452"/>
      <c r="G9" s="475"/>
      <c r="H9" s="452"/>
      <c r="I9" s="467"/>
      <c r="J9" s="452"/>
      <c r="K9" s="478"/>
      <c r="L9" s="452"/>
      <c r="M9" s="441" t="s">
        <v>609</v>
      </c>
      <c r="N9" s="452"/>
      <c r="O9" s="477" t="s">
        <v>1684</v>
      </c>
      <c r="P9" s="452"/>
      <c r="Q9" s="440">
        <v>0.47916666666666663</v>
      </c>
      <c r="R9" s="440">
        <v>0.22916666666666669</v>
      </c>
    </row>
    <row r="10" spans="1:20" ht="19.95" customHeight="1">
      <c r="A10" s="440">
        <v>0.49999999999999994</v>
      </c>
      <c r="B10" s="440">
        <v>0.25</v>
      </c>
      <c r="C10" s="471"/>
      <c r="D10" s="452"/>
      <c r="E10" s="471"/>
      <c r="F10" s="452"/>
      <c r="G10" s="473" t="s">
        <v>936</v>
      </c>
      <c r="H10" s="452"/>
      <c r="I10" s="476" t="s">
        <v>936</v>
      </c>
      <c r="J10" s="452"/>
      <c r="K10" s="476" t="s">
        <v>936</v>
      </c>
      <c r="L10" s="452"/>
      <c r="M10" s="476" t="s">
        <v>936</v>
      </c>
      <c r="N10" s="452"/>
      <c r="O10" s="477"/>
      <c r="P10" s="452"/>
      <c r="Q10" s="440">
        <v>0.49999999999999994</v>
      </c>
      <c r="R10" s="440">
        <v>0.25</v>
      </c>
    </row>
    <row r="11" spans="1:20" ht="19.95" customHeight="1">
      <c r="A11" s="440">
        <v>0.52083333333333326</v>
      </c>
      <c r="B11" s="440">
        <v>0.27083333333333331</v>
      </c>
      <c r="C11" s="471"/>
      <c r="D11" s="452"/>
      <c r="E11" s="471"/>
      <c r="F11" s="452"/>
      <c r="G11" s="474"/>
      <c r="H11" s="452"/>
      <c r="I11" s="476"/>
      <c r="J11" s="452"/>
      <c r="K11" s="476"/>
      <c r="L11" s="452"/>
      <c r="M11" s="476"/>
      <c r="N11" s="452"/>
      <c r="O11" s="476" t="s">
        <v>936</v>
      </c>
      <c r="P11" s="452"/>
      <c r="Q11" s="440">
        <v>0.52083333333333326</v>
      </c>
      <c r="R11" s="440">
        <v>0.27083333333333331</v>
      </c>
    </row>
    <row r="12" spans="1:20" ht="19.95" customHeight="1">
      <c r="A12" s="440">
        <v>0.54166666666666663</v>
      </c>
      <c r="B12" s="440">
        <v>0.29166666666666663</v>
      </c>
      <c r="C12" s="471"/>
      <c r="D12" s="452"/>
      <c r="E12" s="471"/>
      <c r="F12" s="452"/>
      <c r="G12" s="470" t="s">
        <v>1686</v>
      </c>
      <c r="H12" s="452"/>
      <c r="I12" s="478" t="s">
        <v>987</v>
      </c>
      <c r="J12" s="452"/>
      <c r="K12" s="478" t="s">
        <v>1681</v>
      </c>
      <c r="L12" s="452"/>
      <c r="M12" s="479" t="s">
        <v>1703</v>
      </c>
      <c r="N12" s="452"/>
      <c r="O12" s="476"/>
      <c r="P12" s="452"/>
      <c r="Q12" s="440">
        <v>0.54166666666666663</v>
      </c>
      <c r="R12" s="440">
        <v>0.29166666666666663</v>
      </c>
    </row>
    <row r="13" spans="1:20" ht="19.95" customHeight="1">
      <c r="A13" s="440">
        <v>0.5625</v>
      </c>
      <c r="B13" s="440">
        <v>0.31249999999999994</v>
      </c>
      <c r="C13" s="471"/>
      <c r="D13" s="452"/>
      <c r="E13" s="471"/>
      <c r="F13" s="452"/>
      <c r="G13" s="471"/>
      <c r="H13" s="452"/>
      <c r="I13" s="478"/>
      <c r="J13" s="452"/>
      <c r="K13" s="478"/>
      <c r="L13" s="452"/>
      <c r="M13" s="479"/>
      <c r="N13" s="452"/>
      <c r="O13" s="479" t="s">
        <v>1685</v>
      </c>
      <c r="P13" s="452"/>
      <c r="Q13" s="440">
        <v>0.5625</v>
      </c>
      <c r="R13" s="440">
        <v>0.31249999999999994</v>
      </c>
    </row>
    <row r="14" spans="1:20" ht="19.95" customHeight="1">
      <c r="A14" s="440">
        <v>0.58333333333333337</v>
      </c>
      <c r="B14" s="440">
        <v>0.33333333333333326</v>
      </c>
      <c r="C14" s="471"/>
      <c r="D14" s="452"/>
      <c r="E14" s="471"/>
      <c r="F14" s="452"/>
      <c r="G14" s="471"/>
      <c r="H14" s="452"/>
      <c r="I14" s="478"/>
      <c r="J14" s="452"/>
      <c r="K14" s="478"/>
      <c r="L14" s="452"/>
      <c r="M14" s="479"/>
      <c r="N14" s="452"/>
      <c r="O14" s="479"/>
      <c r="P14" s="452"/>
      <c r="Q14" s="440">
        <v>0.58333333333333337</v>
      </c>
      <c r="R14" s="440">
        <v>0.33333333333333326</v>
      </c>
    </row>
    <row r="15" spans="1:20" ht="19.95" customHeight="1">
      <c r="A15" s="440">
        <v>0.60416666666666674</v>
      </c>
      <c r="B15" s="440">
        <v>0.35416666666666657</v>
      </c>
      <c r="C15" s="471"/>
      <c r="D15" s="452"/>
      <c r="E15" s="471"/>
      <c r="F15" s="452"/>
      <c r="G15" s="471"/>
      <c r="H15" s="452"/>
      <c r="I15" s="478"/>
      <c r="J15" s="452"/>
      <c r="K15" s="478"/>
      <c r="L15" s="452"/>
      <c r="M15" s="479"/>
      <c r="N15" s="452"/>
      <c r="O15" s="479"/>
      <c r="P15" s="452"/>
      <c r="Q15" s="440">
        <v>0.60416666666666674</v>
      </c>
      <c r="R15" s="440">
        <v>0.35416666666666657</v>
      </c>
    </row>
    <row r="16" spans="1:20" ht="19.95" customHeight="1">
      <c r="A16" s="440">
        <v>0.62500000000000011</v>
      </c>
      <c r="B16" s="440">
        <v>0.37499999999999989</v>
      </c>
      <c r="C16" s="471"/>
      <c r="D16" s="452"/>
      <c r="E16" s="471"/>
      <c r="F16" s="452"/>
      <c r="G16" s="472"/>
      <c r="H16" s="452"/>
      <c r="I16" s="478"/>
      <c r="J16" s="452"/>
      <c r="K16" s="478"/>
      <c r="L16" s="452"/>
      <c r="M16" s="478" t="s">
        <v>1687</v>
      </c>
      <c r="N16" s="452"/>
      <c r="O16" s="477" t="s">
        <v>1706</v>
      </c>
      <c r="P16" s="452"/>
      <c r="Q16" s="440">
        <v>0.62500000000000011</v>
      </c>
      <c r="R16" s="440">
        <v>0.37499999999999989</v>
      </c>
    </row>
    <row r="17" spans="1:18" ht="19.95" customHeight="1">
      <c r="A17" s="440">
        <v>0.64583333333333348</v>
      </c>
      <c r="B17" s="440">
        <v>0.3958333333333332</v>
      </c>
      <c r="C17" s="471"/>
      <c r="D17" s="452"/>
      <c r="E17" s="471"/>
      <c r="F17" s="452"/>
      <c r="G17" s="441" t="s">
        <v>609</v>
      </c>
      <c r="H17" s="452"/>
      <c r="I17" s="479" t="s">
        <v>609</v>
      </c>
      <c r="J17" s="452"/>
      <c r="K17" s="478"/>
      <c r="L17" s="452"/>
      <c r="M17" s="478"/>
      <c r="N17" s="452"/>
      <c r="O17" s="477"/>
      <c r="P17" s="452"/>
      <c r="Q17" s="440">
        <v>0.64583333333333348</v>
      </c>
      <c r="R17" s="440">
        <v>0.3958333333333332</v>
      </c>
    </row>
    <row r="18" spans="1:18" ht="19.95" customHeight="1">
      <c r="A18" s="440">
        <v>0.66666666666666685</v>
      </c>
      <c r="B18" s="440">
        <v>0.41666666666666652</v>
      </c>
      <c r="C18" s="471"/>
      <c r="D18" s="452"/>
      <c r="E18" s="471"/>
      <c r="F18" s="452"/>
      <c r="G18" s="478" t="s">
        <v>1686</v>
      </c>
      <c r="H18" s="452"/>
      <c r="I18" s="479"/>
      <c r="J18" s="452"/>
      <c r="K18" s="441" t="s">
        <v>609</v>
      </c>
      <c r="L18" s="452"/>
      <c r="M18" s="479" t="s">
        <v>1705</v>
      </c>
      <c r="N18" s="452"/>
      <c r="O18" s="490" t="s">
        <v>1689</v>
      </c>
      <c r="P18" s="452"/>
      <c r="Q18" s="440">
        <v>0.66666666666666685</v>
      </c>
      <c r="R18" s="440">
        <v>0.41666666666666652</v>
      </c>
    </row>
    <row r="19" spans="1:18" ht="19.95" customHeight="1">
      <c r="A19" s="440">
        <v>0.68750000000000022</v>
      </c>
      <c r="B19" s="440">
        <v>0.43749999999999983</v>
      </c>
      <c r="C19" s="471"/>
      <c r="D19" s="452"/>
      <c r="E19" s="471"/>
      <c r="F19" s="452"/>
      <c r="G19" s="478"/>
      <c r="H19" s="452"/>
      <c r="I19" s="478" t="s">
        <v>1688</v>
      </c>
      <c r="J19" s="452"/>
      <c r="K19" s="478" t="s">
        <v>990</v>
      </c>
      <c r="L19" s="452"/>
      <c r="M19" s="479"/>
      <c r="N19" s="452"/>
      <c r="O19" s="490"/>
      <c r="P19" s="452"/>
      <c r="Q19" s="440">
        <v>0.68750000000000022</v>
      </c>
      <c r="R19" s="440">
        <v>0.43749999999999983</v>
      </c>
    </row>
    <row r="20" spans="1:18" ht="19.95" customHeight="1">
      <c r="A20" s="440">
        <v>0.70833333333333359</v>
      </c>
      <c r="B20" s="440">
        <v>0.45833333333333315</v>
      </c>
      <c r="C20" s="471"/>
      <c r="D20" s="452"/>
      <c r="E20" s="471"/>
      <c r="F20" s="452"/>
      <c r="G20" s="478"/>
      <c r="H20" s="452"/>
      <c r="I20" s="478"/>
      <c r="J20" s="452"/>
      <c r="K20" s="478"/>
      <c r="L20" s="452"/>
      <c r="M20" s="479"/>
      <c r="N20" s="452"/>
      <c r="O20" s="490"/>
      <c r="P20" s="452"/>
      <c r="Q20" s="440">
        <v>0.70833333333333359</v>
      </c>
      <c r="R20" s="440">
        <v>0.45833333333333315</v>
      </c>
    </row>
    <row r="21" spans="1:18" ht="19.95" customHeight="1">
      <c r="A21" s="440">
        <v>0.72916666666666696</v>
      </c>
      <c r="B21" s="440">
        <v>0.47916666666666646</v>
      </c>
      <c r="C21" s="472"/>
      <c r="D21" s="452"/>
      <c r="E21" s="472"/>
      <c r="F21" s="452"/>
      <c r="G21" s="468" t="s">
        <v>1701</v>
      </c>
      <c r="H21" s="452"/>
      <c r="I21" s="479" t="s">
        <v>1701</v>
      </c>
      <c r="J21" s="452"/>
      <c r="K21" s="479" t="s">
        <v>1701</v>
      </c>
      <c r="L21" s="452"/>
      <c r="M21" s="479"/>
      <c r="N21" s="452"/>
      <c r="O21" s="490"/>
      <c r="P21" s="452"/>
      <c r="Q21" s="440">
        <v>0.72916666666666696</v>
      </c>
      <c r="R21" s="440">
        <v>0.47916666666666646</v>
      </c>
    </row>
    <row r="22" spans="1:18" ht="19.95" customHeight="1">
      <c r="A22" s="440">
        <v>0.75000000000000033</v>
      </c>
      <c r="B22" s="440">
        <v>0.49999999999999978</v>
      </c>
      <c r="C22" s="468" t="s">
        <v>1704</v>
      </c>
      <c r="D22" s="452"/>
      <c r="E22" s="468" t="s">
        <v>1704</v>
      </c>
      <c r="F22" s="452"/>
      <c r="G22" s="469"/>
      <c r="H22" s="452"/>
      <c r="I22" s="479"/>
      <c r="J22" s="452"/>
      <c r="K22" s="479"/>
      <c r="L22" s="452"/>
      <c r="M22" s="479"/>
      <c r="N22" s="452"/>
      <c r="O22" s="480" t="s">
        <v>1702</v>
      </c>
      <c r="P22" s="452"/>
      <c r="Q22" s="440">
        <v>0.75000000000000033</v>
      </c>
      <c r="R22" s="440">
        <v>0.49999999999999978</v>
      </c>
    </row>
    <row r="23" spans="1:18" ht="19.95" customHeight="1">
      <c r="A23" s="440">
        <v>0.7708333333333337</v>
      </c>
      <c r="B23" s="440">
        <v>0.52083333333333315</v>
      </c>
      <c r="C23" s="469"/>
      <c r="D23" s="452"/>
      <c r="E23" s="469"/>
      <c r="F23" s="452"/>
      <c r="G23" s="487" t="s">
        <v>1702</v>
      </c>
      <c r="H23" s="452"/>
      <c r="I23" s="466" t="s">
        <v>1702</v>
      </c>
      <c r="J23" s="452"/>
      <c r="K23" s="466" t="s">
        <v>1702</v>
      </c>
      <c r="L23" s="452"/>
      <c r="M23" s="466" t="s">
        <v>1702</v>
      </c>
      <c r="N23" s="452"/>
      <c r="O23" s="480"/>
      <c r="P23" s="452"/>
      <c r="Q23" s="440">
        <v>0.7708333333333337</v>
      </c>
      <c r="R23" s="440">
        <v>0.52083333333333315</v>
      </c>
    </row>
    <row r="24" spans="1:18" ht="19.95" customHeight="1">
      <c r="A24" s="443">
        <v>0.79166666666666707</v>
      </c>
      <c r="B24" s="443">
        <v>0.54166666666666652</v>
      </c>
      <c r="C24" s="480" t="s">
        <v>1702</v>
      </c>
      <c r="D24" s="452"/>
      <c r="E24" s="480" t="s">
        <v>1702</v>
      </c>
      <c r="F24" s="452"/>
      <c r="G24" s="488"/>
      <c r="H24" s="452"/>
      <c r="I24" s="466"/>
      <c r="J24" s="452"/>
      <c r="K24" s="466"/>
      <c r="L24" s="452"/>
      <c r="M24" s="466"/>
      <c r="N24" s="452"/>
      <c r="O24" s="480"/>
      <c r="P24" s="452"/>
      <c r="Q24" s="443">
        <v>0.79166666666666707</v>
      </c>
      <c r="R24" s="443">
        <v>0.54166666666666652</v>
      </c>
    </row>
    <row r="25" spans="1:18" ht="19.95" customHeight="1">
      <c r="A25" s="443">
        <v>0.81250000000000044</v>
      </c>
      <c r="B25" s="443">
        <v>0.56249999999999989</v>
      </c>
      <c r="C25" s="480"/>
      <c r="D25" s="453"/>
      <c r="E25" s="480"/>
      <c r="F25" s="453"/>
      <c r="G25" s="489"/>
      <c r="H25" s="453"/>
      <c r="I25" s="466"/>
      <c r="J25" s="453"/>
      <c r="K25" s="466"/>
      <c r="L25" s="453"/>
      <c r="M25" s="466"/>
      <c r="N25" s="453"/>
      <c r="O25" s="480"/>
      <c r="P25" s="453"/>
      <c r="Q25" s="443">
        <v>0.81250000000000044</v>
      </c>
      <c r="R25" s="443">
        <v>0.56249999999999989</v>
      </c>
    </row>
    <row r="33" spans="2:18" ht="16.05" customHeight="1">
      <c r="B33" s="444" t="s">
        <v>846</v>
      </c>
      <c r="C33" s="444" t="s">
        <v>847</v>
      </c>
      <c r="D33" s="481" t="s">
        <v>1690</v>
      </c>
      <c r="E33" s="482"/>
      <c r="F33" s="482"/>
      <c r="G33" s="483"/>
      <c r="H33" s="444" t="s">
        <v>1691</v>
      </c>
      <c r="L33" s="484" t="s">
        <v>1700</v>
      </c>
      <c r="M33" s="485"/>
      <c r="N33" s="485"/>
      <c r="O33" s="486"/>
      <c r="R33" s="444" t="s">
        <v>846</v>
      </c>
    </row>
    <row r="34" spans="2:18" ht="16.05" customHeight="1">
      <c r="B34" s="445">
        <v>1</v>
      </c>
      <c r="C34" s="446">
        <f>Planning!B24</f>
        <v>44282</v>
      </c>
      <c r="D34" s="491" t="s">
        <v>1692</v>
      </c>
      <c r="E34" s="491"/>
      <c r="F34" s="491"/>
      <c r="G34" s="491"/>
      <c r="H34" s="447" t="s">
        <v>593</v>
      </c>
      <c r="L34" s="495" t="s">
        <v>1699</v>
      </c>
      <c r="M34" s="496"/>
      <c r="N34" s="496"/>
      <c r="O34" s="497"/>
      <c r="R34" s="445">
        <v>1</v>
      </c>
    </row>
    <row r="35" spans="2:18" ht="16.05" customHeight="1">
      <c r="B35" s="445" t="s">
        <v>1693</v>
      </c>
      <c r="C35" s="446">
        <f>G5</f>
        <v>44298</v>
      </c>
      <c r="D35" s="491" t="s">
        <v>1694</v>
      </c>
      <c r="E35" s="491"/>
      <c r="F35" s="491"/>
      <c r="G35" s="491"/>
      <c r="H35" s="447" t="s">
        <v>625</v>
      </c>
      <c r="L35" s="498" t="s">
        <v>1695</v>
      </c>
      <c r="M35" s="499"/>
      <c r="N35" s="499"/>
      <c r="O35" s="500"/>
      <c r="R35" s="445" t="s">
        <v>1693</v>
      </c>
    </row>
    <row r="36" spans="2:18" ht="16.05" customHeight="1">
      <c r="B36" s="445"/>
      <c r="C36" s="446"/>
      <c r="D36" s="491"/>
      <c r="E36" s="491"/>
      <c r="F36" s="491"/>
      <c r="G36" s="491"/>
      <c r="H36" s="447"/>
      <c r="L36" s="501" t="s">
        <v>1696</v>
      </c>
      <c r="M36" s="502"/>
      <c r="N36" s="502"/>
      <c r="O36" s="503"/>
      <c r="R36" s="445"/>
    </row>
    <row r="37" spans="2:18" ht="16.05" customHeight="1">
      <c r="B37" s="445"/>
      <c r="C37" s="446"/>
      <c r="D37" s="491"/>
      <c r="E37" s="491"/>
      <c r="F37" s="491"/>
      <c r="G37" s="491"/>
      <c r="H37" s="447"/>
      <c r="L37" s="492" t="s">
        <v>1697</v>
      </c>
      <c r="M37" s="493"/>
      <c r="N37" s="493"/>
      <c r="O37" s="494"/>
      <c r="R37" s="445"/>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1195</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28.8">
      <c r="A4" s="521" t="s">
        <v>929</v>
      </c>
      <c r="B4" s="521"/>
      <c r="C4" s="68" t="str">
        <f>J11</f>
        <v>Mini team 1:ATM-5 / ATM-6 / ATM-7</v>
      </c>
      <c r="D4" s="68" t="str">
        <f>M11</f>
        <v>Full team: ATM-1 / ATM-2 / ATM-3 / ATM-4 /ATM-5 / ATM-6 / ATM-7 / ATM-8</v>
      </c>
      <c r="E4" s="68" t="str">
        <f>CONCATENATE("LA team: ",'Agreement 3'!B7," and ATMs if applicable")</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I15" s="134"/>
      <c r="K15" s="138"/>
      <c r="L15" s="134" t="str">
        <f>'P1PA-SS'!B96</f>
        <v>ATM-5</v>
      </c>
      <c r="M15" s="135"/>
      <c r="N15" s="67"/>
      <c r="O15" s="67"/>
      <c r="P15" s="67"/>
    </row>
    <row r="16" spans="1:16">
      <c r="A16" s="525" t="str">
        <f>J4</f>
        <v>Day 3</v>
      </c>
      <c r="B16" s="525"/>
      <c r="C16" s="526">
        <f>I4</f>
        <v>44298</v>
      </c>
      <c r="D16" s="526"/>
      <c r="E16" s="526"/>
      <c r="F16" s="525" t="str">
        <f>A16</f>
        <v>Day 3</v>
      </c>
      <c r="G16" s="525"/>
      <c r="H16" s="65"/>
      <c r="I16" s="134"/>
      <c r="K16" s="138"/>
      <c r="L16" s="134" t="str">
        <f>'P1PA-SS'!B97</f>
        <v>ATM-6</v>
      </c>
      <c r="M16" s="135"/>
      <c r="N16" s="67"/>
      <c r="O16" s="67"/>
      <c r="P16" s="67"/>
    </row>
    <row r="17" spans="1:18" ht="28.8">
      <c r="A17" s="525" t="s">
        <v>929</v>
      </c>
      <c r="B17" s="525"/>
      <c r="C17" s="71" t="str">
        <f>C4</f>
        <v>Mini team 1:ATM-5 / ATM-6 / ATM-7</v>
      </c>
      <c r="D17" s="71" t="str">
        <f>D4</f>
        <v>Full team: ATM-1 / ATM-2 / ATM-3 / ATM-4 /ATM-5 / ATM-6 / ATM-7 / ATM-8</v>
      </c>
      <c r="E17" s="71"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8" t="s">
        <v>984</v>
      </c>
      <c r="D19" s="529"/>
      <c r="E19" s="53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1660</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937</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71" t="str">
        <f>C17</f>
        <v>Mini team 1:ATM-5 / ATM-6 / ATM-7</v>
      </c>
      <c r="D36" s="71" t="str">
        <f>D17</f>
        <v>Full team: ATM-1 / ATM-2 / ATM-3 / ATM-4 /ATM-5 / ATM-6 / ATM-7 / ATM-8</v>
      </c>
      <c r="E36" s="71" t="str">
        <f>E17</f>
        <v>LA team: van Zyl, Pieter and ATMs if applicable</v>
      </c>
      <c r="F36" s="525" t="s">
        <v>930</v>
      </c>
      <c r="G36" s="525"/>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1661</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68" t="str">
        <f>C36</f>
        <v>Mini team 1:ATM-5 / ATM-6 / ATM-7</v>
      </c>
      <c r="D55" s="68" t="str">
        <f>D36</f>
        <v>Full team: ATM-1 / ATM-2 / ATM-3 / ATM-4 /ATM-5 / ATM-6 / ATM-7 / ATM-8</v>
      </c>
      <c r="E55" s="68" t="str">
        <f>E36</f>
        <v>LA team: van Zyl, Pieter and ATMs if applicable</v>
      </c>
      <c r="F55" s="521" t="s">
        <v>930</v>
      </c>
      <c r="G55" s="521"/>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1662</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68" t="str">
        <f>C55</f>
        <v>Mini team 1:ATM-5 / ATM-6 / ATM-7</v>
      </c>
      <c r="D74" s="68" t="str">
        <f>D55</f>
        <v>Full team: ATM-1 / ATM-2 / ATM-3 / ATM-4 /ATM-5 / ATM-6 / ATM-7 / ATM-8</v>
      </c>
      <c r="E74" s="68"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23" t="s">
        <v>940</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68" t="str">
        <f>C74</f>
        <v>Mini team 1:ATM-5 / ATM-6 / ATM-7</v>
      </c>
      <c r="D93" s="68" t="str">
        <f>D74</f>
        <v>Full team: ATM-1 / ATM-2 / ATM-3 / ATM-4 /ATM-5 / ATM-6 / ATM-7 / ATM-8</v>
      </c>
      <c r="E93" s="68"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1196</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49.5" customHeight="1">
      <c r="A4" s="521" t="s">
        <v>929</v>
      </c>
      <c r="B4" s="521"/>
      <c r="C4" s="230" t="str">
        <f>'Schedule4-1P'!C4</f>
        <v>Mini team 1:ATM-5 / ATM-6 / ATM-7</v>
      </c>
      <c r="D4" s="230" t="str">
        <f>'Schedule4-1P'!D4</f>
        <v>Full team: ATM-1 / ATM-2 / ATM-3 / ATM-4 /ATM-5 / ATM-6 / ATM-7 / ATM-8</v>
      </c>
      <c r="E4" s="230" t="str">
        <f>'Schedule4-1P'!E4</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K15" s="138"/>
      <c r="L15" s="134" t="str">
        <f>'P1PA-SS'!B96</f>
        <v>ATM-5</v>
      </c>
      <c r="M15" s="135"/>
      <c r="N15" s="67"/>
      <c r="O15" s="67"/>
      <c r="P15" s="67"/>
    </row>
    <row r="16" spans="1:16">
      <c r="A16" s="525" t="str">
        <f>J4</f>
        <v>Day 3</v>
      </c>
      <c r="B16" s="525"/>
      <c r="C16" s="526">
        <f>I4</f>
        <v>44298</v>
      </c>
      <c r="D16" s="526"/>
      <c r="E16" s="526"/>
      <c r="F16" s="525" t="str">
        <f>A16</f>
        <v>Day 3</v>
      </c>
      <c r="G16" s="525"/>
      <c r="H16" s="65"/>
      <c r="K16" s="138"/>
      <c r="L16" s="134" t="str">
        <f>'P1PA-SS'!B97</f>
        <v>ATM-6</v>
      </c>
      <c r="M16" s="135"/>
      <c r="N16" s="67"/>
      <c r="O16" s="67"/>
      <c r="P16" s="67"/>
    </row>
    <row r="17" spans="1:18" ht="28.8">
      <c r="A17" s="525" t="s">
        <v>929</v>
      </c>
      <c r="B17" s="525"/>
      <c r="C17" s="232" t="str">
        <f>C4</f>
        <v>Mini team 1:ATM-5 / ATM-6 / ATM-7</v>
      </c>
      <c r="D17" s="232" t="str">
        <f>D4</f>
        <v>Full team: ATM-1 / ATM-2 / ATM-3 / ATM-4 /ATM-5 / ATM-6 / ATM-7 / ATM-8</v>
      </c>
      <c r="E17" s="232"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2" t="s">
        <v>984</v>
      </c>
      <c r="D19" s="522"/>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986</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1122</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232" t="str">
        <f>C17</f>
        <v>Mini team 1:ATM-5 / ATM-6 / ATM-7</v>
      </c>
      <c r="D36" s="232" t="str">
        <f>D17</f>
        <v>Full team: ATM-1 / ATM-2 / ATM-3 / ATM-4 /ATM-5 / ATM-6 / ATM-7 / ATM-8</v>
      </c>
      <c r="E36" s="232" t="str">
        <f>E17</f>
        <v>LA team: van Zyl, Pieter and ATMs if applicable</v>
      </c>
      <c r="F36" s="525" t="s">
        <v>930</v>
      </c>
      <c r="G36" s="525"/>
      <c r="H36" s="74"/>
    </row>
    <row r="37" spans="1:16" ht="18" customHeight="1">
      <c r="A37" s="70">
        <v>0.41666666666666669</v>
      </c>
      <c r="B37" s="70">
        <v>0.4375</v>
      </c>
      <c r="C37" s="510" t="s">
        <v>937</v>
      </c>
      <c r="D37" s="510"/>
      <c r="E37" s="231"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987</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230" t="str">
        <f>C36</f>
        <v>Mini team 1:ATM-5 / ATM-6 / ATM-7</v>
      </c>
      <c r="D55" s="230" t="str">
        <f>D36</f>
        <v>Full team: ATM-1 / ATM-2 / ATM-3 / ATM-4 /ATM-5 / ATM-6 / ATM-7 / ATM-8</v>
      </c>
      <c r="E55" s="230" t="str">
        <f>E36</f>
        <v>LA team: van Zyl, Pieter and ATMs if applicable</v>
      </c>
      <c r="F55" s="521" t="s">
        <v>930</v>
      </c>
      <c r="G55" s="521"/>
      <c r="H55" s="74"/>
    </row>
    <row r="56" spans="1:8" ht="18" customHeight="1">
      <c r="A56" s="70">
        <v>0.41666666666666669</v>
      </c>
      <c r="B56" s="70">
        <v>0.4375</v>
      </c>
      <c r="C56" s="510" t="s">
        <v>939</v>
      </c>
      <c r="D56" s="510"/>
      <c r="E56" s="231"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989</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33" t="s">
        <v>1121</v>
      </c>
      <c r="D71" s="534"/>
      <c r="E71" s="535"/>
      <c r="F71" s="70">
        <v>0.47916666666666669</v>
      </c>
      <c r="G71" s="70">
        <v>0.5</v>
      </c>
      <c r="H71" s="74"/>
    </row>
    <row r="72" spans="1:8" ht="18" customHeight="1">
      <c r="A72" s="70">
        <v>0.75</v>
      </c>
      <c r="B72" s="70">
        <v>0.83333333333333337</v>
      </c>
      <c r="C72" s="536"/>
      <c r="D72" s="537"/>
      <c r="E72" s="538"/>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230" t="str">
        <f>C55</f>
        <v>Mini team 1:ATM-5 / ATM-6 / ATM-7</v>
      </c>
      <c r="D74" s="230" t="str">
        <f>D55</f>
        <v>Full team: ATM-1 / ATM-2 / ATM-3 / ATM-4 /ATM-5 / ATM-6 / ATM-7 / ATM-8</v>
      </c>
      <c r="E74" s="230"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33" t="s">
        <v>1121</v>
      </c>
      <c r="D81" s="534"/>
      <c r="E81" s="535"/>
      <c r="F81" s="70">
        <v>0.29166666666666669</v>
      </c>
      <c r="G81" s="70">
        <v>0.3125</v>
      </c>
      <c r="H81" s="74"/>
    </row>
    <row r="82" spans="1:8" ht="18" customHeight="1">
      <c r="A82" s="70">
        <v>0.5625</v>
      </c>
      <c r="B82" s="70">
        <v>0.58333333333333337</v>
      </c>
      <c r="C82" s="536"/>
      <c r="D82" s="537"/>
      <c r="E82" s="538"/>
      <c r="F82" s="70">
        <v>0.3125</v>
      </c>
      <c r="G82" s="70">
        <v>0.33333333333333331</v>
      </c>
      <c r="H82" s="74"/>
    </row>
    <row r="83" spans="1:8" ht="18" customHeight="1">
      <c r="A83" s="70">
        <v>0.58333333333333337</v>
      </c>
      <c r="B83" s="70">
        <v>0.60416666666666663</v>
      </c>
      <c r="C83" s="539" t="s">
        <v>940</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230" t="str">
        <f>C74</f>
        <v>Mini team 1:ATM-5 / ATM-6 / ATM-7</v>
      </c>
      <c r="D93" s="230" t="str">
        <f>D74</f>
        <v>Full team: ATM-1 / ATM-2 / ATM-3 / ATM-4 /ATM-5 / ATM-6 / ATM-7 / ATM-8</v>
      </c>
      <c r="E93" s="230"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58" t="s">
        <v>1442</v>
      </c>
      <c r="C3" s="336" t="s">
        <v>1443</v>
      </c>
      <c r="D3" s="337" t="s">
        <v>1444</v>
      </c>
      <c r="E3" s="337" t="s">
        <v>1444</v>
      </c>
      <c r="F3" s="545" t="s">
        <v>1445</v>
      </c>
      <c r="G3" s="545" t="s">
        <v>1446</v>
      </c>
      <c r="H3" s="338">
        <f t="shared" ref="H3:H19" si="1">+A3-0.25</f>
        <v>0.16666666666666702</v>
      </c>
    </row>
    <row r="4" spans="1:8">
      <c r="A4" s="335">
        <v>0.4375</v>
      </c>
      <c r="B4" s="558"/>
      <c r="C4" s="339" t="s">
        <v>1447</v>
      </c>
      <c r="D4" s="546" t="s">
        <v>1448</v>
      </c>
      <c r="E4" s="546" t="s">
        <v>1449</v>
      </c>
      <c r="F4" s="545"/>
      <c r="G4" s="545"/>
      <c r="H4" s="338">
        <f t="shared" si="1"/>
        <v>0.1875</v>
      </c>
    </row>
    <row r="5" spans="1:8">
      <c r="A5" s="335">
        <v>0.45833333333333398</v>
      </c>
      <c r="B5" s="559" t="s">
        <v>1450</v>
      </c>
      <c r="C5" s="557" t="s">
        <v>1451</v>
      </c>
      <c r="D5" s="546"/>
      <c r="E5" s="546"/>
      <c r="F5" s="545"/>
      <c r="G5" s="545"/>
      <c r="H5" s="338">
        <f t="shared" si="1"/>
        <v>0.20833333333333398</v>
      </c>
    </row>
    <row r="6" spans="1:8">
      <c r="A6" s="335">
        <v>0.47916666666666702</v>
      </c>
      <c r="B6" s="559"/>
      <c r="C6" s="557"/>
      <c r="D6" s="546"/>
      <c r="E6" s="546"/>
      <c r="F6" s="545"/>
      <c r="G6" s="336" t="s">
        <v>1447</v>
      </c>
      <c r="H6" s="338">
        <f t="shared" si="1"/>
        <v>0.22916666666666702</v>
      </c>
    </row>
    <row r="7" spans="1:8">
      <c r="A7" s="335">
        <v>0.5</v>
      </c>
      <c r="B7" s="559"/>
      <c r="C7" s="546" t="s">
        <v>1452</v>
      </c>
      <c r="D7" s="546"/>
      <c r="E7" s="546"/>
      <c r="F7" s="553" t="s">
        <v>936</v>
      </c>
      <c r="G7" s="553" t="s">
        <v>936</v>
      </c>
      <c r="H7" s="338">
        <f t="shared" si="1"/>
        <v>0.25</v>
      </c>
    </row>
    <row r="8" spans="1:8" ht="28.8">
      <c r="A8" s="335">
        <v>0.52083333333333404</v>
      </c>
      <c r="B8" s="340" t="s">
        <v>1442</v>
      </c>
      <c r="C8" s="546"/>
      <c r="D8" s="546"/>
      <c r="E8" s="546"/>
      <c r="F8" s="553"/>
      <c r="G8" s="553"/>
      <c r="H8" s="338">
        <f t="shared" si="1"/>
        <v>0.27083333333333404</v>
      </c>
    </row>
    <row r="9" spans="1:8">
      <c r="A9" s="335">
        <v>0.54166666666666696</v>
      </c>
      <c r="B9" s="552" t="s">
        <v>936</v>
      </c>
      <c r="C9" s="553" t="s">
        <v>936</v>
      </c>
      <c r="D9" s="553" t="s">
        <v>936</v>
      </c>
      <c r="E9" s="553" t="s">
        <v>936</v>
      </c>
      <c r="F9" s="336" t="s">
        <v>1447</v>
      </c>
      <c r="G9" s="557" t="s">
        <v>794</v>
      </c>
      <c r="H9" s="338">
        <f t="shared" si="1"/>
        <v>0.29166666666666696</v>
      </c>
    </row>
    <row r="10" spans="1:8">
      <c r="A10" s="335">
        <v>0.5625</v>
      </c>
      <c r="B10" s="552"/>
      <c r="C10" s="553"/>
      <c r="D10" s="553"/>
      <c r="E10" s="553"/>
      <c r="F10" s="557" t="s">
        <v>1453</v>
      </c>
      <c r="G10" s="557"/>
      <c r="H10" s="338">
        <f t="shared" si="1"/>
        <v>0.3125</v>
      </c>
    </row>
    <row r="11" spans="1:8">
      <c r="A11" s="335">
        <v>0.58333333333333304</v>
      </c>
      <c r="B11" s="558" t="s">
        <v>1454</v>
      </c>
      <c r="C11" s="546" t="s">
        <v>1455</v>
      </c>
      <c r="D11" s="546" t="s">
        <v>1456</v>
      </c>
      <c r="E11" s="546" t="s">
        <v>1457</v>
      </c>
      <c r="F11" s="557"/>
      <c r="G11" s="545" t="s">
        <v>1458</v>
      </c>
      <c r="H11" s="338">
        <f t="shared" si="1"/>
        <v>0.33333333333333304</v>
      </c>
    </row>
    <row r="12" spans="1:8">
      <c r="A12" s="335">
        <v>0.60416666666666696</v>
      </c>
      <c r="B12" s="558"/>
      <c r="C12" s="546"/>
      <c r="D12" s="546"/>
      <c r="E12" s="546"/>
      <c r="F12" s="557" t="s">
        <v>1459</v>
      </c>
      <c r="G12" s="545"/>
      <c r="H12" s="338">
        <f t="shared" si="1"/>
        <v>0.35416666666666696</v>
      </c>
    </row>
    <row r="13" spans="1:8">
      <c r="A13" s="335">
        <v>0.625</v>
      </c>
      <c r="B13" s="558"/>
      <c r="C13" s="546"/>
      <c r="D13" s="546" t="s">
        <v>1460</v>
      </c>
      <c r="E13" s="546"/>
      <c r="F13" s="557"/>
      <c r="G13" s="545"/>
      <c r="H13" s="338">
        <f t="shared" si="1"/>
        <v>0.375</v>
      </c>
    </row>
    <row r="14" spans="1:8">
      <c r="A14" s="335">
        <v>0.64583333333333304</v>
      </c>
      <c r="B14" s="558"/>
      <c r="C14" s="546"/>
      <c r="D14" s="546"/>
      <c r="E14" s="546"/>
      <c r="F14" s="545" t="s">
        <v>1446</v>
      </c>
      <c r="G14" s="560" t="s">
        <v>1461</v>
      </c>
      <c r="H14" s="338">
        <f t="shared" si="1"/>
        <v>0.39583333333333304</v>
      </c>
    </row>
    <row r="15" spans="1:8">
      <c r="A15" s="335">
        <v>0.66666666666666696</v>
      </c>
      <c r="B15" s="558"/>
      <c r="C15" s="339" t="s">
        <v>1447</v>
      </c>
      <c r="D15" s="546"/>
      <c r="E15" s="545" t="s">
        <v>1445</v>
      </c>
      <c r="F15" s="545"/>
      <c r="G15" s="560"/>
      <c r="H15" s="338">
        <f t="shared" si="1"/>
        <v>0.41666666666666696</v>
      </c>
    </row>
    <row r="16" spans="1:8">
      <c r="A16" s="335">
        <v>0.6875</v>
      </c>
      <c r="B16" s="558"/>
      <c r="C16" s="546" t="s">
        <v>1462</v>
      </c>
      <c r="D16" s="546" t="s">
        <v>1463</v>
      </c>
      <c r="E16" s="545"/>
      <c r="F16" s="545"/>
      <c r="G16" s="560"/>
      <c r="H16" s="338">
        <f t="shared" si="1"/>
        <v>0.4375</v>
      </c>
    </row>
    <row r="17" spans="1:8">
      <c r="A17" s="335">
        <v>0.70833333333333304</v>
      </c>
      <c r="B17" s="341" t="s">
        <v>1464</v>
      </c>
      <c r="C17" s="546"/>
      <c r="D17" s="546"/>
      <c r="E17" s="545"/>
      <c r="F17" s="545"/>
      <c r="G17" s="560"/>
      <c r="H17" s="338">
        <f t="shared" si="1"/>
        <v>0.45833333333333304</v>
      </c>
    </row>
    <row r="18" spans="1:8">
      <c r="A18" s="335">
        <v>0.72916666666666663</v>
      </c>
      <c r="B18" s="342" t="s">
        <v>1444</v>
      </c>
      <c r="C18" s="337" t="s">
        <v>1444</v>
      </c>
      <c r="D18" s="337" t="s">
        <v>1444</v>
      </c>
      <c r="E18" s="337" t="s">
        <v>1444</v>
      </c>
      <c r="F18" s="337" t="s">
        <v>1444</v>
      </c>
      <c r="G18" s="560"/>
      <c r="H18" s="338">
        <f t="shared" si="1"/>
        <v>0.47916666666666663</v>
      </c>
    </row>
    <row r="19" spans="1:8" ht="15" thickBot="1">
      <c r="A19" s="343">
        <v>0.75</v>
      </c>
      <c r="B19" s="554" t="s">
        <v>938</v>
      </c>
      <c r="C19" s="555"/>
      <c r="D19" s="555"/>
      <c r="E19" s="555"/>
      <c r="F19" s="555"/>
      <c r="G19" s="555"/>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58" t="s">
        <v>1442</v>
      </c>
      <c r="C23" s="336" t="s">
        <v>1443</v>
      </c>
      <c r="D23" s="337" t="s">
        <v>1444</v>
      </c>
      <c r="E23" s="337" t="s">
        <v>1444</v>
      </c>
      <c r="F23" s="547" t="s">
        <v>1445</v>
      </c>
      <c r="G23" s="547" t="s">
        <v>1446</v>
      </c>
      <c r="H23" s="338">
        <f t="shared" ref="H23:H39" si="3">+A23-0.25</f>
        <v>0.16666666666666702</v>
      </c>
    </row>
    <row r="24" spans="1:8">
      <c r="A24" s="335">
        <v>0.4375</v>
      </c>
      <c r="B24" s="558"/>
      <c r="C24" s="339" t="s">
        <v>1447</v>
      </c>
      <c r="D24" s="546" t="s">
        <v>1448</v>
      </c>
      <c r="E24" s="546" t="s">
        <v>1449</v>
      </c>
      <c r="F24" s="556"/>
      <c r="G24" s="556"/>
      <c r="H24" s="338">
        <f t="shared" si="3"/>
        <v>0.1875</v>
      </c>
    </row>
    <row r="25" spans="1:8">
      <c r="A25" s="335">
        <v>0.45833333333333398</v>
      </c>
      <c r="B25" s="559" t="s">
        <v>1450</v>
      </c>
      <c r="C25" s="557" t="s">
        <v>1451</v>
      </c>
      <c r="D25" s="546"/>
      <c r="E25" s="546"/>
      <c r="F25" s="556"/>
      <c r="G25" s="556"/>
      <c r="H25" s="338">
        <f t="shared" si="3"/>
        <v>0.20833333333333398</v>
      </c>
    </row>
    <row r="26" spans="1:8">
      <c r="A26" s="335">
        <v>0.47916666666666702</v>
      </c>
      <c r="B26" s="559"/>
      <c r="C26" s="557"/>
      <c r="D26" s="546"/>
      <c r="E26" s="546"/>
      <c r="F26" s="556"/>
      <c r="G26" s="556"/>
      <c r="H26" s="338">
        <f t="shared" si="3"/>
        <v>0.22916666666666702</v>
      </c>
    </row>
    <row r="27" spans="1:8">
      <c r="A27" s="335">
        <v>0.5</v>
      </c>
      <c r="B27" s="559"/>
      <c r="C27" s="546" t="s">
        <v>1452</v>
      </c>
      <c r="D27" s="546"/>
      <c r="E27" s="546"/>
      <c r="F27" s="556"/>
      <c r="G27" s="556"/>
      <c r="H27" s="338">
        <f t="shared" si="3"/>
        <v>0.25</v>
      </c>
    </row>
    <row r="28" spans="1:8" ht="28.8">
      <c r="A28" s="335">
        <v>0.52083333333333404</v>
      </c>
      <c r="B28" s="340" t="s">
        <v>1442</v>
      </c>
      <c r="C28" s="546"/>
      <c r="D28" s="546"/>
      <c r="E28" s="546"/>
      <c r="F28" s="548"/>
      <c r="G28" s="548"/>
      <c r="H28" s="338">
        <f t="shared" si="3"/>
        <v>0.27083333333333404</v>
      </c>
    </row>
    <row r="29" spans="1:8">
      <c r="A29" s="335">
        <v>0.54166666666666696</v>
      </c>
      <c r="B29" s="552" t="s">
        <v>936</v>
      </c>
      <c r="C29" s="553" t="s">
        <v>936</v>
      </c>
      <c r="D29" s="553" t="s">
        <v>936</v>
      </c>
      <c r="E29" s="553" t="s">
        <v>936</v>
      </c>
      <c r="F29" s="553" t="s">
        <v>936</v>
      </c>
      <c r="G29" s="553" t="s">
        <v>936</v>
      </c>
      <c r="H29" s="338">
        <f t="shared" si="3"/>
        <v>0.29166666666666696</v>
      </c>
    </row>
    <row r="30" spans="1:8">
      <c r="A30" s="335">
        <v>0.5625</v>
      </c>
      <c r="B30" s="552"/>
      <c r="C30" s="553"/>
      <c r="D30" s="553"/>
      <c r="E30" s="553"/>
      <c r="F30" s="553"/>
      <c r="G30" s="553"/>
      <c r="H30" s="338">
        <f t="shared" si="3"/>
        <v>0.3125</v>
      </c>
    </row>
    <row r="31" spans="1:8">
      <c r="A31" s="335">
        <v>0.58333333333333304</v>
      </c>
      <c r="B31" s="547" t="s">
        <v>1454</v>
      </c>
      <c r="C31" s="546" t="s">
        <v>1455</v>
      </c>
      <c r="D31" s="546" t="s">
        <v>1456</v>
      </c>
      <c r="E31" s="546" t="s">
        <v>1457</v>
      </c>
      <c r="F31" s="337" t="s">
        <v>1447</v>
      </c>
      <c r="G31" s="337" t="s">
        <v>1447</v>
      </c>
      <c r="H31" s="338">
        <f t="shared" si="3"/>
        <v>0.33333333333333304</v>
      </c>
    </row>
    <row r="32" spans="1:8">
      <c r="A32" s="335">
        <v>0.60416666666666696</v>
      </c>
      <c r="B32" s="556"/>
      <c r="C32" s="546"/>
      <c r="D32" s="546"/>
      <c r="E32" s="546"/>
      <c r="F32" s="557" t="s">
        <v>1453</v>
      </c>
      <c r="G32" s="557" t="s">
        <v>1667</v>
      </c>
      <c r="H32" s="338">
        <f t="shared" si="3"/>
        <v>0.35416666666666696</v>
      </c>
    </row>
    <row r="33" spans="1:8">
      <c r="A33" s="335">
        <v>0.625</v>
      </c>
      <c r="B33" s="556"/>
      <c r="C33" s="546"/>
      <c r="D33" s="546" t="s">
        <v>1460</v>
      </c>
      <c r="E33" s="546"/>
      <c r="F33" s="557"/>
      <c r="G33" s="557"/>
      <c r="H33" s="338">
        <f t="shared" si="3"/>
        <v>0.375</v>
      </c>
    </row>
    <row r="34" spans="1:8">
      <c r="A34" s="335">
        <v>0.64583333333333304</v>
      </c>
      <c r="B34" s="556"/>
      <c r="C34" s="546"/>
      <c r="D34" s="546"/>
      <c r="E34" s="546"/>
      <c r="F34" s="557" t="s">
        <v>1459</v>
      </c>
      <c r="G34" s="549" t="s">
        <v>1466</v>
      </c>
      <c r="H34" s="338">
        <f t="shared" si="3"/>
        <v>0.39583333333333304</v>
      </c>
    </row>
    <row r="35" spans="1:8">
      <c r="A35" s="335">
        <v>0.66666666666666696</v>
      </c>
      <c r="B35" s="548"/>
      <c r="C35" s="339" t="s">
        <v>1447</v>
      </c>
      <c r="D35" s="546"/>
      <c r="E35" s="545" t="s">
        <v>1445</v>
      </c>
      <c r="F35" s="557"/>
      <c r="G35" s="550"/>
      <c r="H35" s="338">
        <f t="shared" si="3"/>
        <v>0.41666666666666696</v>
      </c>
    </row>
    <row r="36" spans="1:8">
      <c r="A36" s="335">
        <v>0.6875</v>
      </c>
      <c r="B36" s="345" t="s">
        <v>1467</v>
      </c>
      <c r="C36" s="546" t="s">
        <v>1462</v>
      </c>
      <c r="D36" s="546" t="s">
        <v>1463</v>
      </c>
      <c r="E36" s="545"/>
      <c r="F36" s="547" t="s">
        <v>1446</v>
      </c>
      <c r="G36" s="549" t="s">
        <v>1468</v>
      </c>
      <c r="H36" s="338">
        <f t="shared" si="3"/>
        <v>0.4375</v>
      </c>
    </row>
    <row r="37" spans="1:8">
      <c r="A37" s="335">
        <v>0.70833333333333304</v>
      </c>
      <c r="B37" s="341" t="s">
        <v>1464</v>
      </c>
      <c r="C37" s="546"/>
      <c r="D37" s="546"/>
      <c r="E37" s="545"/>
      <c r="F37" s="548"/>
      <c r="G37" s="550"/>
      <c r="H37" s="338">
        <f t="shared" si="3"/>
        <v>0.45833333333333304</v>
      </c>
    </row>
    <row r="38" spans="1:8">
      <c r="A38" s="335">
        <v>0.72916666666666663</v>
      </c>
      <c r="B38" s="342" t="s">
        <v>1444</v>
      </c>
      <c r="C38" s="337" t="s">
        <v>1444</v>
      </c>
      <c r="D38" s="337" t="s">
        <v>1444</v>
      </c>
      <c r="E38" s="337" t="s">
        <v>1444</v>
      </c>
      <c r="F38" s="337" t="s">
        <v>1444</v>
      </c>
      <c r="G38" s="551"/>
      <c r="H38" s="338">
        <f t="shared" si="3"/>
        <v>0.47916666666666663</v>
      </c>
    </row>
    <row r="39" spans="1:8" ht="15" thickBot="1">
      <c r="A39" s="343">
        <v>0.75</v>
      </c>
      <c r="B39" s="554" t="s">
        <v>938</v>
      </c>
      <c r="C39" s="555"/>
      <c r="D39" s="555"/>
      <c r="E39" s="555"/>
      <c r="F39" s="555"/>
      <c r="G39" s="555"/>
      <c r="H39" s="344">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0" t="s">
        <v>1080</v>
      </c>
      <c r="C2" s="570" t="s">
        <v>1081</v>
      </c>
      <c r="D2" s="561" t="s">
        <v>1082</v>
      </c>
      <c r="E2" s="563"/>
      <c r="F2" s="564" t="s">
        <v>1083</v>
      </c>
      <c r="G2" s="566"/>
      <c r="H2" s="561" t="s">
        <v>1084</v>
      </c>
      <c r="I2" s="562"/>
      <c r="J2" s="562"/>
      <c r="K2" s="563"/>
      <c r="L2" s="564" t="s">
        <v>1085</v>
      </c>
      <c r="M2" s="565"/>
      <c r="N2" s="566"/>
      <c r="O2" s="209" t="s">
        <v>1086</v>
      </c>
      <c r="P2" s="210" t="s">
        <v>1087</v>
      </c>
      <c r="Q2" s="561" t="s">
        <v>1088</v>
      </c>
      <c r="R2" s="562"/>
      <c r="S2" s="563"/>
      <c r="T2" s="564" t="s">
        <v>1089</v>
      </c>
      <c r="U2" s="565"/>
      <c r="V2" s="566"/>
      <c r="W2" s="206" t="s">
        <v>1090</v>
      </c>
    </row>
    <row r="3" spans="2:28" ht="15.6">
      <c r="B3" s="571"/>
      <c r="C3" s="571"/>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7"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8"/>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8"/>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9"/>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7"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8"/>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8"/>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8"/>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8"/>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8"/>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8"/>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8"/>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9"/>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7"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8"/>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8"/>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8"/>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8"/>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8"/>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8"/>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9"/>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7"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8"/>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8"/>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8"/>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8"/>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9"/>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72"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72"/>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72"/>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72"/>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73" t="s">
        <v>1080</v>
      </c>
      <c r="C49" s="573" t="s">
        <v>1081</v>
      </c>
      <c r="D49" s="574" t="s">
        <v>1082</v>
      </c>
      <c r="E49" s="574"/>
      <c r="F49" s="575" t="s">
        <v>1083</v>
      </c>
      <c r="G49" s="575"/>
      <c r="H49" s="574" t="s">
        <v>1084</v>
      </c>
      <c r="I49" s="574"/>
      <c r="J49" s="574"/>
      <c r="K49" s="574"/>
      <c r="L49" s="575" t="s">
        <v>1085</v>
      </c>
      <c r="M49" s="575"/>
      <c r="N49" s="575"/>
      <c r="O49" s="209" t="s">
        <v>1086</v>
      </c>
      <c r="P49" s="210" t="s">
        <v>1087</v>
      </c>
      <c r="Q49" s="574" t="s">
        <v>1088</v>
      </c>
      <c r="R49" s="574"/>
      <c r="S49" s="574"/>
      <c r="T49" s="575" t="s">
        <v>1089</v>
      </c>
      <c r="U49" s="575"/>
      <c r="V49" s="575"/>
    </row>
    <row r="50" spans="2:28" ht="93.6">
      <c r="B50" s="573"/>
      <c r="C50" s="573"/>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7"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8"/>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8"/>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9"/>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72"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72"/>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72"/>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72"/>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72"/>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72"/>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72"/>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72"/>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72"/>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72"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72"/>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72"/>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72"/>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72"/>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72"/>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72"/>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72"/>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72"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72"/>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72"/>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72"/>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72"/>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72"/>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72"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72"/>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72"/>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72"/>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44322</v>
      </c>
      <c r="E27" s="160"/>
      <c r="G27" s="175" t="str">
        <f>G24</f>
        <v>16 Apr 2024</v>
      </c>
      <c r="H27" s="169" t="s">
        <v>1039</v>
      </c>
    </row>
    <row r="28" spans="1:9" s="8" customFormat="1" ht="15.6">
      <c r="A28" s="158"/>
      <c r="B28" s="173" t="s">
        <v>1040</v>
      </c>
      <c r="C28" s="173" t="s">
        <v>1041</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4" t="str">
        <f>'P1PA-SS'!B76</f>
        <v>CMMI Development V2.0 (CMMI-DEV) without SAM</v>
      </c>
      <c r="B2" s="585"/>
      <c r="C2" s="585"/>
      <c r="D2" s="584"/>
      <c r="E2" s="585"/>
      <c r="F2" s="585"/>
      <c r="G2" s="585"/>
      <c r="H2" s="585"/>
      <c r="I2" s="585"/>
      <c r="L2" s="359" t="s">
        <v>1293</v>
      </c>
      <c r="M2" s="359">
        <f>VALUE(RIGHT(Planning!B10,1))</f>
        <v>5</v>
      </c>
      <c r="N2" s="347" t="s">
        <v>1294</v>
      </c>
    </row>
    <row r="3" spans="1:16" s="346" customFormat="1">
      <c r="A3" s="586" t="str">
        <f>'P1PA-SS'!B75</f>
        <v>Maturity Level 5</v>
      </c>
      <c r="B3" s="587"/>
      <c r="C3" s="587"/>
      <c r="D3" s="586"/>
      <c r="E3" s="587"/>
      <c r="F3" s="587"/>
      <c r="G3" s="587"/>
      <c r="H3" s="587"/>
      <c r="I3" s="587"/>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3"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3"/>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3"/>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3"/>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88"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88"/>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89"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89"/>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89"/>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0"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0"/>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0"/>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91"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91"/>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92"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92"/>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92"/>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f>'Project&amp;Support'!AB3</f>
        <v>10</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f>'Project&amp;Support'!AB4</f>
        <v>11</v>
      </c>
      <c r="D3" s="227" t="str">
        <f>'Project&amp;Support'!C4</f>
        <v>Raptor project description</v>
      </c>
      <c r="E3" s="597"/>
    </row>
    <row r="4" spans="1:5" ht="63" customHeight="1">
      <c r="A4" s="597"/>
      <c r="B4" s="227" t="str">
        <f>'Project&amp;Support'!B5</f>
        <v>P3-Starship</v>
      </c>
      <c r="C4" s="228">
        <f>'Project&amp;Support'!AB5</f>
        <v>9</v>
      </c>
      <c r="D4" s="227" t="str">
        <f>'Project&amp;Support'!C5</f>
        <v>Startship project description</v>
      </c>
      <c r="E4" s="597"/>
    </row>
    <row r="5" spans="1:5" ht="63" customHeight="1">
      <c r="A5" s="597"/>
      <c r="B5" s="227" t="str">
        <f>'Project&amp;Support'!B6</f>
        <v>P4-SupperHeavy</v>
      </c>
      <c r="C5" s="228">
        <f>'Project&amp;Support'!AB6</f>
        <v>7</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f>'Project&amp;Support'!AB8</f>
        <v>1</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f>'Project&amp;Support'!AB8</f>
        <v>1</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2022-05-13T18:38:27Z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