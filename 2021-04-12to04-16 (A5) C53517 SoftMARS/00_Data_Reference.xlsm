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F66CC15B-6A71-4C4D-A369-DF6B5665C18C}" xr6:coauthVersionLast="46" xr6:coauthVersionMax="46" xr10:uidLastSave="{00000000-0000-0000-0000-000000000000}"/>
  <bookViews>
    <workbookView xWindow="-110" yWindow="-110" windowWidth="19420" windowHeight="10420" activeTab="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32" l="1"/>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<sst xmlns="http://schemas.openxmlformats.org/spreadsheetml/2006/main" count="4637" uniqueCount="1697">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</sst>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7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A7" sqref="A7:A54"/>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5" sqref="B5"/>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abSelected="1" workbookViewId="0">
      <selection activeCell="B7" sqref="B7"/>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2021-04-09to04-16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44266</v>
      </c>
      <c r="C20" s="49"/>
    </row>
    <row r="21" spans="1:3" s="50" customFormat="1" ht="15.5">
      <c r="A21" s="50" t="s">
        <v>1014</v>
      </c>
      <c r="B21" s="146">
        <f>B24-14</f>
        <v>44267</v>
      </c>
      <c r="C21" s="49" t="s">
        <v>1011</v>
      </c>
    </row>
    <row r="22" spans="1:3" s="50" customFormat="1" ht="15.5">
      <c r="B22" s="94"/>
      <c r="C22" s="49"/>
    </row>
    <row r="23" spans="1:3" s="50" customFormat="1" ht="15.5">
      <c r="A23" s="50" t="s">
        <v>969</v>
      </c>
      <c r="B23" s="94">
        <f>B24-1</f>
        <v>44280</v>
      </c>
      <c r="C23" s="49"/>
    </row>
    <row r="24" spans="1:3" s="50" customFormat="1" ht="15.5">
      <c r="A24" s="50" t="s">
        <v>1015</v>
      </c>
      <c r="B24" s="146">
        <f>B27-14</f>
        <v>44281</v>
      </c>
      <c r="C24" s="49" t="s">
        <v>1011</v>
      </c>
    </row>
    <row r="25" spans="1:3" s="50" customFormat="1" ht="15.5">
      <c r="B25" s="94"/>
      <c r="C25" s="49"/>
    </row>
    <row r="26" spans="1:3" s="50" customFormat="1" ht="15.5">
      <c r="A26" s="50" t="s">
        <v>881</v>
      </c>
      <c r="B26" s="94">
        <f>B27-4</f>
        <v>44291</v>
      </c>
      <c r="C26" s="49"/>
    </row>
    <row r="27" spans="1:3" s="50" customFormat="1" ht="15.5">
      <c r="A27" s="50" t="s">
        <v>882</v>
      </c>
      <c r="B27" s="146">
        <f>B30-B29</f>
        <v>44295</v>
      </c>
      <c r="C27" s="50" t="s">
        <v>1011</v>
      </c>
    </row>
    <row r="28" spans="1:3" s="50" customFormat="1" ht="15.5">
      <c r="A28" s="50" t="s">
        <v>883</v>
      </c>
      <c r="B28" s="50">
        <v>0</v>
      </c>
      <c r="C28" s="49"/>
    </row>
    <row r="29" spans="1:3" s="50" customFormat="1" ht="15.5">
      <c r="A29" s="50" t="s">
        <v>1019</v>
      </c>
      <c r="B29" s="50">
        <v>3</v>
      </c>
      <c r="C29" s="49" t="s">
        <v>993</v>
      </c>
    </row>
    <row r="30" spans="1:3" s="50" customFormat="1" ht="15.5">
      <c r="A30" s="50" t="s">
        <v>884</v>
      </c>
      <c r="B30" s="93">
        <f>'Agreement 3'!B25</f>
        <v>44298</v>
      </c>
      <c r="C30" s="127"/>
    </row>
    <row r="31" spans="1:3" s="50" customFormat="1" ht="15.5">
      <c r="A31" s="50" t="s">
        <v>1139</v>
      </c>
      <c r="B31" s="50">
        <v>1</v>
      </c>
      <c r="C31" s="127"/>
    </row>
    <row r="32" spans="1:3" s="50" customFormat="1" ht="15.5">
      <c r="A32" s="50" t="s">
        <v>760</v>
      </c>
      <c r="B32" s="93">
        <f>B33-B31</f>
        <v>44301</v>
      </c>
      <c r="C32" s="127" t="s">
        <v>1011</v>
      </c>
    </row>
    <row r="33" spans="1:4" s="50" customFormat="1" ht="15.5">
      <c r="A33" s="50" t="s">
        <v>885</v>
      </c>
      <c r="B33" s="93">
        <f>'Agreement 3'!B26</f>
        <v>44302</v>
      </c>
      <c r="C33" s="49" t="s">
        <v>1010</v>
      </c>
    </row>
    <row r="34" spans="1:4" s="117" customFormat="1" ht="15.5">
      <c r="A34" s="50" t="s">
        <v>400</v>
      </c>
      <c r="B34" s="39">
        <f>B33-B27+1-B28</f>
        <v>8</v>
      </c>
      <c r="C34" s="117" t="s">
        <v>1011</v>
      </c>
    </row>
    <row r="35" spans="1:4" s="117" customFormat="1" ht="15.5">
      <c r="A35" s="117" t="s">
        <v>1141</v>
      </c>
      <c r="B35" s="50">
        <v>1</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22" workbookViewId="0">
      <selection activeCell="B23" sqref="B2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F1" workbookViewId="0">
      <selection activeCell="AC2" sqref="AC2:AE1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topLeftCell="D1" workbookViewId="0">
      <selection activeCell="F3" sqref="F3:X26"/>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5" sqref="L5"/>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121" workbookViewId="0">
      <selection activeCell="B155" sqref="B155"/>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44294</v>
      </c>
      <c r="C48" s="125" t="s">
        <v>1011</v>
      </c>
    </row>
    <row r="50" spans="1:23">
      <c r="A50" s="32" t="s">
        <v>393</v>
      </c>
      <c r="B50" s="33"/>
      <c r="C50" s="188"/>
      <c r="D50" s="31" t="s">
        <v>829</v>
      </c>
    </row>
    <row r="51" spans="1:23">
      <c r="A51" s="33" t="s">
        <v>394</v>
      </c>
      <c r="B51" s="33" t="s">
        <v>727</v>
      </c>
      <c r="C51" s="188"/>
    </row>
    <row r="52" spans="1:23">
      <c r="A52" s="33" t="s">
        <v>395</v>
      </c>
      <c r="B52" s="34">
        <f>Planning!B21</f>
        <v>44267</v>
      </c>
      <c r="C52" s="188" t="s">
        <v>967</v>
      </c>
    </row>
    <row r="53" spans="1:23">
      <c r="A53" s="33" t="s">
        <v>396</v>
      </c>
      <c r="B53" s="34">
        <f>B52</f>
        <v>44267</v>
      </c>
      <c r="C53" s="188" t="s">
        <v>1011</v>
      </c>
    </row>
    <row r="54" spans="1:23">
      <c r="A54" s="33"/>
      <c r="B54" s="33"/>
      <c r="C54" s="188"/>
    </row>
    <row r="55" spans="1:23">
      <c r="A55" s="33" t="s">
        <v>394</v>
      </c>
      <c r="B55" s="33" t="s">
        <v>728</v>
      </c>
      <c r="C55" s="188"/>
    </row>
    <row r="56" spans="1:23">
      <c r="A56" s="33" t="s">
        <v>395</v>
      </c>
      <c r="B56" s="34">
        <f>Planning!B24</f>
        <v>44281</v>
      </c>
      <c r="C56" s="188" t="s">
        <v>967</v>
      </c>
    </row>
    <row r="57" spans="1:23">
      <c r="A57" s="33" t="s">
        <v>396</v>
      </c>
      <c r="B57" s="34">
        <f>B56</f>
        <v>44281</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44295</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8</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64" workbookViewId="0">
      <selection activeCell="B13" sqref="B13"/>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44266</v>
      </c>
      <c r="C64" s="117" t="s">
        <v>967</v>
      </c>
    </row>
    <row r="65" spans="1:3">
      <c r="A65" s="117" t="s">
        <v>633</v>
      </c>
      <c r="B65" s="117" t="s">
        <v>746</v>
      </c>
    </row>
    <row r="67" spans="1:3">
      <c r="A67" s="117" t="s">
        <v>631</v>
      </c>
      <c r="B67" s="117" t="s">
        <v>747</v>
      </c>
    </row>
    <row r="68" spans="1:3">
      <c r="A68" s="117" t="s">
        <v>632</v>
      </c>
      <c r="B68" s="37">
        <f>Planning!B23</f>
        <v>44280</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44267</v>
      </c>
      <c r="C79" s="117" t="s">
        <v>967</v>
      </c>
    </row>
    <row r="80" spans="1:3">
      <c r="A80" s="117" t="s">
        <v>396</v>
      </c>
      <c r="B80" s="37">
        <f>B79</f>
        <v>44267</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44281</v>
      </c>
      <c r="C89" s="117" t="s">
        <v>967</v>
      </c>
    </row>
    <row r="90" spans="1:3">
      <c r="A90" s="117" t="s">
        <v>396</v>
      </c>
      <c r="B90" s="37">
        <f>B89</f>
        <v>44281</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1: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1642</v>
      </c>
      <c r="E6" t="s">
        <v>1330</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1641</v>
      </c>
      <c r="E24" t="s">
        <v>1165</v>
      </c>
      <c r="F24"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H17"/>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1623</v>
      </c>
      <c r="C2" s="128" t="s">
        <v>888</v>
      </c>
      <c r="D2" s="125" t="s">
        <v>1636</v>
      </c>
      <c r="E2" s="125" t="s">
        <v>1165</v>
      </c>
      <c r="F2" s="128" t="s">
        <v>903</v>
      </c>
      <c r="G2" s="64" t="s">
        <v>411</v>
      </c>
      <c r="H2" s="327" t="str">
        <f t="shared" ref="H2" si="0">VLOOKUP(E2,tbl_RolePAlookup,2,FALSE)</f>
        <v>[4] Engineering</v>
      </c>
      <c r="I2" s="328">
        <f t="shared" ref="I2" si="1">VLOOKUP(C2,tbl_PAcount,L$1+1,FALSE)</f>
        <v>10</v>
      </c>
    </row>
    <row r="3" spans="1:13" s="125" customFormat="1">
      <c r="A3" s="125" t="s">
        <v>903</v>
      </c>
      <c r="B3" s="125" t="s">
        <v>1623</v>
      </c>
      <c r="C3" s="128" t="s">
        <v>889</v>
      </c>
      <c r="D3" s="125" t="s">
        <v>1635</v>
      </c>
      <c r="E3" s="125" t="s">
        <v>918</v>
      </c>
      <c r="F3" s="128" t="s">
        <v>903</v>
      </c>
      <c r="G3" s="64" t="s">
        <v>411</v>
      </c>
      <c r="H3" s="327" t="str">
        <f t="shared" ref="H3:H18" si="2">VLOOKUP(E3,tbl_RolePAlookup,2,FALSE)</f>
        <v>[4] Engineering</v>
      </c>
      <c r="I3" s="328">
        <f t="shared" ref="I3:I18" si="3">VLOOKUP(C3,tbl_PAcount,L$1+1,FALSE)</f>
        <v>10</v>
      </c>
    </row>
    <row r="4" spans="1:13" s="125" customFormat="1">
      <c r="A4" s="125" t="s">
        <v>904</v>
      </c>
      <c r="B4" s="125" t="s">
        <v>1624</v>
      </c>
      <c r="C4" s="128" t="s">
        <v>890</v>
      </c>
      <c r="D4" s="125" t="s">
        <v>1639</v>
      </c>
      <c r="E4" s="125" t="s">
        <v>917</v>
      </c>
      <c r="F4" s="128" t="s">
        <v>904</v>
      </c>
      <c r="G4" s="64" t="s">
        <v>411</v>
      </c>
      <c r="H4" s="327" t="str">
        <f t="shared" si="2"/>
        <v>[4] Engineering</v>
      </c>
      <c r="I4" s="328">
        <f t="shared" si="3"/>
        <v>6</v>
      </c>
    </row>
    <row r="5" spans="1:13" s="125" customFormat="1">
      <c r="A5" s="125" t="s">
        <v>904</v>
      </c>
      <c r="B5" s="125" t="s">
        <v>1624</v>
      </c>
      <c r="C5" s="128" t="s">
        <v>891</v>
      </c>
      <c r="D5" s="125" t="s">
        <v>1639</v>
      </c>
      <c r="E5" s="125" t="s">
        <v>917</v>
      </c>
      <c r="F5" s="128" t="s">
        <v>904</v>
      </c>
      <c r="G5" s="64" t="s">
        <v>411</v>
      </c>
      <c r="H5" s="327" t="str">
        <f t="shared" si="2"/>
        <v>[4] Engineering</v>
      </c>
      <c r="I5" s="328">
        <f t="shared" si="3"/>
        <v>14</v>
      </c>
    </row>
    <row r="6" spans="1:13" s="125" customFormat="1">
      <c r="A6" s="125" t="s">
        <v>904</v>
      </c>
      <c r="B6" s="125" t="s">
        <v>1624</v>
      </c>
      <c r="C6" s="128" t="s">
        <v>892</v>
      </c>
      <c r="D6" s="125" t="s">
        <v>1642</v>
      </c>
      <c r="E6" s="125" t="s">
        <v>1330</v>
      </c>
      <c r="F6" s="128" t="s">
        <v>904</v>
      </c>
      <c r="G6" s="64" t="s">
        <v>411</v>
      </c>
      <c r="H6" s="327" t="str">
        <f t="shared" si="2"/>
        <v>[4] Engineering</v>
      </c>
      <c r="I6" s="328">
        <f t="shared" si="3"/>
        <v>7</v>
      </c>
    </row>
    <row r="7" spans="1:13" s="125" customFormat="1">
      <c r="A7" s="125" t="s">
        <v>905</v>
      </c>
      <c r="B7" s="125" t="s">
        <v>1626</v>
      </c>
      <c r="C7" s="128" t="s">
        <v>897</v>
      </c>
      <c r="D7" s="125" t="s">
        <v>1648</v>
      </c>
      <c r="E7" s="125" t="s">
        <v>1442</v>
      </c>
      <c r="F7" s="128" t="s">
        <v>905</v>
      </c>
      <c r="G7" s="64" t="s">
        <v>411</v>
      </c>
      <c r="H7" s="327" t="str">
        <f t="shared" si="2"/>
        <v>[3] Project Management</v>
      </c>
      <c r="I7" s="328">
        <f t="shared" si="3"/>
        <v>6</v>
      </c>
    </row>
    <row r="8" spans="1:13" s="125" customFormat="1">
      <c r="A8" s="125" t="s">
        <v>905</v>
      </c>
      <c r="B8" s="125" t="s">
        <v>1626</v>
      </c>
      <c r="C8" s="128" t="s">
        <v>898</v>
      </c>
      <c r="D8" s="125" t="s">
        <v>1648</v>
      </c>
      <c r="E8" s="125" t="s">
        <v>1442</v>
      </c>
      <c r="F8" s="128" t="s">
        <v>905</v>
      </c>
      <c r="G8" s="64" t="s">
        <v>411</v>
      </c>
      <c r="H8" s="327" t="str">
        <f t="shared" si="2"/>
        <v>[3] Project Management</v>
      </c>
      <c r="I8" s="328">
        <f t="shared" si="3"/>
        <v>10</v>
      </c>
    </row>
    <row r="9" spans="1:13" s="125" customFormat="1">
      <c r="A9" s="125" t="s">
        <v>905</v>
      </c>
      <c r="B9" s="125" t="s">
        <v>1626</v>
      </c>
      <c r="C9" s="128" t="s">
        <v>899</v>
      </c>
      <c r="D9" s="125" t="s">
        <v>1648</v>
      </c>
      <c r="E9" s="125" t="s">
        <v>1442</v>
      </c>
      <c r="F9" s="128" t="s">
        <v>905</v>
      </c>
      <c r="G9" s="64" t="s">
        <v>411</v>
      </c>
      <c r="H9" s="327" t="str">
        <f t="shared" si="2"/>
        <v>[3] Project Management</v>
      </c>
      <c r="I9" s="328">
        <f t="shared" si="3"/>
        <v>15</v>
      </c>
    </row>
    <row r="10" spans="1:13" s="125" customFormat="1">
      <c r="A10" s="125" t="s">
        <v>906</v>
      </c>
      <c r="B10" s="125" t="s">
        <v>1628</v>
      </c>
      <c r="C10" s="128" t="s">
        <v>896</v>
      </c>
      <c r="D10" s="125" t="s">
        <v>1653</v>
      </c>
      <c r="E10" s="125" t="s">
        <v>1442</v>
      </c>
      <c r="F10" s="128" t="s">
        <v>906</v>
      </c>
      <c r="G10" s="64" t="s">
        <v>411</v>
      </c>
      <c r="H10" s="327" t="str">
        <f t="shared" si="2"/>
        <v>[3] Project Management</v>
      </c>
      <c r="I10" s="328">
        <f t="shared" si="3"/>
        <v>8</v>
      </c>
    </row>
    <row r="11" spans="1:13" s="125" customFormat="1">
      <c r="A11" s="125" t="s">
        <v>908</v>
      </c>
      <c r="B11" s="125" t="s">
        <v>1408</v>
      </c>
      <c r="C11" s="128" t="s">
        <v>756</v>
      </c>
      <c r="D11" s="125" t="s">
        <v>1654</v>
      </c>
      <c r="E11" s="125" t="s">
        <v>1441</v>
      </c>
      <c r="F11" s="128" t="s">
        <v>908</v>
      </c>
      <c r="G11" s="64" t="s">
        <v>411</v>
      </c>
      <c r="H11" s="327" t="str">
        <f t="shared" si="2"/>
        <v>[5] Configuration Management</v>
      </c>
      <c r="I11" s="328">
        <f t="shared" si="3"/>
        <v>7</v>
      </c>
    </row>
    <row r="12" spans="1:13" s="125" customFormat="1">
      <c r="A12" s="125" t="s">
        <v>909</v>
      </c>
      <c r="B12" s="125" t="s">
        <v>1409</v>
      </c>
      <c r="C12" s="128" t="s">
        <v>900</v>
      </c>
      <c r="D12" s="125" t="s">
        <v>1655</v>
      </c>
      <c r="E12" s="125" t="s">
        <v>1443</v>
      </c>
      <c r="F12" s="128" t="s">
        <v>909</v>
      </c>
      <c r="G12" s="64" t="s">
        <v>411</v>
      </c>
      <c r="H12" s="327" t="str">
        <f t="shared" si="2"/>
        <v>[6] Process Management</v>
      </c>
      <c r="I12" s="328">
        <f t="shared" si="3"/>
        <v>11</v>
      </c>
    </row>
    <row r="13" spans="1:13">
      <c r="A13" s="125" t="s">
        <v>909</v>
      </c>
      <c r="B13" s="125" t="s">
        <v>1409</v>
      </c>
      <c r="C13" s="128" t="s">
        <v>901</v>
      </c>
      <c r="D13" s="125" t="s">
        <v>1655</v>
      </c>
      <c r="E13" s="125" t="s">
        <v>1443</v>
      </c>
      <c r="F13" s="128" t="s">
        <v>909</v>
      </c>
      <c r="G13" s="64" t="s">
        <v>411</v>
      </c>
      <c r="H13" s="327" t="str">
        <f t="shared" si="2"/>
        <v>[6] Process Management</v>
      </c>
      <c r="I13" s="328">
        <f t="shared" si="3"/>
        <v>8</v>
      </c>
    </row>
    <row r="14" spans="1:13">
      <c r="A14" s="125" t="s">
        <v>909</v>
      </c>
      <c r="B14" s="125" t="s">
        <v>1409</v>
      </c>
      <c r="C14" s="128" t="s">
        <v>893</v>
      </c>
      <c r="D14" s="125" t="s">
        <v>1655</v>
      </c>
      <c r="E14" s="125" t="s">
        <v>1443</v>
      </c>
      <c r="F14" s="128" t="s">
        <v>909</v>
      </c>
      <c r="G14" s="64" t="s">
        <v>411</v>
      </c>
      <c r="H14" s="327" t="str">
        <f t="shared" si="2"/>
        <v>[6] Process Management</v>
      </c>
      <c r="I14" s="328">
        <f t="shared" si="3"/>
        <v>22</v>
      </c>
    </row>
    <row r="15" spans="1:13">
      <c r="A15" s="125" t="s">
        <v>909</v>
      </c>
      <c r="B15" s="125" t="s">
        <v>1409</v>
      </c>
      <c r="C15" s="128" t="s">
        <v>894</v>
      </c>
      <c r="D15" s="125" t="s">
        <v>1655</v>
      </c>
      <c r="E15" s="125" t="s">
        <v>1443</v>
      </c>
      <c r="F15" s="128" t="s">
        <v>909</v>
      </c>
      <c r="G15" s="64" t="s">
        <v>411</v>
      </c>
      <c r="H15" s="327" t="str">
        <f t="shared" si="2"/>
        <v>[6] Process Management</v>
      </c>
      <c r="I15" s="328">
        <f t="shared" si="3"/>
        <v>11</v>
      </c>
    </row>
    <row r="16" spans="1:13">
      <c r="A16" s="125" t="s">
        <v>909</v>
      </c>
      <c r="B16" s="125" t="s">
        <v>1409</v>
      </c>
      <c r="C16" s="128" t="s">
        <v>895</v>
      </c>
      <c r="D16" s="125" t="s">
        <v>1655</v>
      </c>
      <c r="E16" s="125" t="s">
        <v>1443</v>
      </c>
      <c r="F16" s="128" t="s">
        <v>909</v>
      </c>
      <c r="G16" s="64" t="s">
        <v>411</v>
      </c>
      <c r="H16" s="327" t="str">
        <f t="shared" si="2"/>
        <v>[6] Process Management</v>
      </c>
      <c r="I16" s="328">
        <f t="shared" si="3"/>
        <v>11</v>
      </c>
    </row>
    <row r="17" spans="1:9">
      <c r="A17" s="125" t="s">
        <v>910</v>
      </c>
      <c r="B17" s="125" t="s">
        <v>1410</v>
      </c>
      <c r="C17" s="128" t="s">
        <v>758</v>
      </c>
      <c r="D17" s="125" t="s">
        <v>1656</v>
      </c>
      <c r="E17" s="125" t="s">
        <v>1440</v>
      </c>
      <c r="F17" s="128" t="s">
        <v>910</v>
      </c>
      <c r="G17" s="64" t="s">
        <v>411</v>
      </c>
      <c r="H17" s="327" t="str">
        <f t="shared" si="2"/>
        <v>[7] Organisational Training</v>
      </c>
      <c r="I17" s="328">
        <f t="shared" si="3"/>
        <v>9</v>
      </c>
    </row>
    <row r="18" spans="1:9">
      <c r="A18" s="125" t="s">
        <v>911</v>
      </c>
      <c r="B18" s="125" t="s">
        <v>1411</v>
      </c>
      <c r="C18" s="128" t="s">
        <v>841</v>
      </c>
      <c r="D18" s="125" t="s">
        <v>1657</v>
      </c>
      <c r="E18" s="125" t="s">
        <v>1275</v>
      </c>
      <c r="F18" s="128" t="s">
        <v>911</v>
      </c>
      <c r="G18" s="64"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4</v>
      </c>
      <c r="B16" s="447"/>
      <c r="C16" s="448">
        <f>I4</f>
        <v>44298</v>
      </c>
      <c r="D16" s="448"/>
      <c r="E16" s="448"/>
      <c r="F16" s="447" t="str">
        <f>A16</f>
        <v>Day 4</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4</v>
      </c>
      <c r="B16" s="447"/>
      <c r="C16" s="448">
        <f>I4</f>
        <v>44298</v>
      </c>
      <c r="D16" s="448"/>
      <c r="E16" s="448"/>
      <c r="F16" s="447" t="str">
        <f>A16</f>
        <v>Day 4</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44295</v>
      </c>
      <c r="C2" s="347">
        <f>B2+1</f>
        <v>44296</v>
      </c>
      <c r="D2" s="347">
        <f t="shared" ref="D2:G2" si="0">C2+1</f>
        <v>44297</v>
      </c>
      <c r="E2" s="347">
        <f t="shared" si="0"/>
        <v>44298</v>
      </c>
      <c r="F2" s="347">
        <f t="shared" si="0"/>
        <v>44299</v>
      </c>
      <c r="G2" s="347">
        <f t="shared" si="0"/>
        <v>44300</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44295</v>
      </c>
      <c r="C22" s="346">
        <f>B22+1</f>
        <v>44296</v>
      </c>
      <c r="D22" s="346">
        <f t="shared" ref="D22:F22" si="2">C22+1</f>
        <v>44297</v>
      </c>
      <c r="E22" s="346">
        <f t="shared" si="2"/>
        <v>44298</v>
      </c>
      <c r="F22" s="346">
        <f t="shared" si="2"/>
        <v>44299</v>
      </c>
      <c r="G22" s="346">
        <f>F22+1</f>
        <v>44300</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B17" sqref="B1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D27" sqref="D2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15" sqref="B15"/>
    </sheetView>
  </sheetViews>
  <sheetFormatPr defaultRowHeight="14.5"/>
  <cols>
    <col min="1" max="3" width="35.26953125" customWidth="1"/>
  </cols>
  <sheetData>
    <row r="1" spans="1:3">
      <c r="A1" t="s">
        <v>1321</v>
      </c>
      <c r="B1" t="s">
        <v>1322</v>
      </c>
      <c r="C1" t="s">
        <v>1323</v>
      </c>
    </row>
    <row r="2" spans="1:3">
      <c r="A2" t="s">
        <v>1636</v>
      </c>
      <c r="B2" t="s">
        <v>1165</v>
      </c>
      <c r="C2" t="s">
        <v>1402</v>
      </c>
    </row>
    <row r="3" spans="1:3">
      <c r="A3" t="s">
        <v>1635</v>
      </c>
      <c r="B3" t="s">
        <v>918</v>
      </c>
      <c r="C3" t="s">
        <v>1402</v>
      </c>
    </row>
    <row r="4" spans="1:3">
      <c r="A4" t="s">
        <v>1639</v>
      </c>
      <c r="B4" t="s">
        <v>917</v>
      </c>
      <c r="C4" t="s">
        <v>1402</v>
      </c>
    </row>
    <row r="5" spans="1:3">
      <c r="A5" t="s">
        <v>1642</v>
      </c>
      <c r="B5" t="s">
        <v>1330</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A2" sqref="A2:H12"/>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1642</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16" sqref="G16"/>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1642</v>
      </c>
      <c r="D5" t="s">
        <v>1358</v>
      </c>
      <c r="E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44301</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44291</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c r="B2" s="400" t="str">
        <f>IF(StartupInfo!B4="","",StartupInfo!B4)</f>
        <v>Mars</v>
      </c>
      <c r="D2" s="405"/>
      <c r="J2" s="406"/>
    </row>
    <row r="3" spans="1:10">
      <c r="A3" s="407" t="s">
        <v>429</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2021-02-14T17:50:13Z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