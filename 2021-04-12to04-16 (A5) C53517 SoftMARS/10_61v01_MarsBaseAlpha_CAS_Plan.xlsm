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DB51EF2E-20C8-4860-9A6E-05409D9F711B}" xr6:coauthVersionLast="47" xr6:coauthVersionMax="47" xr10:uidLastSave="{00000000-0000-0000-0000-000000000000}"/>
  <bookViews>
    <workbookView xWindow="-120" yWindow="-16320" windowWidth="29040" windowHeight="15720" tabRatio="859" firstSheet="3" activeTab="5"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45" r:id="rId53"/>
    <pivotCache cacheId="46" r:id="rId54"/>
    <pivotCache cacheId="47" r:id="rId55"/>
    <pivotCache cacheId="48" r:id="rId56"/>
    <pivotCache cacheId="49" r:id="rId57"/>
    <pivotCache cacheId="50"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80"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91" i="18"/>
  <c r="B92"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<sst xmlns="http://schemas.openxmlformats.org/spreadsheetml/2006/main" count="4362" uniqueCount="1723">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</sst>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1650</v>
      </c>
      <c r="G16" s="149"/>
      <c r="H16" s="149"/>
      <c r="I16" s="149"/>
      <c r="J16" s="149"/>
      <c r="K16" s="149"/>
      <c r="L16" s="149"/>
      <c r="M16" s="149"/>
      <c r="N16" s="149"/>
      <c r="O16" s="149"/>
      <c r="P16" s="8"/>
      <c r="Q16" s="8"/>
      <c r="R16" s="8"/>
      <c r="S16" s="8"/>
    </row>
    <row r="17" spans="1:19" ht="28.8">
      <c r="A17" s="44">
        <v>50</v>
      </c>
      <c r="B17" s="45">
        <v>44314</v>
      </c>
      <c r="C17" s="44" t="s">
        <v>844</v>
      </c>
      <c r="D17" s="56" t="s">
        <v>1649</v>
      </c>
      <c r="G17" s="149"/>
      <c r="H17" s="149"/>
      <c r="I17" s="149"/>
      <c r="J17" s="149"/>
      <c r="K17" s="149"/>
      <c r="L17" s="149"/>
      <c r="M17" s="149"/>
      <c r="N17" s="149"/>
      <c r="O17" s="149"/>
      <c r="P17" s="8"/>
      <c r="Q17" s="8"/>
      <c r="R17" s="8"/>
      <c r="S17" s="8"/>
    </row>
    <row r="18" spans="1:19" ht="28.8">
      <c r="A18" s="44">
        <v>51</v>
      </c>
      <c r="B18" s="45">
        <v>44318</v>
      </c>
      <c r="C18" s="44" t="s">
        <v>844</v>
      </c>
      <c r="D18" s="56" t="s">
        <v>1656</v>
      </c>
      <c r="G18" s="149"/>
      <c r="H18" s="149"/>
      <c r="I18" s="149"/>
      <c r="J18" s="149"/>
      <c r="K18" s="149"/>
      <c r="L18" s="149"/>
      <c r="M18" s="149"/>
      <c r="N18" s="149"/>
      <c r="O18" s="149"/>
      <c r="P18" s="8"/>
      <c r="Q18" s="8"/>
      <c r="R18" s="8"/>
      <c r="S18" s="8"/>
    </row>
    <row r="19" spans="1:19">
      <c r="A19" s="44">
        <v>52</v>
      </c>
      <c r="B19" s="45">
        <v>44324</v>
      </c>
      <c r="C19" s="44" t="s">
        <v>844</v>
      </c>
      <c r="D19" s="56" t="s">
        <v>1657</v>
      </c>
      <c r="G19" s="149"/>
      <c r="H19" s="149"/>
      <c r="I19" s="149"/>
      <c r="J19" s="149"/>
      <c r="K19" s="149"/>
      <c r="L19" s="149"/>
      <c r="M19" s="149"/>
    </row>
    <row r="20" spans="1:19" ht="28.8">
      <c r="A20" s="44">
        <v>53</v>
      </c>
      <c r="B20" s="45">
        <v>44343</v>
      </c>
      <c r="C20" s="44" t="s">
        <v>844</v>
      </c>
      <c r="D20" s="56" t="s">
        <v>1659</v>
      </c>
    </row>
    <row r="21" spans="1:19">
      <c r="A21" s="44">
        <v>53</v>
      </c>
      <c r="B21" s="45">
        <v>44354</v>
      </c>
      <c r="C21" s="44" t="s">
        <v>1663</v>
      </c>
      <c r="D21" s="56" t="s">
        <v>1671</v>
      </c>
    </row>
    <row r="22" spans="1:19">
      <c r="A22" s="44">
        <v>56</v>
      </c>
      <c r="B22" s="45">
        <v>44463</v>
      </c>
      <c r="C22" s="44" t="s">
        <v>844</v>
      </c>
      <c r="D22" s="56" t="s">
        <v>1670</v>
      </c>
    </row>
    <row r="23" spans="1:19">
      <c r="A23" s="44">
        <v>57</v>
      </c>
      <c r="B23" s="45">
        <v>44566</v>
      </c>
      <c r="C23" s="44" t="s">
        <v>1663</v>
      </c>
      <c r="D23" s="56" t="s">
        <v>1672</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abSelected="1" topLeftCell="A17" workbookViewId="0">
      <selection activeCell="H37" sqref="H37"/>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21</v>
      </c>
    </row>
    <row r="38" spans="1:4" s="116" customFormat="1">
      <c r="A38" s="116" t="s">
        <v>1126</v>
      </c>
      <c r="B38" s="238">
        <f>B36+B37-1</f>
        <v>44322</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37"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69.599999999999994">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1653</v>
      </c>
      <c r="AF2" s="262" t="s">
        <v>1178</v>
      </c>
      <c r="AG2" s="262" t="s">
        <v>1654</v>
      </c>
      <c r="AH2" s="262" t="s">
        <v>1655</v>
      </c>
      <c r="AI2" s="262" t="s">
        <v>1150</v>
      </c>
      <c r="AJ2" s="263" t="s">
        <v>1179</v>
      </c>
    </row>
    <row r="3" spans="1:36" s="264" customFormat="1" ht="13.8">
      <c r="A3" s="265" t="s">
        <v>896</v>
      </c>
      <c r="B3" s="264" t="s">
        <v>1530</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v>10</v>
      </c>
      <c r="AC3" s="269" t="s">
        <v>1303</v>
      </c>
      <c r="AD3" s="269"/>
      <c r="AE3" s="269"/>
      <c r="AF3" s="269"/>
      <c r="AG3" s="269"/>
      <c r="AH3" s="269"/>
      <c r="AI3" s="269"/>
      <c r="AJ3" s="270"/>
    </row>
    <row r="4" spans="1:36" s="264" customFormat="1" ht="13.8">
      <c r="A4" s="265" t="s">
        <v>897</v>
      </c>
      <c r="B4" s="264" t="s">
        <v>1531</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v>11</v>
      </c>
      <c r="AC4" s="269" t="s">
        <v>1303</v>
      </c>
      <c r="AD4" s="269"/>
      <c r="AE4" s="269"/>
      <c r="AF4" s="269"/>
      <c r="AG4" s="269"/>
      <c r="AH4" s="269"/>
      <c r="AI4" s="269"/>
      <c r="AJ4" s="270"/>
    </row>
    <row r="5" spans="1:36" s="264" customFormat="1" ht="13.8">
      <c r="A5" s="265" t="s">
        <v>898</v>
      </c>
      <c r="B5" s="264" t="s">
        <v>1533</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v>9</v>
      </c>
      <c r="AC5" s="269"/>
      <c r="AD5" s="269" t="s">
        <v>1303</v>
      </c>
      <c r="AE5" s="269"/>
      <c r="AF5" s="269"/>
      <c r="AG5" s="269"/>
      <c r="AH5" s="269"/>
      <c r="AI5" s="269"/>
      <c r="AJ5" s="270"/>
    </row>
    <row r="6" spans="1:36" s="264" customFormat="1" ht="13.8">
      <c r="A6" s="265" t="s">
        <v>899</v>
      </c>
      <c r="B6" s="264" t="s">
        <v>1535</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v>7</v>
      </c>
      <c r="AC6" s="269"/>
      <c r="AD6" s="269" t="s">
        <v>411</v>
      </c>
      <c r="AE6" s="269"/>
      <c r="AF6" s="269"/>
      <c r="AG6" s="269"/>
      <c r="AH6" s="269"/>
      <c r="AI6" s="269"/>
      <c r="AJ6" s="270"/>
    </row>
    <row r="7" spans="1:36" s="264" customFormat="1" ht="27.6">
      <c r="A7" s="273" t="s">
        <v>901</v>
      </c>
      <c r="B7" s="273" t="s">
        <v>1347</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1348</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v>1</v>
      </c>
      <c r="AC8" s="269"/>
      <c r="AD8" s="269"/>
      <c r="AE8" s="269"/>
      <c r="AF8" s="269" t="s">
        <v>411</v>
      </c>
      <c r="AG8" s="269" t="s">
        <v>411</v>
      </c>
      <c r="AH8" s="269"/>
      <c r="AI8" s="269"/>
      <c r="AJ8" s="270"/>
    </row>
    <row r="9" spans="1:36" s="264" customFormat="1" ht="41.4">
      <c r="A9" s="273" t="s">
        <v>903</v>
      </c>
      <c r="B9" s="273" t="s">
        <v>1349</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1350</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1648</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1652</v>
      </c>
      <c r="D25" s="319" t="s">
        <v>1651</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1651</v>
      </c>
      <c r="B8" s="111" t="s">
        <v>989</v>
      </c>
      <c r="C8" s="61" t="s">
        <v>411</v>
      </c>
      <c r="D8" s="61"/>
      <c r="E8" s="61" t="s">
        <v>411</v>
      </c>
      <c r="F8" s="61"/>
      <c r="G8" s="61"/>
      <c r="H8" s="61"/>
      <c r="I8" s="61" t="s">
        <v>411</v>
      </c>
      <c r="J8" s="61"/>
      <c r="K8" s="61"/>
      <c r="L8" s="61"/>
      <c r="M8" s="61"/>
      <c r="N8" s="61"/>
      <c r="O8" s="61"/>
      <c r="P8" s="61"/>
      <c r="Q8" s="61"/>
      <c r="R8" s="61"/>
      <c r="S8" s="61"/>
      <c r="T8" s="61"/>
      <c r="U8" s="61"/>
      <c r="V8" s="61"/>
      <c r="W8" s="319" t="s">
        <v>1651</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1652</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16" workbookViewId="0">
      <selection activeCell="D37" sqref="D3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44322</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29"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24" customFormat="1">
      <c r="A33" s="124" t="s">
        <v>604</v>
      </c>
      <c r="B33" s="120" t="s">
        <v>434</v>
      </c>
      <c r="C33" s="124" t="s">
        <v>384</v>
      </c>
    </row>
    <row r="34" spans="1:3" s="124" customFormat="1">
      <c r="A34" s="124" t="s">
        <v>605</v>
      </c>
      <c r="B34" s="116" t="s">
        <v>1716</v>
      </c>
    </row>
    <row r="35" spans="1:3" s="124" customFormat="1" ht="28.8">
      <c r="A35" s="124" t="s">
        <v>588</v>
      </c>
      <c r="B35" s="116" t="s">
        <v>1717</v>
      </c>
    </row>
    <row r="36" spans="1:3" s="124" customFormat="1">
      <c r="A36" s="124" t="s">
        <v>589</v>
      </c>
      <c r="B36" s="116" t="s">
        <v>593</v>
      </c>
    </row>
    <row r="37" spans="1:3" s="124" customFormat="1">
      <c r="A37" s="124" t="s">
        <v>591</v>
      </c>
      <c r="B37" s="116" t="s">
        <v>592</v>
      </c>
    </row>
    <row r="38" spans="1:3" s="124" customFormat="1">
      <c r="B38" s="116"/>
    </row>
    <row r="39" spans="1:3" s="124" customFormat="1">
      <c r="A39" s="124" t="s">
        <v>604</v>
      </c>
      <c r="B39" s="120" t="s">
        <v>434</v>
      </c>
      <c r="C39" s="124" t="s">
        <v>384</v>
      </c>
    </row>
    <row r="40" spans="1:3" s="124" customFormat="1">
      <c r="A40" s="124" t="s">
        <v>605</v>
      </c>
      <c r="B40" s="116" t="s">
        <v>1718</v>
      </c>
    </row>
    <row r="41" spans="1:3" s="124" customFormat="1" ht="28.8">
      <c r="A41" s="124" t="s">
        <v>588</v>
      </c>
      <c r="B41" s="116" t="s">
        <v>1719</v>
      </c>
    </row>
    <row r="42" spans="1:3" s="124" customFormat="1">
      <c r="A42" s="124" t="s">
        <v>589</v>
      </c>
      <c r="B42" s="116" t="s">
        <v>593</v>
      </c>
    </row>
    <row r="43" spans="1:3" s="124" customFormat="1">
      <c r="A43" s="124" t="s">
        <v>591</v>
      </c>
      <c r="B43" s="116" t="s">
        <v>592</v>
      </c>
    </row>
    <row r="44" spans="1:3" s="124" customFormat="1">
      <c r="B44" s="116"/>
    </row>
    <row r="45" spans="1:3" s="124" customFormat="1">
      <c r="B45" s="116"/>
    </row>
    <row r="46" spans="1:3" s="119" customFormat="1">
      <c r="A46" s="123" t="s">
        <v>603</v>
      </c>
      <c r="B46" s="116"/>
    </row>
    <row r="47" spans="1:3">
      <c r="A47" s="14"/>
    </row>
    <row r="48" spans="1:3">
      <c r="A48" s="117" t="s">
        <v>800</v>
      </c>
      <c r="B48" s="99"/>
    </row>
    <row r="49" spans="1:3">
      <c r="A49" s="28" t="s">
        <v>801</v>
      </c>
      <c r="B49" s="29"/>
      <c r="C49" s="30"/>
    </row>
    <row r="50" spans="1:3">
      <c r="A50" s="116" t="s">
        <v>606</v>
      </c>
      <c r="B50" s="120" t="s">
        <v>608</v>
      </c>
      <c r="C50" s="116" t="s">
        <v>384</v>
      </c>
    </row>
    <row r="51" spans="1:3" ht="43.2">
      <c r="A51" s="116" t="s">
        <v>382</v>
      </c>
      <c r="B51" s="116" t="s">
        <v>802</v>
      </c>
    </row>
    <row r="53" spans="1:3">
      <c r="A53" s="28" t="s">
        <v>803</v>
      </c>
      <c r="B53" s="29"/>
      <c r="C53" s="30"/>
    </row>
    <row r="54" spans="1:3">
      <c r="A54" s="116" t="s">
        <v>610</v>
      </c>
      <c r="B54" s="120" t="s">
        <v>613</v>
      </c>
      <c r="C54" s="116" t="s">
        <v>384</v>
      </c>
    </row>
    <row r="55" spans="1:3">
      <c r="A55" s="116" t="s">
        <v>611</v>
      </c>
    </row>
    <row r="56" spans="1:3">
      <c r="A56" s="116" t="s">
        <v>618</v>
      </c>
      <c r="B56" s="116" t="s">
        <v>619</v>
      </c>
    </row>
    <row r="57" spans="1:3" ht="43.2">
      <c r="A57" s="116" t="s">
        <v>382</v>
      </c>
      <c r="B57" s="116" t="s">
        <v>620</v>
      </c>
    </row>
    <row r="59" spans="1:3" s="119" customFormat="1">
      <c r="A59" s="123" t="s">
        <v>603</v>
      </c>
      <c r="B59" s="116"/>
    </row>
    <row r="61" spans="1:3">
      <c r="A61" s="28" t="s">
        <v>804</v>
      </c>
      <c r="B61" s="29"/>
      <c r="C61" s="30"/>
    </row>
    <row r="62" spans="1:3">
      <c r="A62" s="116" t="s">
        <v>622</v>
      </c>
      <c r="B62" s="120" t="s">
        <v>434</v>
      </c>
      <c r="C62" s="116" t="s">
        <v>384</v>
      </c>
    </row>
    <row r="63" spans="1:3">
      <c r="A63" s="116" t="s">
        <v>627</v>
      </c>
      <c r="B63" s="116" t="s">
        <v>628</v>
      </c>
    </row>
    <row r="64" spans="1:3">
      <c r="A64" s="116" t="s">
        <v>382</v>
      </c>
      <c r="B64" s="116" t="s">
        <v>739</v>
      </c>
    </row>
    <row r="66" spans="1:3">
      <c r="A66" s="28" t="s">
        <v>805</v>
      </c>
      <c r="B66" s="29"/>
    </row>
    <row r="67" spans="1:3">
      <c r="A67" s="116" t="s">
        <v>606</v>
      </c>
      <c r="B67" s="120" t="s">
        <v>625</v>
      </c>
      <c r="C67" s="116" t="s">
        <v>384</v>
      </c>
    </row>
    <row r="68" spans="1:3">
      <c r="A68" s="116" t="s">
        <v>629</v>
      </c>
      <c r="B68" s="116" t="s">
        <v>426</v>
      </c>
    </row>
    <row r="69" spans="1:3">
      <c r="A69" s="116" t="s">
        <v>382</v>
      </c>
      <c r="B69" s="116" t="s">
        <v>1190</v>
      </c>
    </row>
    <row r="71" spans="1:3">
      <c r="A71" s="28" t="s">
        <v>806</v>
      </c>
      <c r="B71" s="29"/>
      <c r="C71" s="30"/>
    </row>
    <row r="72" spans="1:3">
      <c r="A72" s="116" t="s">
        <v>630</v>
      </c>
      <c r="B72" s="116" t="s">
        <v>29</v>
      </c>
    </row>
    <row r="74" spans="1:3">
      <c r="A74" s="28" t="s">
        <v>807</v>
      </c>
      <c r="B74" s="29"/>
      <c r="C74" s="30"/>
    </row>
    <row r="75" spans="1:3">
      <c r="A75" s="116" t="s">
        <v>631</v>
      </c>
      <c r="B75" s="116" t="s">
        <v>740</v>
      </c>
    </row>
    <row r="76" spans="1:3">
      <c r="A76" s="116" t="s">
        <v>632</v>
      </c>
      <c r="B76" s="37">
        <f>Planning!B20</f>
        <v>44267</v>
      </c>
      <c r="C76" s="116" t="s">
        <v>959</v>
      </c>
    </row>
    <row r="77" spans="1:3">
      <c r="A77" s="116" t="s">
        <v>633</v>
      </c>
      <c r="B77" s="116" t="s">
        <v>741</v>
      </c>
    </row>
    <row r="79" spans="1:3">
      <c r="A79" s="116" t="s">
        <v>631</v>
      </c>
      <c r="B79" s="116" t="s">
        <v>742</v>
      </c>
    </row>
    <row r="80" spans="1:3">
      <c r="A80" s="116" t="s">
        <v>632</v>
      </c>
      <c r="B80" s="37">
        <f>Planning!B23</f>
        <v>44281</v>
      </c>
      <c r="C80" s="116" t="s">
        <v>959</v>
      </c>
    </row>
    <row r="81" spans="1:3" ht="28.8">
      <c r="A81" s="116" t="s">
        <v>633</v>
      </c>
      <c r="B81" s="116" t="s">
        <v>966</v>
      </c>
    </row>
    <row r="83" spans="1:3" s="119" customFormat="1">
      <c r="A83" s="123" t="s">
        <v>603</v>
      </c>
      <c r="B83" s="116"/>
    </row>
    <row r="85" spans="1:3">
      <c r="A85" s="28" t="s">
        <v>587</v>
      </c>
      <c r="B85" s="29"/>
      <c r="C85" s="30"/>
    </row>
    <row r="86" spans="1:3">
      <c r="A86" s="116" t="s">
        <v>587</v>
      </c>
      <c r="B86" s="116" t="s">
        <v>743</v>
      </c>
    </row>
    <row r="88" spans="1:3">
      <c r="A88" s="99" t="s">
        <v>808</v>
      </c>
      <c r="B88" s="99"/>
    </row>
    <row r="89" spans="1:3">
      <c r="A89" s="28" t="s">
        <v>808</v>
      </c>
      <c r="B89" s="29"/>
      <c r="C89" s="30"/>
    </row>
    <row r="90" spans="1:3">
      <c r="A90" s="116" t="s">
        <v>394</v>
      </c>
      <c r="B90" s="101" t="str">
        <f>_xlfn.CONCAT("Readiness review for ",B75)</f>
        <v>Readiness review for Version 1 of OE database</v>
      </c>
      <c r="C90" s="116" t="s">
        <v>999</v>
      </c>
    </row>
    <row r="91" spans="1:3">
      <c r="A91" s="116" t="s">
        <v>395</v>
      </c>
      <c r="B91" s="37">
        <f>Planning!B21</f>
        <v>44268</v>
      </c>
      <c r="C91" s="116" t="s">
        <v>959</v>
      </c>
    </row>
    <row r="92" spans="1:3">
      <c r="A92" s="116" t="s">
        <v>396</v>
      </c>
      <c r="B92" s="37">
        <f>B91</f>
        <v>44268</v>
      </c>
      <c r="C92" s="116" t="s">
        <v>999</v>
      </c>
    </row>
    <row r="93" spans="1:3" ht="43.2">
      <c r="A93" s="116" t="s">
        <v>744</v>
      </c>
      <c r="B93" s="116" t="s">
        <v>1377</v>
      </c>
    </row>
    <row r="94" spans="1:3" ht="43.2">
      <c r="A94" s="116" t="s">
        <v>745</v>
      </c>
      <c r="B94" s="116" t="s">
        <v>1378</v>
      </c>
    </row>
    <row r="95" spans="1:3">
      <c r="A95" s="116" t="s">
        <v>746</v>
      </c>
      <c r="B95" s="116" t="s">
        <v>1379</v>
      </c>
    </row>
    <row r="96" spans="1:3">
      <c r="A96" s="116" t="s">
        <v>747</v>
      </c>
      <c r="B96" s="116" t="s">
        <v>1380</v>
      </c>
    </row>
    <row r="97" spans="1:3">
      <c r="A97" s="116" t="s">
        <v>748</v>
      </c>
      <c r="B97" s="116" t="s">
        <v>743</v>
      </c>
    </row>
    <row r="98" spans="1:3">
      <c r="A98" s="116" t="s">
        <v>749</v>
      </c>
      <c r="B98" s="116" t="s">
        <v>388</v>
      </c>
    </row>
    <row r="100" spans="1:3">
      <c r="A100" s="116" t="s">
        <v>394</v>
      </c>
      <c r="B100" s="101" t="str">
        <f>_xlfn.CONCAT("Readiness review for ",B79)</f>
        <v>Readiness review for Version 2 of OE database</v>
      </c>
      <c r="C100" s="116" t="s">
        <v>999</v>
      </c>
    </row>
    <row r="101" spans="1:3">
      <c r="A101" s="116" t="s">
        <v>395</v>
      </c>
      <c r="B101" s="37">
        <f>Planning!B24</f>
        <v>44282</v>
      </c>
      <c r="C101" s="116" t="s">
        <v>959</v>
      </c>
    </row>
    <row r="102" spans="1:3">
      <c r="A102" s="116" t="s">
        <v>396</v>
      </c>
      <c r="B102" s="37">
        <f>B101</f>
        <v>44282</v>
      </c>
      <c r="C102" s="116" t="s">
        <v>999</v>
      </c>
    </row>
    <row r="103" spans="1:3" ht="43.2">
      <c r="A103" s="116" t="s">
        <v>744</v>
      </c>
      <c r="B103" s="116" t="s">
        <v>1377</v>
      </c>
    </row>
    <row r="104" spans="1:3" ht="57.6">
      <c r="A104" s="116" t="s">
        <v>745</v>
      </c>
      <c r="B104" s="118" t="s">
        <v>967</v>
      </c>
    </row>
    <row r="105" spans="1:3">
      <c r="A105" s="116" t="s">
        <v>746</v>
      </c>
      <c r="B105" s="116" t="s">
        <v>1379</v>
      </c>
    </row>
    <row r="106" spans="1:3" ht="86.4">
      <c r="A106" s="116" t="s">
        <v>747</v>
      </c>
      <c r="B106" s="116" t="s">
        <v>1138</v>
      </c>
    </row>
    <row r="107" spans="1:3">
      <c r="A107" s="116" t="s">
        <v>748</v>
      </c>
      <c r="B107" s="116" t="s">
        <v>743</v>
      </c>
    </row>
    <row r="108" spans="1:3">
      <c r="A108" s="116" t="s">
        <v>749</v>
      </c>
      <c r="B108" s="116" t="s">
        <v>388</v>
      </c>
    </row>
    <row r="110" spans="1:3" s="119" customFormat="1">
      <c r="A110" s="123" t="s">
        <v>603</v>
      </c>
      <c r="B110" s="116"/>
    </row>
    <row r="112" spans="1:3">
      <c r="A112" s="99" t="s">
        <v>809</v>
      </c>
      <c r="B112" s="99"/>
    </row>
    <row r="113" spans="1:23">
      <c r="A113" s="28" t="s">
        <v>810</v>
      </c>
      <c r="B113" s="29"/>
      <c r="C113" s="30"/>
    </row>
    <row r="114" spans="1:23" ht="36.450000000000003" customHeight="1">
      <c r="A114" s="456" t="s">
        <v>1424</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811</v>
      </c>
      <c r="B116" s="29"/>
      <c r="C116" s="30"/>
    </row>
    <row r="117" spans="1:23" ht="28.8">
      <c r="A117" s="116" t="s">
        <v>635</v>
      </c>
      <c r="B117" s="120" t="s">
        <v>636</v>
      </c>
      <c r="C117" s="116" t="s">
        <v>384</v>
      </c>
    </row>
    <row r="118" spans="1:23" ht="28.8">
      <c r="A118" s="116" t="s">
        <v>640</v>
      </c>
      <c r="B118" s="120" t="s">
        <v>645</v>
      </c>
      <c r="C118" s="116" t="s">
        <v>384</v>
      </c>
    </row>
    <row r="119" spans="1:23">
      <c r="A119" s="116" t="s">
        <v>654</v>
      </c>
    </row>
    <row r="120" spans="1:23" ht="43.2">
      <c r="A120" s="116" t="s">
        <v>655</v>
      </c>
      <c r="B120" s="116" t="s">
        <v>757</v>
      </c>
    </row>
    <row r="121" spans="1:23">
      <c r="A121" s="116" t="s">
        <v>656</v>
      </c>
      <c r="B121" s="116" t="s">
        <v>758</v>
      </c>
    </row>
    <row r="123" spans="1:23">
      <c r="A123" s="116" t="s">
        <v>635</v>
      </c>
      <c r="B123" s="120" t="s">
        <v>637</v>
      </c>
      <c r="C123" s="116" t="s">
        <v>384</v>
      </c>
    </row>
    <row r="124" spans="1:23">
      <c r="A124" s="116" t="s">
        <v>640</v>
      </c>
      <c r="B124" s="120"/>
      <c r="C124" s="116" t="s">
        <v>384</v>
      </c>
    </row>
    <row r="125" spans="1:23">
      <c r="A125" s="116" t="s">
        <v>654</v>
      </c>
    </row>
    <row r="126" spans="1:23">
      <c r="A126" s="116" t="s">
        <v>655</v>
      </c>
      <c r="B126" s="116" t="s">
        <v>657</v>
      </c>
    </row>
    <row r="127" spans="1:23">
      <c r="A127" s="116" t="s">
        <v>656</v>
      </c>
      <c r="B127" s="116" t="s">
        <v>758</v>
      </c>
    </row>
    <row r="129" spans="1:3">
      <c r="A129" s="116" t="s">
        <v>635</v>
      </c>
      <c r="B129" s="120" t="s">
        <v>638</v>
      </c>
      <c r="C129" s="116" t="s">
        <v>384</v>
      </c>
    </row>
    <row r="130" spans="1:3">
      <c r="A130" s="116" t="s">
        <v>640</v>
      </c>
      <c r="B130" s="120"/>
      <c r="C130" s="116" t="s">
        <v>384</v>
      </c>
    </row>
    <row r="131" spans="1:3">
      <c r="A131" s="116" t="s">
        <v>654</v>
      </c>
    </row>
    <row r="132" spans="1:3" ht="28.8">
      <c r="A132" s="116" t="s">
        <v>655</v>
      </c>
      <c r="B132" s="116" t="s">
        <v>658</v>
      </c>
    </row>
    <row r="133" spans="1:3">
      <c r="A133" s="116" t="s">
        <v>656</v>
      </c>
      <c r="B133" s="116" t="s">
        <v>758</v>
      </c>
    </row>
    <row r="135" spans="1:3">
      <c r="A135" s="116" t="s">
        <v>635</v>
      </c>
      <c r="B135" s="120" t="s">
        <v>639</v>
      </c>
      <c r="C135" s="116" t="s">
        <v>384</v>
      </c>
    </row>
    <row r="136" spans="1:3" ht="28.8">
      <c r="A136" s="116" t="s">
        <v>640</v>
      </c>
      <c r="B136" s="120" t="s">
        <v>642</v>
      </c>
      <c r="C136" s="116" t="s">
        <v>384</v>
      </c>
    </row>
    <row r="137" spans="1:3">
      <c r="A137" s="116" t="s">
        <v>654</v>
      </c>
    </row>
    <row r="138" spans="1:3">
      <c r="A138" s="116" t="s">
        <v>655</v>
      </c>
      <c r="B138" s="116" t="s">
        <v>759</v>
      </c>
    </row>
    <row r="139" spans="1:3">
      <c r="A139" s="116" t="s">
        <v>656</v>
      </c>
      <c r="B139" s="116" t="s">
        <v>760</v>
      </c>
    </row>
    <row r="141" spans="1:3">
      <c r="A141" s="116" t="s">
        <v>635</v>
      </c>
      <c r="B141" s="120" t="s">
        <v>434</v>
      </c>
      <c r="C141" s="116" t="s">
        <v>384</v>
      </c>
    </row>
    <row r="142" spans="1:3" ht="28.8">
      <c r="A142" s="116" t="s">
        <v>640</v>
      </c>
      <c r="B142" s="120" t="s">
        <v>646</v>
      </c>
      <c r="C142" s="116" t="s">
        <v>384</v>
      </c>
    </row>
    <row r="143" spans="1:3">
      <c r="A143" s="116" t="s">
        <v>654</v>
      </c>
      <c r="B143" s="116" t="s">
        <v>1425</v>
      </c>
    </row>
    <row r="144" spans="1:3" ht="100.8">
      <c r="A144" s="116" t="s">
        <v>655</v>
      </c>
      <c r="B144" s="116" t="s">
        <v>1426</v>
      </c>
    </row>
    <row r="145" spans="1:3">
      <c r="A145" s="116" t="s">
        <v>656</v>
      </c>
      <c r="B145" s="116" t="s">
        <v>1427</v>
      </c>
    </row>
    <row r="147" spans="1:3">
      <c r="A147" s="19" t="s">
        <v>603</v>
      </c>
    </row>
    <row r="149" spans="1:3">
      <c r="A149" s="28" t="s">
        <v>812</v>
      </c>
      <c r="B149" s="29"/>
      <c r="C149" s="30"/>
    </row>
    <row r="150" spans="1:3">
      <c r="A150" s="116" t="s">
        <v>659</v>
      </c>
      <c r="B150" s="120" t="s">
        <v>662</v>
      </c>
      <c r="C150" s="116" t="s">
        <v>384</v>
      </c>
    </row>
    <row r="151" spans="1:3">
      <c r="A151" s="116" t="s">
        <v>667</v>
      </c>
      <c r="B151" s="120"/>
      <c r="C151" s="116" t="s">
        <v>384</v>
      </c>
    </row>
    <row r="152" spans="1:3">
      <c r="A152" s="116" t="s">
        <v>668</v>
      </c>
      <c r="B152" s="116" t="str">
        <f>IF('Agreement 3'!B23="","PLEASE SPECIFY",'Agreement 3'!B23)</f>
        <v>Conduct Maturity Level 5 appraisal in April 2021</v>
      </c>
    </row>
    <row r="154" spans="1:3">
      <c r="A154" s="19" t="s">
        <v>603</v>
      </c>
    </row>
    <row r="156" spans="1:3">
      <c r="A156" s="28" t="s">
        <v>813</v>
      </c>
      <c r="B156" s="29"/>
      <c r="C156" s="30"/>
    </row>
    <row r="157" spans="1:3">
      <c r="A157" s="14" t="s">
        <v>1428</v>
      </c>
      <c r="B157" s="14" t="s">
        <v>1609</v>
      </c>
    </row>
    <row r="158" spans="1:3">
      <c r="A158" s="116" t="s">
        <v>669</v>
      </c>
      <c r="B158" s="120" t="s">
        <v>420</v>
      </c>
      <c r="C158" s="116" t="s">
        <v>384</v>
      </c>
    </row>
    <row r="159" spans="1:3">
      <c r="A159" s="116" t="s">
        <v>675</v>
      </c>
    </row>
    <row r="160" spans="1:3" ht="28.8">
      <c r="A160" s="116" t="s">
        <v>676</v>
      </c>
      <c r="B160" s="116" t="s">
        <v>680</v>
      </c>
    </row>
    <row r="161" spans="1:3">
      <c r="A161" s="116" t="s">
        <v>677</v>
      </c>
      <c r="B161" s="120" t="s">
        <v>681</v>
      </c>
      <c r="C161" s="116" t="s">
        <v>384</v>
      </c>
    </row>
    <row r="162" spans="1:3" ht="57.6">
      <c r="A162" s="116" t="s">
        <v>678</v>
      </c>
      <c r="B162" s="116" t="s">
        <v>682</v>
      </c>
    </row>
    <row r="163" spans="1:3">
      <c r="A163" s="116" t="s">
        <v>679</v>
      </c>
      <c r="B163" s="120" t="s">
        <v>683</v>
      </c>
      <c r="C163" s="116" t="s">
        <v>384</v>
      </c>
    </row>
    <row r="165" spans="1:3">
      <c r="A165" s="14" t="s">
        <v>1429</v>
      </c>
      <c r="B165" s="14" t="s">
        <v>1610</v>
      </c>
    </row>
    <row r="166" spans="1:3">
      <c r="A166" s="116" t="s">
        <v>669</v>
      </c>
      <c r="B166" s="120" t="s">
        <v>434</v>
      </c>
      <c r="C166" s="116" t="s">
        <v>384</v>
      </c>
    </row>
    <row r="167" spans="1:3">
      <c r="A167" s="116" t="s">
        <v>675</v>
      </c>
      <c r="B167" s="116" t="s">
        <v>1611</v>
      </c>
    </row>
    <row r="168" spans="1:3" ht="28.8">
      <c r="A168" s="116" t="s">
        <v>676</v>
      </c>
      <c r="B168" s="116" t="s">
        <v>1612</v>
      </c>
    </row>
    <row r="169" spans="1:3">
      <c r="A169" s="116" t="s">
        <v>677</v>
      </c>
      <c r="B169" s="120" t="s">
        <v>684</v>
      </c>
      <c r="C169" s="116" t="s">
        <v>384</v>
      </c>
    </row>
    <row r="170" spans="1:3" ht="100.8">
      <c r="A170" s="116" t="s">
        <v>678</v>
      </c>
      <c r="B170" s="116" t="s">
        <v>1613</v>
      </c>
    </row>
    <row r="171" spans="1:3">
      <c r="A171" s="116" t="s">
        <v>679</v>
      </c>
      <c r="B171" s="120" t="s">
        <v>683</v>
      </c>
      <c r="C171" s="116" t="s">
        <v>384</v>
      </c>
    </row>
    <row r="173" spans="1:3">
      <c r="A173" s="14" t="s">
        <v>1430</v>
      </c>
      <c r="B173" s="14" t="s">
        <v>1614</v>
      </c>
    </row>
    <row r="174" spans="1:3">
      <c r="A174" s="116" t="s">
        <v>669</v>
      </c>
      <c r="B174" s="120" t="s">
        <v>434</v>
      </c>
      <c r="C174" s="116" t="s">
        <v>384</v>
      </c>
    </row>
    <row r="175" spans="1:3">
      <c r="A175" s="116" t="s">
        <v>675</v>
      </c>
      <c r="B175" s="116" t="s">
        <v>1431</v>
      </c>
    </row>
    <row r="176" spans="1:3" ht="43.2">
      <c r="A176" s="116" t="s">
        <v>676</v>
      </c>
      <c r="B176" s="116" t="s">
        <v>1432</v>
      </c>
    </row>
    <row r="177" spans="1:3">
      <c r="A177" s="116" t="s">
        <v>677</v>
      </c>
      <c r="B177" s="120" t="s">
        <v>684</v>
      </c>
      <c r="C177" s="116" t="s">
        <v>384</v>
      </c>
    </row>
    <row r="178" spans="1:3" ht="115.2">
      <c r="A178" s="116" t="s">
        <v>678</v>
      </c>
      <c r="B178" s="116" t="s">
        <v>1643</v>
      </c>
    </row>
    <row r="179" spans="1:3">
      <c r="A179" s="116" t="s">
        <v>679</v>
      </c>
      <c r="B179" s="120" t="s">
        <v>1433</v>
      </c>
      <c r="C179" s="116" t="s">
        <v>384</v>
      </c>
    </row>
    <row r="181" spans="1:3">
      <c r="A181" s="14" t="s">
        <v>1434</v>
      </c>
      <c r="B181" s="14" t="s">
        <v>1615</v>
      </c>
    </row>
    <row r="182" spans="1:3">
      <c r="A182" s="116" t="s">
        <v>669</v>
      </c>
      <c r="B182" s="120" t="s">
        <v>434</v>
      </c>
      <c r="C182" s="116" t="s">
        <v>384</v>
      </c>
    </row>
    <row r="183" spans="1:3">
      <c r="A183" s="116" t="s">
        <v>675</v>
      </c>
      <c r="B183" s="116" t="s">
        <v>1431</v>
      </c>
    </row>
    <row r="184" spans="1:3" ht="28.8">
      <c r="A184" s="116" t="s">
        <v>676</v>
      </c>
      <c r="B184" s="116" t="s">
        <v>1435</v>
      </c>
    </row>
    <row r="185" spans="1:3">
      <c r="A185" s="116" t="s">
        <v>677</v>
      </c>
      <c r="B185" s="120" t="s">
        <v>1436</v>
      </c>
      <c r="C185" s="116" t="s">
        <v>384</v>
      </c>
    </row>
    <row r="186" spans="1:3" ht="135.6" customHeight="1">
      <c r="A186" s="116" t="s">
        <v>678</v>
      </c>
      <c r="B186" s="116" t="s">
        <v>1644</v>
      </c>
    </row>
    <row r="187" spans="1:3">
      <c r="A187" s="116" t="s">
        <v>679</v>
      </c>
      <c r="B187" s="120" t="s">
        <v>1433</v>
      </c>
      <c r="C187" s="116" t="s">
        <v>384</v>
      </c>
    </row>
    <row r="189" spans="1:3">
      <c r="A189" s="14" t="s">
        <v>1437</v>
      </c>
      <c r="B189" s="14" t="s">
        <v>1616</v>
      </c>
    </row>
    <row r="190" spans="1:3">
      <c r="A190" s="116" t="s">
        <v>669</v>
      </c>
      <c r="B190" s="120" t="s">
        <v>672</v>
      </c>
      <c r="C190" s="116" t="s">
        <v>384</v>
      </c>
    </row>
    <row r="191" spans="1:3">
      <c r="A191" s="116" t="s">
        <v>675</v>
      </c>
    </row>
    <row r="192" spans="1:3" ht="43.2">
      <c r="A192" s="116" t="s">
        <v>676</v>
      </c>
      <c r="B192" s="116" t="s">
        <v>1438</v>
      </c>
    </row>
    <row r="193" spans="1:3">
      <c r="A193" s="116" t="s">
        <v>677</v>
      </c>
      <c r="B193" s="120" t="s">
        <v>1436</v>
      </c>
      <c r="C193" s="116" t="s">
        <v>384</v>
      </c>
    </row>
    <row r="194" spans="1:3" ht="144">
      <c r="A194" s="116" t="s">
        <v>678</v>
      </c>
      <c r="B194" s="116" t="s">
        <v>1645</v>
      </c>
    </row>
    <row r="195" spans="1:3">
      <c r="A195" s="116" t="s">
        <v>679</v>
      </c>
      <c r="B195" s="120" t="s">
        <v>1433</v>
      </c>
      <c r="C195" s="116" t="s">
        <v>384</v>
      </c>
    </row>
    <row r="197" spans="1:3" ht="28.8">
      <c r="A197" s="14" t="s">
        <v>1617</v>
      </c>
      <c r="B197" s="14" t="s">
        <v>1618</v>
      </c>
    </row>
    <row r="198" spans="1:3">
      <c r="A198" s="116" t="s">
        <v>669</v>
      </c>
      <c r="B198" s="120" t="s">
        <v>434</v>
      </c>
      <c r="C198" s="116" t="s">
        <v>384</v>
      </c>
    </row>
    <row r="199" spans="1:3">
      <c r="A199" s="116" t="s">
        <v>675</v>
      </c>
      <c r="B199" s="116" t="s">
        <v>1611</v>
      </c>
    </row>
    <row r="200" spans="1:3" ht="43.2">
      <c r="A200" s="116" t="s">
        <v>676</v>
      </c>
      <c r="B200" s="116" t="s">
        <v>1619</v>
      </c>
    </row>
    <row r="201" spans="1:3">
      <c r="A201" s="116" t="s">
        <v>677</v>
      </c>
      <c r="B201" s="120" t="s">
        <v>684</v>
      </c>
      <c r="C201" s="116" t="s">
        <v>384</v>
      </c>
    </row>
    <row r="202" spans="1:3" ht="115.2">
      <c r="A202" s="116" t="s">
        <v>678</v>
      </c>
      <c r="B202" s="116" t="s">
        <v>1620</v>
      </c>
    </row>
    <row r="203" spans="1:3">
      <c r="A203" s="116" t="s">
        <v>679</v>
      </c>
      <c r="B203" s="120" t="s">
        <v>1433</v>
      </c>
      <c r="C203" s="116" t="s">
        <v>384</v>
      </c>
    </row>
    <row r="206" spans="1:3">
      <c r="A206" s="14" t="s">
        <v>1621</v>
      </c>
      <c r="B206" s="14" t="s">
        <v>1622</v>
      </c>
    </row>
    <row r="207" spans="1:3">
      <c r="A207" s="116" t="s">
        <v>669</v>
      </c>
      <c r="B207" s="120" t="s">
        <v>434</v>
      </c>
      <c r="C207" s="116" t="s">
        <v>384</v>
      </c>
    </row>
    <row r="208" spans="1:3">
      <c r="A208" s="116" t="s">
        <v>675</v>
      </c>
      <c r="B208" s="116" t="s">
        <v>1611</v>
      </c>
    </row>
    <row r="209" spans="1:3" ht="28.8">
      <c r="A209" s="116" t="s">
        <v>676</v>
      </c>
      <c r="B209" s="116" t="s">
        <v>1623</v>
      </c>
    </row>
    <row r="210" spans="1:3">
      <c r="A210" s="116" t="s">
        <v>677</v>
      </c>
      <c r="B210" s="120" t="s">
        <v>1436</v>
      </c>
      <c r="C210" s="116" t="s">
        <v>384</v>
      </c>
    </row>
    <row r="211" spans="1:3" ht="43.2">
      <c r="A211" s="116" t="s">
        <v>678</v>
      </c>
      <c r="B211" s="116" t="s">
        <v>1624</v>
      </c>
    </row>
    <row r="212" spans="1:3">
      <c r="A212" s="116" t="s">
        <v>679</v>
      </c>
      <c r="B212" s="120" t="s">
        <v>1433</v>
      </c>
      <c r="C212" s="116" t="s">
        <v>384</v>
      </c>
    </row>
    <row r="214" spans="1:3">
      <c r="A214" s="14" t="s">
        <v>1625</v>
      </c>
      <c r="B214" s="14" t="s">
        <v>1626</v>
      </c>
    </row>
    <row r="215" spans="1:3">
      <c r="A215" s="116" t="s">
        <v>669</v>
      </c>
      <c r="B215" s="120" t="s">
        <v>434</v>
      </c>
      <c r="C215" s="116" t="s">
        <v>384</v>
      </c>
    </row>
    <row r="216" spans="1:3">
      <c r="A216" s="116" t="s">
        <v>675</v>
      </c>
      <c r="B216" s="116" t="s">
        <v>1611</v>
      </c>
    </row>
    <row r="217" spans="1:3" ht="28.8">
      <c r="A217" s="116" t="s">
        <v>676</v>
      </c>
      <c r="B217" s="116" t="s">
        <v>1627</v>
      </c>
    </row>
    <row r="218" spans="1:3">
      <c r="A218" s="116" t="s">
        <v>677</v>
      </c>
      <c r="B218" s="120" t="s">
        <v>684</v>
      </c>
      <c r="C218" s="116" t="s">
        <v>384</v>
      </c>
    </row>
    <row r="219" spans="1:3" ht="43.2">
      <c r="A219" s="116" t="s">
        <v>678</v>
      </c>
      <c r="B219" s="116" t="s">
        <v>1628</v>
      </c>
    </row>
    <row r="220" spans="1:3">
      <c r="A220" s="116" t="s">
        <v>679</v>
      </c>
      <c r="B220" s="120" t="s">
        <v>1433</v>
      </c>
      <c r="C220" s="116" t="s">
        <v>384</v>
      </c>
    </row>
    <row r="222" spans="1:3">
      <c r="A222" s="14" t="s">
        <v>1629</v>
      </c>
      <c r="B222" s="14" t="s">
        <v>1720</v>
      </c>
    </row>
    <row r="223" spans="1:3">
      <c r="A223" s="116" t="s">
        <v>669</v>
      </c>
      <c r="B223" s="120" t="s">
        <v>434</v>
      </c>
      <c r="C223" s="116" t="s">
        <v>384</v>
      </c>
    </row>
    <row r="224" spans="1:3">
      <c r="A224" s="116" t="s">
        <v>675</v>
      </c>
      <c r="B224" s="116" t="s">
        <v>1611</v>
      </c>
    </row>
    <row r="225" spans="1:3" ht="28.8">
      <c r="A225" s="116" t="s">
        <v>676</v>
      </c>
      <c r="B225" s="116" t="s">
        <v>1630</v>
      </c>
    </row>
    <row r="226" spans="1:3">
      <c r="A226" s="116" t="s">
        <v>677</v>
      </c>
      <c r="B226" s="120" t="s">
        <v>684</v>
      </c>
      <c r="C226" s="116" t="s">
        <v>384</v>
      </c>
    </row>
    <row r="227" spans="1:3" ht="129.6">
      <c r="A227" s="116" t="s">
        <v>678</v>
      </c>
      <c r="B227" s="116" t="s">
        <v>1631</v>
      </c>
    </row>
    <row r="228" spans="1:3">
      <c r="A228" s="116" t="s">
        <v>679</v>
      </c>
      <c r="B228" s="120" t="s">
        <v>1433</v>
      </c>
      <c r="C228" s="116" t="s">
        <v>384</v>
      </c>
    </row>
    <row r="230" spans="1:3">
      <c r="A230" s="14" t="s">
        <v>1632</v>
      </c>
      <c r="B230" s="14" t="s">
        <v>1721</v>
      </c>
    </row>
    <row r="231" spans="1:3">
      <c r="A231" s="116" t="s">
        <v>669</v>
      </c>
      <c r="B231" s="120" t="s">
        <v>434</v>
      </c>
      <c r="C231" s="116" t="s">
        <v>384</v>
      </c>
    </row>
    <row r="232" spans="1:3">
      <c r="A232" s="116" t="s">
        <v>675</v>
      </c>
      <c r="B232" s="116" t="s">
        <v>1611</v>
      </c>
    </row>
    <row r="233" spans="1:3">
      <c r="A233" s="116" t="s">
        <v>676</v>
      </c>
      <c r="B233" s="116" t="s">
        <v>1633</v>
      </c>
    </row>
    <row r="234" spans="1:3">
      <c r="A234" s="116" t="s">
        <v>677</v>
      </c>
      <c r="B234" s="120" t="s">
        <v>684</v>
      </c>
      <c r="C234" s="116" t="s">
        <v>384</v>
      </c>
    </row>
    <row r="235" spans="1:3" ht="43.2">
      <c r="A235" s="116" t="s">
        <v>678</v>
      </c>
      <c r="B235" s="116" t="s">
        <v>1634</v>
      </c>
    </row>
    <row r="236" spans="1:3">
      <c r="A236" s="116" t="s">
        <v>679</v>
      </c>
      <c r="B236" s="120" t="s">
        <v>683</v>
      </c>
      <c r="C236" s="116" t="s">
        <v>384</v>
      </c>
    </row>
    <row r="238" spans="1:3">
      <c r="A238" s="14" t="s">
        <v>1635</v>
      </c>
      <c r="B238" s="14" t="s">
        <v>1722</v>
      </c>
    </row>
    <row r="239" spans="1:3">
      <c r="A239" s="116" t="s">
        <v>669</v>
      </c>
      <c r="B239" s="120" t="s">
        <v>434</v>
      </c>
      <c r="C239" s="116" t="s">
        <v>384</v>
      </c>
    </row>
    <row r="240" spans="1:3">
      <c r="A240" s="116" t="s">
        <v>675</v>
      </c>
      <c r="B240" s="116" t="s">
        <v>1611</v>
      </c>
    </row>
    <row r="241" spans="1:3">
      <c r="A241" s="116" t="s">
        <v>676</v>
      </c>
      <c r="B241" s="116" t="s">
        <v>1636</v>
      </c>
    </row>
    <row r="242" spans="1:3">
      <c r="A242" s="116" t="s">
        <v>677</v>
      </c>
      <c r="B242" s="120" t="s">
        <v>684</v>
      </c>
      <c r="C242" s="116" t="s">
        <v>384</v>
      </c>
    </row>
    <row r="243" spans="1:3" ht="100.8">
      <c r="A243" s="116" t="s">
        <v>678</v>
      </c>
      <c r="B243" s="116" t="s">
        <v>1637</v>
      </c>
    </row>
    <row r="244" spans="1:3">
      <c r="A244" s="116" t="s">
        <v>679</v>
      </c>
      <c r="B244" s="120" t="s">
        <v>1433</v>
      </c>
      <c r="C244" s="116" t="s">
        <v>384</v>
      </c>
    </row>
    <row r="245" spans="1:3">
      <c r="C245" s="88"/>
    </row>
    <row r="246" spans="1:3">
      <c r="A246" s="19" t="s">
        <v>603</v>
      </c>
      <c r="C246" s="88"/>
    </row>
    <row r="248" spans="1:3">
      <c r="A248" s="28" t="s">
        <v>814</v>
      </c>
      <c r="B248" s="29"/>
      <c r="C248" s="30"/>
    </row>
    <row r="249" spans="1:3">
      <c r="A249" s="116" t="s">
        <v>685</v>
      </c>
      <c r="B249" s="120" t="s">
        <v>434</v>
      </c>
      <c r="C249" s="116" t="s">
        <v>384</v>
      </c>
    </row>
    <row r="250" spans="1:3">
      <c r="A250" s="116" t="s">
        <v>701</v>
      </c>
      <c r="B250" s="116" t="s">
        <v>29</v>
      </c>
    </row>
    <row r="251" spans="1:3">
      <c r="A251" s="116" t="s">
        <v>382</v>
      </c>
      <c r="B251" s="116" t="s">
        <v>1139</v>
      </c>
    </row>
    <row r="252" spans="1:3">
      <c r="A252" s="116" t="s">
        <v>702</v>
      </c>
      <c r="B252" s="120" t="s">
        <v>681</v>
      </c>
      <c r="C252" s="116" t="s">
        <v>384</v>
      </c>
    </row>
    <row r="253" spans="1:3">
      <c r="A253" s="116" t="s">
        <v>703</v>
      </c>
      <c r="B253" s="116" t="s">
        <v>1140</v>
      </c>
    </row>
    <row r="254" spans="1:3">
      <c r="A254" s="116" t="s">
        <v>704</v>
      </c>
      <c r="B254" s="120" t="s">
        <v>683</v>
      </c>
      <c r="C254" s="116" t="s">
        <v>384</v>
      </c>
    </row>
    <row r="256" spans="1:3">
      <c r="A256" s="19" t="s">
        <v>603</v>
      </c>
    </row>
    <row r="258" spans="1:3">
      <c r="A258" s="28" t="s">
        <v>815</v>
      </c>
      <c r="B258" s="29"/>
      <c r="C258" s="30"/>
    </row>
    <row r="259" spans="1:3">
      <c r="A259" s="116" t="s">
        <v>705</v>
      </c>
      <c r="B259" s="120" t="s">
        <v>707</v>
      </c>
      <c r="C259" s="116" t="s">
        <v>384</v>
      </c>
    </row>
    <row r="260" spans="1:3">
      <c r="A260" s="116" t="s">
        <v>710</v>
      </c>
    </row>
    <row r="261" spans="1:3" ht="28.8">
      <c r="A261" s="116" t="s">
        <v>711</v>
      </c>
      <c r="B261" s="116" t="s">
        <v>712</v>
      </c>
    </row>
    <row r="263" spans="1:3">
      <c r="A263" s="19" t="s">
        <v>603</v>
      </c>
    </row>
    <row r="265" spans="1:3">
      <c r="A265" s="28" t="s">
        <v>816</v>
      </c>
      <c r="B265" s="29"/>
      <c r="C265" s="30"/>
    </row>
    <row r="266" spans="1:3" ht="57.6">
      <c r="A266" s="258" t="s">
        <v>1171</v>
      </c>
      <c r="B266" s="120" t="s">
        <v>1170</v>
      </c>
      <c r="C266" s="116" t="s">
        <v>384</v>
      </c>
    </row>
    <row r="268" spans="1:3">
      <c r="A268" s="99" t="s">
        <v>817</v>
      </c>
      <c r="B268" s="99"/>
    </row>
    <row r="269" spans="1:3">
      <c r="A269" s="28" t="s">
        <v>818</v>
      </c>
      <c r="B269" s="29"/>
      <c r="C269" s="30"/>
    </row>
    <row r="270" spans="1:3" ht="72">
      <c r="A270" s="258" t="s">
        <v>1191</v>
      </c>
      <c r="B270" s="120" t="s">
        <v>1170</v>
      </c>
      <c r="C270" s="116" t="s">
        <v>384</v>
      </c>
    </row>
    <row r="273" spans="1:3">
      <c r="A273" s="28" t="s">
        <v>819</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1658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1652</v>
      </c>
      <c r="E12" t="s">
        <v>1651</v>
      </c>
      <c r="F12" t="s">
        <v>902</v>
      </c>
      <c r="G12" t="s">
        <v>411</v>
      </c>
    </row>
    <row r="13" spans="1:7">
      <c r="A13" t="s">
        <v>902</v>
      </c>
      <c r="B13" t="s">
        <v>1348</v>
      </c>
      <c r="C13" t="s">
        <v>894</v>
      </c>
      <c r="D13" t="s">
        <v>1562</v>
      </c>
      <c r="E13" t="s">
        <v>1357</v>
      </c>
      <c r="F13" t="s">
        <v>902</v>
      </c>
      <c r="G13" t="s">
        <v>411</v>
      </c>
    </row>
    <row r="14" spans="1:7">
      <c r="A14" t="s">
        <v>902</v>
      </c>
      <c r="B14" t="s">
        <v>1348</v>
      </c>
      <c r="C14" t="s">
        <v>886</v>
      </c>
      <c r="D14" t="s">
        <v>1652</v>
      </c>
      <c r="E14" t="s">
        <v>1651</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1652</v>
      </c>
      <c r="E25" t="s">
        <v>1651</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1652</v>
      </c>
      <c r="E12" s="318" t="s">
        <v>1651</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1652</v>
      </c>
      <c r="E14" s="318" t="s">
        <v>1651</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1676</v>
      </c>
      <c r="D3" s="434" t="s">
        <v>1677</v>
      </c>
      <c r="E3" s="433" t="s">
        <v>1676</v>
      </c>
      <c r="F3" s="434" t="s">
        <v>1677</v>
      </c>
      <c r="G3" s="433" t="s">
        <v>1676</v>
      </c>
      <c r="H3" s="434" t="s">
        <v>1677</v>
      </c>
      <c r="I3" s="433" t="s">
        <v>1676</v>
      </c>
      <c r="J3" s="434" t="s">
        <v>1677</v>
      </c>
      <c r="K3" s="433" t="s">
        <v>1676</v>
      </c>
      <c r="L3" s="434" t="s">
        <v>1677</v>
      </c>
      <c r="M3" s="433" t="s">
        <v>1676</v>
      </c>
      <c r="N3" s="434" t="s">
        <v>1677</v>
      </c>
      <c r="O3" s="433" t="s">
        <v>1676</v>
      </c>
      <c r="P3" s="434" t="s">
        <v>1677</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1678</v>
      </c>
      <c r="B5" s="437" t="s">
        <v>1679</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1678</v>
      </c>
      <c r="R5" s="437" t="s">
        <v>1679</v>
      </c>
      <c r="T5" s="432">
        <f>YEAR(T4)-1</f>
        <v>2020</v>
      </c>
    </row>
    <row r="6" spans="1:20" ht="19.95" customHeight="1">
      <c r="A6" s="440">
        <v>0.41666666666666669</v>
      </c>
      <c r="B6" s="440">
        <v>0.16666666666666666</v>
      </c>
      <c r="C6" s="495"/>
      <c r="D6" s="451"/>
      <c r="E6" s="495"/>
      <c r="F6" s="451"/>
      <c r="G6" s="441" t="s">
        <v>1680</v>
      </c>
      <c r="H6" s="451"/>
      <c r="I6" s="441" t="s">
        <v>1680</v>
      </c>
      <c r="J6" s="451"/>
      <c r="K6" s="441" t="s">
        <v>1680</v>
      </c>
      <c r="L6" s="451"/>
      <c r="M6" s="441" t="s">
        <v>1680</v>
      </c>
      <c r="N6" s="451"/>
      <c r="O6" s="441" t="s">
        <v>1680</v>
      </c>
      <c r="P6" s="451"/>
      <c r="Q6" s="440">
        <v>0.41666666666666669</v>
      </c>
      <c r="R6" s="440">
        <v>0.16666666666666666</v>
      </c>
      <c r="T6" s="432">
        <f>DATE(T5,12,31)</f>
        <v>44196</v>
      </c>
    </row>
    <row r="7" spans="1:20" ht="19.95" customHeight="1">
      <c r="A7" s="440">
        <v>0.4375</v>
      </c>
      <c r="B7" s="440">
        <v>0.1875</v>
      </c>
      <c r="C7" s="495"/>
      <c r="D7" s="452"/>
      <c r="E7" s="495"/>
      <c r="F7" s="452"/>
      <c r="G7" s="442" t="s">
        <v>1443</v>
      </c>
      <c r="H7" s="452"/>
      <c r="I7" s="501" t="s">
        <v>987</v>
      </c>
      <c r="J7" s="452"/>
      <c r="K7" s="481" t="s">
        <v>1681</v>
      </c>
      <c r="L7" s="452"/>
      <c r="M7" s="481" t="s">
        <v>991</v>
      </c>
      <c r="N7" s="452"/>
      <c r="O7" s="499" t="s">
        <v>1682</v>
      </c>
      <c r="P7" s="452"/>
      <c r="Q7" s="440">
        <v>0.4375</v>
      </c>
      <c r="R7" s="440">
        <v>0.1875</v>
      </c>
      <c r="T7" s="432">
        <f>T4-T6</f>
        <v>100</v>
      </c>
    </row>
    <row r="8" spans="1:20" ht="19.95" customHeight="1">
      <c r="A8" s="440">
        <v>0.45833333333333331</v>
      </c>
      <c r="B8" s="440">
        <v>0.20833333333333334</v>
      </c>
      <c r="C8" s="482" t="s">
        <v>1698</v>
      </c>
      <c r="D8" s="452"/>
      <c r="E8" s="482" t="s">
        <v>1698</v>
      </c>
      <c r="F8" s="452"/>
      <c r="G8" s="499" t="s">
        <v>1683</v>
      </c>
      <c r="H8" s="452"/>
      <c r="I8" s="501"/>
      <c r="J8" s="452"/>
      <c r="K8" s="481"/>
      <c r="L8" s="452"/>
      <c r="M8" s="481"/>
      <c r="N8" s="452"/>
      <c r="O8" s="499"/>
      <c r="P8" s="452"/>
      <c r="Q8" s="440">
        <v>0.45833333333333331</v>
      </c>
      <c r="R8" s="440">
        <v>0.20833333333333334</v>
      </c>
      <c r="T8" s="432">
        <f>ROUNDUP(T7/7,0)</f>
        <v>15</v>
      </c>
    </row>
    <row r="9" spans="1:20" ht="19.95" customHeight="1">
      <c r="A9" s="440">
        <v>0.47916666666666663</v>
      </c>
      <c r="B9" s="440">
        <v>0.22916666666666669</v>
      </c>
      <c r="C9" s="483"/>
      <c r="D9" s="452"/>
      <c r="E9" s="483"/>
      <c r="F9" s="452"/>
      <c r="G9" s="499"/>
      <c r="H9" s="452"/>
      <c r="I9" s="501"/>
      <c r="J9" s="452"/>
      <c r="K9" s="481"/>
      <c r="L9" s="452"/>
      <c r="M9" s="441" t="s">
        <v>609</v>
      </c>
      <c r="N9" s="452"/>
      <c r="O9" s="479" t="s">
        <v>1684</v>
      </c>
      <c r="P9" s="452"/>
      <c r="Q9" s="440">
        <v>0.47916666666666663</v>
      </c>
      <c r="R9" s="440">
        <v>0.22916666666666669</v>
      </c>
    </row>
    <row r="10" spans="1:20" ht="19.95" customHeight="1">
      <c r="A10" s="440">
        <v>0.49999999999999994</v>
      </c>
      <c r="B10" s="440">
        <v>0.25</v>
      </c>
      <c r="C10" s="483"/>
      <c r="D10" s="452"/>
      <c r="E10" s="483"/>
      <c r="F10" s="452"/>
      <c r="G10" s="502" t="s">
        <v>936</v>
      </c>
      <c r="H10" s="452"/>
      <c r="I10" s="500" t="s">
        <v>936</v>
      </c>
      <c r="J10" s="452"/>
      <c r="K10" s="500" t="s">
        <v>936</v>
      </c>
      <c r="L10" s="452"/>
      <c r="M10" s="500" t="s">
        <v>936</v>
      </c>
      <c r="N10" s="452"/>
      <c r="O10" s="479"/>
      <c r="P10" s="452"/>
      <c r="Q10" s="440">
        <v>0.49999999999999994</v>
      </c>
      <c r="R10" s="440">
        <v>0.25</v>
      </c>
    </row>
    <row r="11" spans="1:20" ht="19.95" customHeight="1">
      <c r="A11" s="440">
        <v>0.52083333333333326</v>
      </c>
      <c r="B11" s="440">
        <v>0.27083333333333331</v>
      </c>
      <c r="C11" s="483"/>
      <c r="D11" s="452"/>
      <c r="E11" s="483"/>
      <c r="F11" s="452"/>
      <c r="G11" s="503"/>
      <c r="H11" s="452"/>
      <c r="I11" s="500"/>
      <c r="J11" s="452"/>
      <c r="K11" s="500"/>
      <c r="L11" s="452"/>
      <c r="M11" s="500"/>
      <c r="N11" s="452"/>
      <c r="O11" s="500" t="s">
        <v>936</v>
      </c>
      <c r="P11" s="452"/>
      <c r="Q11" s="440">
        <v>0.52083333333333326</v>
      </c>
      <c r="R11" s="440">
        <v>0.27083333333333331</v>
      </c>
    </row>
    <row r="12" spans="1:20" ht="19.95" customHeight="1">
      <c r="A12" s="440">
        <v>0.54166666666666663</v>
      </c>
      <c r="B12" s="440">
        <v>0.29166666666666663</v>
      </c>
      <c r="C12" s="483"/>
      <c r="D12" s="452"/>
      <c r="E12" s="483"/>
      <c r="F12" s="452"/>
      <c r="G12" s="482" t="s">
        <v>1686</v>
      </c>
      <c r="H12" s="452"/>
      <c r="I12" s="481" t="s">
        <v>987</v>
      </c>
      <c r="J12" s="452"/>
      <c r="K12" s="481" t="s">
        <v>1681</v>
      </c>
      <c r="L12" s="452"/>
      <c r="M12" s="480" t="s">
        <v>1703</v>
      </c>
      <c r="N12" s="452"/>
      <c r="O12" s="500"/>
      <c r="P12" s="452"/>
      <c r="Q12" s="440">
        <v>0.54166666666666663</v>
      </c>
      <c r="R12" s="440">
        <v>0.29166666666666663</v>
      </c>
    </row>
    <row r="13" spans="1:20" ht="19.95" customHeight="1">
      <c r="A13" s="440">
        <v>0.5625</v>
      </c>
      <c r="B13" s="440">
        <v>0.31249999999999994</v>
      </c>
      <c r="C13" s="483"/>
      <c r="D13" s="452"/>
      <c r="E13" s="483"/>
      <c r="F13" s="452"/>
      <c r="G13" s="483"/>
      <c r="H13" s="452"/>
      <c r="I13" s="481"/>
      <c r="J13" s="452"/>
      <c r="K13" s="481"/>
      <c r="L13" s="452"/>
      <c r="M13" s="480"/>
      <c r="N13" s="452"/>
      <c r="O13" s="480" t="s">
        <v>1685</v>
      </c>
      <c r="P13" s="452"/>
      <c r="Q13" s="440">
        <v>0.5625</v>
      </c>
      <c r="R13" s="440">
        <v>0.31249999999999994</v>
      </c>
    </row>
    <row r="14" spans="1:20" ht="19.95" customHeight="1">
      <c r="A14" s="440">
        <v>0.58333333333333337</v>
      </c>
      <c r="B14" s="440">
        <v>0.33333333333333326</v>
      </c>
      <c r="C14" s="483"/>
      <c r="D14" s="452"/>
      <c r="E14" s="483"/>
      <c r="F14" s="452"/>
      <c r="G14" s="483"/>
      <c r="H14" s="452"/>
      <c r="I14" s="481"/>
      <c r="J14" s="452"/>
      <c r="K14" s="481"/>
      <c r="L14" s="452"/>
      <c r="M14" s="480"/>
      <c r="N14" s="452"/>
      <c r="O14" s="480"/>
      <c r="P14" s="452"/>
      <c r="Q14" s="440">
        <v>0.58333333333333337</v>
      </c>
      <c r="R14" s="440">
        <v>0.33333333333333326</v>
      </c>
    </row>
    <row r="15" spans="1:20" ht="19.95" customHeight="1">
      <c r="A15" s="440">
        <v>0.60416666666666674</v>
      </c>
      <c r="B15" s="440">
        <v>0.35416666666666657</v>
      </c>
      <c r="C15" s="483"/>
      <c r="D15" s="452"/>
      <c r="E15" s="483"/>
      <c r="F15" s="452"/>
      <c r="G15" s="483"/>
      <c r="H15" s="452"/>
      <c r="I15" s="481"/>
      <c r="J15" s="452"/>
      <c r="K15" s="481"/>
      <c r="L15" s="452"/>
      <c r="M15" s="480"/>
      <c r="N15" s="452"/>
      <c r="O15" s="480"/>
      <c r="P15" s="452"/>
      <c r="Q15" s="440">
        <v>0.60416666666666674</v>
      </c>
      <c r="R15" s="440">
        <v>0.35416666666666657</v>
      </c>
    </row>
    <row r="16" spans="1:20" ht="19.95" customHeight="1">
      <c r="A16" s="440">
        <v>0.62500000000000011</v>
      </c>
      <c r="B16" s="440">
        <v>0.37499999999999989</v>
      </c>
      <c r="C16" s="483"/>
      <c r="D16" s="452"/>
      <c r="E16" s="483"/>
      <c r="F16" s="452"/>
      <c r="G16" s="484"/>
      <c r="H16" s="452"/>
      <c r="I16" s="481"/>
      <c r="J16" s="452"/>
      <c r="K16" s="481"/>
      <c r="L16" s="452"/>
      <c r="M16" s="481" t="s">
        <v>1687</v>
      </c>
      <c r="N16" s="452"/>
      <c r="O16" s="479" t="s">
        <v>1706</v>
      </c>
      <c r="P16" s="452"/>
      <c r="Q16" s="440">
        <v>0.62500000000000011</v>
      </c>
      <c r="R16" s="440">
        <v>0.37499999999999989</v>
      </c>
    </row>
    <row r="17" spans="1:18" ht="19.95" customHeight="1">
      <c r="A17" s="440">
        <v>0.64583333333333348</v>
      </c>
      <c r="B17" s="440">
        <v>0.3958333333333332</v>
      </c>
      <c r="C17" s="483"/>
      <c r="D17" s="452"/>
      <c r="E17" s="483"/>
      <c r="F17" s="452"/>
      <c r="G17" s="441" t="s">
        <v>609</v>
      </c>
      <c r="H17" s="452"/>
      <c r="I17" s="480" t="s">
        <v>609</v>
      </c>
      <c r="J17" s="452"/>
      <c r="K17" s="481"/>
      <c r="L17" s="452"/>
      <c r="M17" s="481"/>
      <c r="N17" s="452"/>
      <c r="O17" s="479"/>
      <c r="P17" s="452"/>
      <c r="Q17" s="440">
        <v>0.64583333333333348</v>
      </c>
      <c r="R17" s="440">
        <v>0.3958333333333332</v>
      </c>
    </row>
    <row r="18" spans="1:18" ht="19.95" customHeight="1">
      <c r="A18" s="440">
        <v>0.66666666666666685</v>
      </c>
      <c r="B18" s="440">
        <v>0.41666666666666652</v>
      </c>
      <c r="C18" s="483"/>
      <c r="D18" s="452"/>
      <c r="E18" s="483"/>
      <c r="F18" s="452"/>
      <c r="G18" s="481" t="s">
        <v>1686</v>
      </c>
      <c r="H18" s="452"/>
      <c r="I18" s="480"/>
      <c r="J18" s="452"/>
      <c r="K18" s="441" t="s">
        <v>609</v>
      </c>
      <c r="L18" s="452"/>
      <c r="M18" s="480" t="s">
        <v>1705</v>
      </c>
      <c r="N18" s="452"/>
      <c r="O18" s="498" t="s">
        <v>1689</v>
      </c>
      <c r="P18" s="452"/>
      <c r="Q18" s="440">
        <v>0.66666666666666685</v>
      </c>
      <c r="R18" s="440">
        <v>0.41666666666666652</v>
      </c>
    </row>
    <row r="19" spans="1:18" ht="19.95" customHeight="1">
      <c r="A19" s="440">
        <v>0.68750000000000022</v>
      </c>
      <c r="B19" s="440">
        <v>0.43749999999999983</v>
      </c>
      <c r="C19" s="483"/>
      <c r="D19" s="452"/>
      <c r="E19" s="483"/>
      <c r="F19" s="452"/>
      <c r="G19" s="481"/>
      <c r="H19" s="452"/>
      <c r="I19" s="481" t="s">
        <v>1688</v>
      </c>
      <c r="J19" s="452"/>
      <c r="K19" s="481" t="s">
        <v>990</v>
      </c>
      <c r="L19" s="452"/>
      <c r="M19" s="480"/>
      <c r="N19" s="452"/>
      <c r="O19" s="498"/>
      <c r="P19" s="452"/>
      <c r="Q19" s="440">
        <v>0.68750000000000022</v>
      </c>
      <c r="R19" s="440">
        <v>0.43749999999999983</v>
      </c>
    </row>
    <row r="20" spans="1:18" ht="19.95" customHeight="1">
      <c r="A20" s="440">
        <v>0.70833333333333359</v>
      </c>
      <c r="B20" s="440">
        <v>0.45833333333333315</v>
      </c>
      <c r="C20" s="483"/>
      <c r="D20" s="452"/>
      <c r="E20" s="483"/>
      <c r="F20" s="452"/>
      <c r="G20" s="481"/>
      <c r="H20" s="452"/>
      <c r="I20" s="481"/>
      <c r="J20" s="452"/>
      <c r="K20" s="481"/>
      <c r="L20" s="452"/>
      <c r="M20" s="480"/>
      <c r="N20" s="452"/>
      <c r="O20" s="498"/>
      <c r="P20" s="452"/>
      <c r="Q20" s="440">
        <v>0.70833333333333359</v>
      </c>
      <c r="R20" s="440">
        <v>0.45833333333333315</v>
      </c>
    </row>
    <row r="21" spans="1:18" ht="19.95" customHeight="1">
      <c r="A21" s="440">
        <v>0.72916666666666696</v>
      </c>
      <c r="B21" s="440">
        <v>0.47916666666666646</v>
      </c>
      <c r="C21" s="484"/>
      <c r="D21" s="452"/>
      <c r="E21" s="484"/>
      <c r="F21" s="452"/>
      <c r="G21" s="496" t="s">
        <v>1701</v>
      </c>
      <c r="H21" s="452"/>
      <c r="I21" s="480" t="s">
        <v>1701</v>
      </c>
      <c r="J21" s="452"/>
      <c r="K21" s="480" t="s">
        <v>1701</v>
      </c>
      <c r="L21" s="452"/>
      <c r="M21" s="480"/>
      <c r="N21" s="452"/>
      <c r="O21" s="498"/>
      <c r="P21" s="452"/>
      <c r="Q21" s="440">
        <v>0.72916666666666696</v>
      </c>
      <c r="R21" s="440">
        <v>0.47916666666666646</v>
      </c>
    </row>
    <row r="22" spans="1:18" ht="19.95" customHeight="1">
      <c r="A22" s="440">
        <v>0.75000000000000033</v>
      </c>
      <c r="B22" s="440">
        <v>0.49999999999999978</v>
      </c>
      <c r="C22" s="496" t="s">
        <v>1704</v>
      </c>
      <c r="D22" s="452"/>
      <c r="E22" s="496" t="s">
        <v>1704</v>
      </c>
      <c r="F22" s="452"/>
      <c r="G22" s="497"/>
      <c r="H22" s="452"/>
      <c r="I22" s="480"/>
      <c r="J22" s="452"/>
      <c r="K22" s="480"/>
      <c r="L22" s="452"/>
      <c r="M22" s="480"/>
      <c r="N22" s="452"/>
      <c r="O22" s="485" t="s">
        <v>1702</v>
      </c>
      <c r="P22" s="452"/>
      <c r="Q22" s="440">
        <v>0.75000000000000033</v>
      </c>
      <c r="R22" s="440">
        <v>0.49999999999999978</v>
      </c>
    </row>
    <row r="23" spans="1:18" ht="19.95" customHeight="1">
      <c r="A23" s="440">
        <v>0.7708333333333337</v>
      </c>
      <c r="B23" s="440">
        <v>0.52083333333333315</v>
      </c>
      <c r="C23" s="497"/>
      <c r="D23" s="452"/>
      <c r="E23" s="497"/>
      <c r="F23" s="452"/>
      <c r="G23" s="492" t="s">
        <v>1702</v>
      </c>
      <c r="H23" s="452"/>
      <c r="I23" s="495" t="s">
        <v>1702</v>
      </c>
      <c r="J23" s="452"/>
      <c r="K23" s="495" t="s">
        <v>1702</v>
      </c>
      <c r="L23" s="452"/>
      <c r="M23" s="495" t="s">
        <v>1702</v>
      </c>
      <c r="N23" s="452"/>
      <c r="O23" s="485"/>
      <c r="P23" s="452"/>
      <c r="Q23" s="440">
        <v>0.7708333333333337</v>
      </c>
      <c r="R23" s="440">
        <v>0.52083333333333315</v>
      </c>
    </row>
    <row r="24" spans="1:18" ht="19.95" customHeight="1">
      <c r="A24" s="443">
        <v>0.79166666666666707</v>
      </c>
      <c r="B24" s="443">
        <v>0.54166666666666652</v>
      </c>
      <c r="C24" s="485" t="s">
        <v>1702</v>
      </c>
      <c r="D24" s="452"/>
      <c r="E24" s="485" t="s">
        <v>1702</v>
      </c>
      <c r="F24" s="452"/>
      <c r="G24" s="493"/>
      <c r="H24" s="452"/>
      <c r="I24" s="495"/>
      <c r="J24" s="452"/>
      <c r="K24" s="495"/>
      <c r="L24" s="452"/>
      <c r="M24" s="495"/>
      <c r="N24" s="452"/>
      <c r="O24" s="485"/>
      <c r="P24" s="452"/>
      <c r="Q24" s="443">
        <v>0.79166666666666707</v>
      </c>
      <c r="R24" s="443">
        <v>0.54166666666666652</v>
      </c>
    </row>
    <row r="25" spans="1:18" ht="19.95" customHeight="1">
      <c r="A25" s="443">
        <v>0.81250000000000044</v>
      </c>
      <c r="B25" s="443">
        <v>0.56249999999999989</v>
      </c>
      <c r="C25" s="485"/>
      <c r="D25" s="453"/>
      <c r="E25" s="485"/>
      <c r="F25" s="453"/>
      <c r="G25" s="494"/>
      <c r="H25" s="453"/>
      <c r="I25" s="495"/>
      <c r="J25" s="453"/>
      <c r="K25" s="495"/>
      <c r="L25" s="453"/>
      <c r="M25" s="495"/>
      <c r="N25" s="453"/>
      <c r="O25" s="485"/>
      <c r="P25" s="453"/>
      <c r="Q25" s="443">
        <v>0.81250000000000044</v>
      </c>
      <c r="R25" s="443">
        <v>0.56249999999999989</v>
      </c>
    </row>
    <row r="33" spans="2:18" ht="16.05" customHeight="1">
      <c r="B33" s="444" t="s">
        <v>846</v>
      </c>
      <c r="C33" s="444" t="s">
        <v>847</v>
      </c>
      <c r="D33" s="486" t="s">
        <v>1690</v>
      </c>
      <c r="E33" s="487"/>
      <c r="F33" s="487"/>
      <c r="G33" s="488"/>
      <c r="H33" s="444" t="s">
        <v>1691</v>
      </c>
      <c r="L33" s="489" t="s">
        <v>1700</v>
      </c>
      <c r="M33" s="490"/>
      <c r="N33" s="490"/>
      <c r="O33" s="491"/>
      <c r="R33" s="444" t="s">
        <v>846</v>
      </c>
    </row>
    <row r="34" spans="2:18" ht="16.05" customHeight="1">
      <c r="B34" s="445">
        <v>1</v>
      </c>
      <c r="C34" s="446">
        <f>Planning!B24</f>
        <v>44282</v>
      </c>
      <c r="D34" s="466" t="s">
        <v>1692</v>
      </c>
      <c r="E34" s="466"/>
      <c r="F34" s="466"/>
      <c r="G34" s="466"/>
      <c r="H34" s="447" t="s">
        <v>593</v>
      </c>
      <c r="L34" s="470" t="s">
        <v>1699</v>
      </c>
      <c r="M34" s="471"/>
      <c r="N34" s="471"/>
      <c r="O34" s="472"/>
      <c r="R34" s="445">
        <v>1</v>
      </c>
    </row>
    <row r="35" spans="2:18" ht="16.05" customHeight="1">
      <c r="B35" s="445" t="s">
        <v>1693</v>
      </c>
      <c r="C35" s="446">
        <f>G5</f>
        <v>44298</v>
      </c>
      <c r="D35" s="466" t="s">
        <v>1694</v>
      </c>
      <c r="E35" s="466"/>
      <c r="F35" s="466"/>
      <c r="G35" s="466"/>
      <c r="H35" s="447" t="s">
        <v>625</v>
      </c>
      <c r="L35" s="473" t="s">
        <v>1695</v>
      </c>
      <c r="M35" s="474"/>
      <c r="N35" s="474"/>
      <c r="O35" s="475"/>
      <c r="R35" s="445" t="s">
        <v>1693</v>
      </c>
    </row>
    <row r="36" spans="2:18" ht="16.05" customHeight="1">
      <c r="B36" s="445"/>
      <c r="C36" s="446"/>
      <c r="D36" s="466"/>
      <c r="E36" s="466"/>
      <c r="F36" s="466"/>
      <c r="G36" s="466"/>
      <c r="H36" s="447"/>
      <c r="L36" s="476" t="s">
        <v>1696</v>
      </c>
      <c r="M36" s="477"/>
      <c r="N36" s="477"/>
      <c r="O36" s="478"/>
      <c r="R36" s="445"/>
    </row>
    <row r="37" spans="2:18" ht="16.05" customHeight="1">
      <c r="B37" s="445"/>
      <c r="C37" s="446"/>
      <c r="D37" s="466"/>
      <c r="E37" s="466"/>
      <c r="F37" s="466"/>
      <c r="G37" s="466"/>
      <c r="H37" s="447"/>
      <c r="L37" s="467" t="s">
        <v>1697</v>
      </c>
      <c r="M37" s="468"/>
      <c r="N37" s="468"/>
      <c r="O37" s="469"/>
      <c r="R37" s="44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1195</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28.8">
      <c r="A4" s="504" t="s">
        <v>929</v>
      </c>
      <c r="B4" s="504"/>
      <c r="C4" s="68" t="str">
        <f>J11</f>
        <v>Mini team 1:ATM-5 / ATM-6 / ATM-7</v>
      </c>
      <c r="D4" s="68" t="str">
        <f>M11</f>
        <v>Full team: ATM-1 / ATM-2 / ATM-3 / ATM-4 /ATM-5 / ATM-6 / ATM-7 / ATM-8</v>
      </c>
      <c r="E4" s="68" t="str">
        <f>CONCATENATE("LA team: ",'Agreement 3'!B7," and ATMs if applicable")</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I15" s="134"/>
      <c r="K15" s="138"/>
      <c r="L15" s="134" t="str">
        <f>'P1PA-SS'!B96</f>
        <v>ATM-5</v>
      </c>
      <c r="M15" s="135"/>
      <c r="N15" s="67"/>
      <c r="O15" s="67"/>
      <c r="P15" s="67"/>
    </row>
    <row r="16" spans="1:16">
      <c r="A16" s="511" t="str">
        <f>J4</f>
        <v>Day 3</v>
      </c>
      <c r="B16" s="511"/>
      <c r="C16" s="512">
        <f>I4</f>
        <v>44298</v>
      </c>
      <c r="D16" s="512"/>
      <c r="E16" s="512"/>
      <c r="F16" s="511" t="str">
        <f>A16</f>
        <v>Day 3</v>
      </c>
      <c r="G16" s="511"/>
      <c r="H16" s="65"/>
      <c r="I16" s="134"/>
      <c r="K16" s="138"/>
      <c r="L16" s="134" t="str">
        <f>'P1PA-SS'!B97</f>
        <v>ATM-6</v>
      </c>
      <c r="M16" s="135"/>
      <c r="N16" s="67"/>
      <c r="O16" s="67"/>
      <c r="P16" s="67"/>
    </row>
    <row r="17" spans="1:18" ht="28.8">
      <c r="A17" s="511" t="s">
        <v>929</v>
      </c>
      <c r="B17" s="511"/>
      <c r="C17" s="71" t="str">
        <f>C4</f>
        <v>Mini team 1:ATM-5 / ATM-6 / ATM-7</v>
      </c>
      <c r="D17" s="71" t="str">
        <f>D4</f>
        <v>Full team: ATM-1 / ATM-2 / ATM-3 / ATM-4 /ATM-5 / ATM-6 / ATM-7 / ATM-8</v>
      </c>
      <c r="E17" s="71"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984</v>
      </c>
      <c r="D19" s="514"/>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1660</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937</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71" t="str">
        <f>C17</f>
        <v>Mini team 1:ATM-5 / ATM-6 / ATM-7</v>
      </c>
      <c r="D36" s="71" t="str">
        <f>D17</f>
        <v>Full team: ATM-1 / ATM-2 / ATM-3 / ATM-4 /ATM-5 / ATM-6 / ATM-7 / ATM-8</v>
      </c>
      <c r="E36" s="71" t="str">
        <f>E17</f>
        <v>LA team: van Zyl, Pieter and ATMs if applicable</v>
      </c>
      <c r="F36" s="511" t="s">
        <v>930</v>
      </c>
      <c r="G36" s="511"/>
      <c r="H36" s="74"/>
    </row>
    <row r="37" spans="1:16" ht="18" customHeight="1">
      <c r="A37" s="70">
        <v>0.41666666666666669</v>
      </c>
      <c r="B37" s="70">
        <v>0.4375</v>
      </c>
      <c r="C37" s="509" t="s">
        <v>937</v>
      </c>
      <c r="D37" s="509"/>
      <c r="E37" s="72"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1661</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937</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68" t="str">
        <f>C36</f>
        <v>Mini team 1:ATM-5 / ATM-6 / ATM-7</v>
      </c>
      <c r="D55" s="68" t="str">
        <f>D36</f>
        <v>Full team: ATM-1 / ATM-2 / ATM-3 / ATM-4 /ATM-5 / ATM-6 / ATM-7 / ATM-8</v>
      </c>
      <c r="E55" s="68" t="str">
        <f>E36</f>
        <v>LA team: van Zyl, Pieter and ATMs if applicable</v>
      </c>
      <c r="F55" s="504" t="s">
        <v>930</v>
      </c>
      <c r="G55" s="504"/>
      <c r="H55" s="74"/>
    </row>
    <row r="56" spans="1:8" ht="18" customHeight="1">
      <c r="A56" s="70">
        <v>0.41666666666666669</v>
      </c>
      <c r="B56" s="70">
        <v>0.4375</v>
      </c>
      <c r="C56" s="509" t="s">
        <v>939</v>
      </c>
      <c r="D56" s="509"/>
      <c r="E56" s="72"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1662</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09" t="s">
        <v>937</v>
      </c>
      <c r="D71" s="509"/>
      <c r="E71" s="509"/>
      <c r="F71" s="70">
        <v>0.47916666666666669</v>
      </c>
      <c r="G71" s="70">
        <v>0.5</v>
      </c>
      <c r="H71" s="74"/>
    </row>
    <row r="72" spans="1:8" ht="18" customHeight="1">
      <c r="A72" s="70">
        <v>0.75</v>
      </c>
      <c r="B72" s="70">
        <v>0.83333333333333337</v>
      </c>
      <c r="C72" s="509" t="s">
        <v>938</v>
      </c>
      <c r="D72" s="509"/>
      <c r="E72" s="509"/>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68" t="str">
        <f>C55</f>
        <v>Mini team 1:ATM-5 / ATM-6 / ATM-7</v>
      </c>
      <c r="D74" s="68" t="str">
        <f>D55</f>
        <v>Full team: ATM-1 / ATM-2 / ATM-3 / ATM-4 /ATM-5 / ATM-6 / ATM-7 / ATM-8</v>
      </c>
      <c r="E74" s="68"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17" t="s">
        <v>940</v>
      </c>
      <c r="D81" s="517"/>
      <c r="E81" s="517"/>
      <c r="F81" s="70">
        <v>0.29166666666666669</v>
      </c>
      <c r="G81" s="70">
        <v>0.3125</v>
      </c>
      <c r="H81" s="74"/>
    </row>
    <row r="82" spans="1:8" ht="18" customHeight="1">
      <c r="A82" s="70">
        <v>0.5625</v>
      </c>
      <c r="B82" s="70">
        <v>0.58333333333333337</v>
      </c>
      <c r="C82" s="517"/>
      <c r="D82" s="517"/>
      <c r="E82" s="517"/>
      <c r="F82" s="70">
        <v>0.3125</v>
      </c>
      <c r="G82" s="70">
        <v>0.33333333333333331</v>
      </c>
      <c r="H82" s="74"/>
    </row>
    <row r="83" spans="1:8" ht="18" customHeight="1">
      <c r="A83" s="70">
        <v>0.58333333333333337</v>
      </c>
      <c r="B83" s="70">
        <v>0.60416666666666663</v>
      </c>
      <c r="C83" s="517"/>
      <c r="D83" s="517"/>
      <c r="E83" s="517"/>
      <c r="F83" s="70">
        <v>0.33333333333333331</v>
      </c>
      <c r="G83" s="70">
        <v>0.35416666666666669</v>
      </c>
      <c r="H83" s="74"/>
    </row>
    <row r="84" spans="1:8" ht="18" customHeight="1">
      <c r="A84" s="70">
        <v>0.60416666666666663</v>
      </c>
      <c r="B84" s="70">
        <v>0.625</v>
      </c>
      <c r="C84" s="517"/>
      <c r="D84" s="517"/>
      <c r="E84" s="517"/>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68" t="str">
        <f>C74</f>
        <v>Mini team 1:ATM-5 / ATM-6 / ATM-7</v>
      </c>
      <c r="D93" s="68" t="str">
        <f>D74</f>
        <v>Full team: ATM-1 / ATM-2 / ATM-3 / ATM-4 /ATM-5 / ATM-6 / ATM-7 / ATM-8</v>
      </c>
      <c r="E93" s="68"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1669</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1668</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1196</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49.5" customHeight="1">
      <c r="A4" s="504" t="s">
        <v>929</v>
      </c>
      <c r="B4" s="504"/>
      <c r="C4" s="230" t="str">
        <f>'Schedule4-1P'!C4</f>
        <v>Mini team 1:ATM-5 / ATM-6 / ATM-7</v>
      </c>
      <c r="D4" s="230" t="str">
        <f>'Schedule4-1P'!D4</f>
        <v>Full team: ATM-1 / ATM-2 / ATM-3 / ATM-4 /ATM-5 / ATM-6 / ATM-7 / ATM-8</v>
      </c>
      <c r="E4" s="230" t="str">
        <f>'Schedule4-1P'!E4</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K15" s="138"/>
      <c r="L15" s="134" t="str">
        <f>'P1PA-SS'!B96</f>
        <v>ATM-5</v>
      </c>
      <c r="M15" s="135"/>
      <c r="N15" s="67"/>
      <c r="O15" s="67"/>
      <c r="P15" s="67"/>
    </row>
    <row r="16" spans="1:16">
      <c r="A16" s="511" t="str">
        <f>J4</f>
        <v>Day 3</v>
      </c>
      <c r="B16" s="511"/>
      <c r="C16" s="512">
        <f>I4</f>
        <v>44298</v>
      </c>
      <c r="D16" s="512"/>
      <c r="E16" s="512"/>
      <c r="F16" s="511" t="str">
        <f>A16</f>
        <v>Day 3</v>
      </c>
      <c r="G16" s="511"/>
      <c r="H16" s="65"/>
      <c r="K16" s="138"/>
      <c r="L16" s="134" t="str">
        <f>'P1PA-SS'!B97</f>
        <v>ATM-6</v>
      </c>
      <c r="M16" s="135"/>
      <c r="N16" s="67"/>
      <c r="O16" s="67"/>
      <c r="P16" s="67"/>
    </row>
    <row r="17" spans="1:18" ht="28.8">
      <c r="A17" s="511" t="s">
        <v>929</v>
      </c>
      <c r="B17" s="511"/>
      <c r="C17" s="232" t="str">
        <f>C4</f>
        <v>Mini team 1:ATM-5 / ATM-6 / ATM-7</v>
      </c>
      <c r="D17" s="232" t="str">
        <f>D4</f>
        <v>Full team: ATM-1 / ATM-2 / ATM-3 / ATM-4 /ATM-5 / ATM-6 / ATM-7 / ATM-8</v>
      </c>
      <c r="E17" s="232"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8" t="s">
        <v>984</v>
      </c>
      <c r="D19" s="508"/>
      <c r="E19" s="508"/>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986</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1122</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232" t="str">
        <f>C17</f>
        <v>Mini team 1:ATM-5 / ATM-6 / ATM-7</v>
      </c>
      <c r="D36" s="232" t="str">
        <f>D17</f>
        <v>Full team: ATM-1 / ATM-2 / ATM-3 / ATM-4 /ATM-5 / ATM-6 / ATM-7 / ATM-8</v>
      </c>
      <c r="E36" s="232" t="str">
        <f>E17</f>
        <v>LA team: van Zyl, Pieter and ATMs if applicable</v>
      </c>
      <c r="F36" s="511" t="s">
        <v>930</v>
      </c>
      <c r="G36" s="511"/>
      <c r="H36" s="74"/>
    </row>
    <row r="37" spans="1:16" ht="18" customHeight="1">
      <c r="A37" s="70">
        <v>0.41666666666666669</v>
      </c>
      <c r="B37" s="70">
        <v>0.4375</v>
      </c>
      <c r="C37" s="509" t="s">
        <v>937</v>
      </c>
      <c r="D37" s="509"/>
      <c r="E37" s="231"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987</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1122</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230" t="str">
        <f>C36</f>
        <v>Mini team 1:ATM-5 / ATM-6 / ATM-7</v>
      </c>
      <c r="D55" s="230" t="str">
        <f>D36</f>
        <v>Full team: ATM-1 / ATM-2 / ATM-3 / ATM-4 /ATM-5 / ATM-6 / ATM-7 / ATM-8</v>
      </c>
      <c r="E55" s="230" t="str">
        <f>E36</f>
        <v>LA team: van Zyl, Pieter and ATMs if applicable</v>
      </c>
      <c r="F55" s="504" t="s">
        <v>930</v>
      </c>
      <c r="G55" s="504"/>
      <c r="H55" s="74"/>
    </row>
    <row r="56" spans="1:8" ht="18" customHeight="1">
      <c r="A56" s="70">
        <v>0.41666666666666669</v>
      </c>
      <c r="B56" s="70">
        <v>0.4375</v>
      </c>
      <c r="C56" s="509" t="s">
        <v>939</v>
      </c>
      <c r="D56" s="509"/>
      <c r="E56" s="231"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989</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39" t="s">
        <v>1121</v>
      </c>
      <c r="D71" s="540"/>
      <c r="E71" s="541"/>
      <c r="F71" s="70">
        <v>0.47916666666666669</v>
      </c>
      <c r="G71" s="70">
        <v>0.5</v>
      </c>
      <c r="H71" s="74"/>
    </row>
    <row r="72" spans="1:8" ht="18" customHeight="1">
      <c r="A72" s="70">
        <v>0.75</v>
      </c>
      <c r="B72" s="70">
        <v>0.83333333333333337</v>
      </c>
      <c r="C72" s="542"/>
      <c r="D72" s="543"/>
      <c r="E72" s="544"/>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230" t="str">
        <f>C55</f>
        <v>Mini team 1:ATM-5 / ATM-6 / ATM-7</v>
      </c>
      <c r="D74" s="230" t="str">
        <f>D55</f>
        <v>Full team: ATM-1 / ATM-2 / ATM-3 / ATM-4 /ATM-5 / ATM-6 / ATM-7 / ATM-8</v>
      </c>
      <c r="E74" s="230"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9" t="s">
        <v>1121</v>
      </c>
      <c r="D81" s="540"/>
      <c r="E81" s="541"/>
      <c r="F81" s="70">
        <v>0.29166666666666669</v>
      </c>
      <c r="G81" s="70">
        <v>0.3125</v>
      </c>
      <c r="H81" s="74"/>
    </row>
    <row r="82" spans="1:8" ht="18" customHeight="1">
      <c r="A82" s="70">
        <v>0.5625</v>
      </c>
      <c r="B82" s="70">
        <v>0.58333333333333337</v>
      </c>
      <c r="C82" s="542"/>
      <c r="D82" s="543"/>
      <c r="E82" s="544"/>
      <c r="F82" s="70">
        <v>0.3125</v>
      </c>
      <c r="G82" s="70">
        <v>0.33333333333333331</v>
      </c>
      <c r="H82" s="74"/>
    </row>
    <row r="83" spans="1:8" ht="18" customHeight="1">
      <c r="A83" s="70">
        <v>0.58333333333333337</v>
      </c>
      <c r="B83" s="70">
        <v>0.60416666666666663</v>
      </c>
      <c r="C83" s="533" t="s">
        <v>940</v>
      </c>
      <c r="D83" s="534"/>
      <c r="E83" s="535"/>
      <c r="F83" s="70">
        <v>0.33333333333333331</v>
      </c>
      <c r="G83" s="70">
        <v>0.35416666666666669</v>
      </c>
      <c r="H83" s="74"/>
    </row>
    <row r="84" spans="1:8" ht="18" customHeight="1">
      <c r="A84" s="70">
        <v>0.60416666666666663</v>
      </c>
      <c r="B84" s="70">
        <v>0.625</v>
      </c>
      <c r="C84" s="536"/>
      <c r="D84" s="537"/>
      <c r="E84" s="538"/>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230" t="str">
        <f>C74</f>
        <v>Mini team 1:ATM-5 / ATM-6 / ATM-7</v>
      </c>
      <c r="D93" s="230" t="str">
        <f>D74</f>
        <v>Full team: ATM-1 / ATM-2 / ATM-3 / ATM-4 /ATM-5 / ATM-6 / ATM-7 / ATM-8</v>
      </c>
      <c r="E93" s="230"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1669</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1668</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45" t="s">
        <v>1442</v>
      </c>
      <c r="C3" s="336" t="s">
        <v>1443</v>
      </c>
      <c r="D3" s="337" t="s">
        <v>1444</v>
      </c>
      <c r="E3" s="337" t="s">
        <v>1444</v>
      </c>
      <c r="F3" s="546" t="s">
        <v>1445</v>
      </c>
      <c r="G3" s="546" t="s">
        <v>1446</v>
      </c>
      <c r="H3" s="338">
        <f t="shared" ref="H3:H19" si="1">+A3-0.25</f>
        <v>0.16666666666666702</v>
      </c>
    </row>
    <row r="4" spans="1:8">
      <c r="A4" s="335">
        <v>0.4375</v>
      </c>
      <c r="B4" s="545"/>
      <c r="C4" s="339" t="s">
        <v>1447</v>
      </c>
      <c r="D4" s="547" t="s">
        <v>1448</v>
      </c>
      <c r="E4" s="547" t="s">
        <v>1449</v>
      </c>
      <c r="F4" s="546"/>
      <c r="G4" s="546"/>
      <c r="H4" s="338">
        <f t="shared" si="1"/>
        <v>0.1875</v>
      </c>
    </row>
    <row r="5" spans="1:8">
      <c r="A5" s="335">
        <v>0.45833333333333398</v>
      </c>
      <c r="B5" s="548" t="s">
        <v>1450</v>
      </c>
      <c r="C5" s="549" t="s">
        <v>1451</v>
      </c>
      <c r="D5" s="547"/>
      <c r="E5" s="547"/>
      <c r="F5" s="546"/>
      <c r="G5" s="546"/>
      <c r="H5" s="338">
        <f t="shared" si="1"/>
        <v>0.20833333333333398</v>
      </c>
    </row>
    <row r="6" spans="1:8">
      <c r="A6" s="335">
        <v>0.47916666666666702</v>
      </c>
      <c r="B6" s="548"/>
      <c r="C6" s="549"/>
      <c r="D6" s="547"/>
      <c r="E6" s="547"/>
      <c r="F6" s="546"/>
      <c r="G6" s="336" t="s">
        <v>1447</v>
      </c>
      <c r="H6" s="338">
        <f t="shared" si="1"/>
        <v>0.22916666666666702</v>
      </c>
    </row>
    <row r="7" spans="1:8">
      <c r="A7" s="335">
        <v>0.5</v>
      </c>
      <c r="B7" s="548"/>
      <c r="C7" s="547" t="s">
        <v>1452</v>
      </c>
      <c r="D7" s="547"/>
      <c r="E7" s="547"/>
      <c r="F7" s="550" t="s">
        <v>936</v>
      </c>
      <c r="G7" s="550" t="s">
        <v>936</v>
      </c>
      <c r="H7" s="338">
        <f t="shared" si="1"/>
        <v>0.25</v>
      </c>
    </row>
    <row r="8" spans="1:8" ht="28.8">
      <c r="A8" s="335">
        <v>0.52083333333333404</v>
      </c>
      <c r="B8" s="340" t="s">
        <v>1442</v>
      </c>
      <c r="C8" s="547"/>
      <c r="D8" s="547"/>
      <c r="E8" s="547"/>
      <c r="F8" s="550"/>
      <c r="G8" s="550"/>
      <c r="H8" s="338">
        <f t="shared" si="1"/>
        <v>0.27083333333333404</v>
      </c>
    </row>
    <row r="9" spans="1:8">
      <c r="A9" s="335">
        <v>0.54166666666666696</v>
      </c>
      <c r="B9" s="551" t="s">
        <v>936</v>
      </c>
      <c r="C9" s="550" t="s">
        <v>936</v>
      </c>
      <c r="D9" s="550" t="s">
        <v>936</v>
      </c>
      <c r="E9" s="550" t="s">
        <v>936</v>
      </c>
      <c r="F9" s="336" t="s">
        <v>1447</v>
      </c>
      <c r="G9" s="549" t="s">
        <v>794</v>
      </c>
      <c r="H9" s="338">
        <f t="shared" si="1"/>
        <v>0.29166666666666696</v>
      </c>
    </row>
    <row r="10" spans="1:8">
      <c r="A10" s="335">
        <v>0.5625</v>
      </c>
      <c r="B10" s="551"/>
      <c r="C10" s="550"/>
      <c r="D10" s="550"/>
      <c r="E10" s="550"/>
      <c r="F10" s="549" t="s">
        <v>1453</v>
      </c>
      <c r="G10" s="549"/>
      <c r="H10" s="338">
        <f t="shared" si="1"/>
        <v>0.3125</v>
      </c>
    </row>
    <row r="11" spans="1:8">
      <c r="A11" s="335">
        <v>0.58333333333333304</v>
      </c>
      <c r="B11" s="545" t="s">
        <v>1454</v>
      </c>
      <c r="C11" s="547" t="s">
        <v>1455</v>
      </c>
      <c r="D11" s="547" t="s">
        <v>1456</v>
      </c>
      <c r="E11" s="547" t="s">
        <v>1457</v>
      </c>
      <c r="F11" s="549"/>
      <c r="G11" s="546" t="s">
        <v>1458</v>
      </c>
      <c r="H11" s="338">
        <f t="shared" si="1"/>
        <v>0.33333333333333304</v>
      </c>
    </row>
    <row r="12" spans="1:8">
      <c r="A12" s="335">
        <v>0.60416666666666696</v>
      </c>
      <c r="B12" s="545"/>
      <c r="C12" s="547"/>
      <c r="D12" s="547"/>
      <c r="E12" s="547"/>
      <c r="F12" s="549" t="s">
        <v>1459</v>
      </c>
      <c r="G12" s="546"/>
      <c r="H12" s="338">
        <f t="shared" si="1"/>
        <v>0.35416666666666696</v>
      </c>
    </row>
    <row r="13" spans="1:8">
      <c r="A13" s="335">
        <v>0.625</v>
      </c>
      <c r="B13" s="545"/>
      <c r="C13" s="547"/>
      <c r="D13" s="547" t="s">
        <v>1460</v>
      </c>
      <c r="E13" s="547"/>
      <c r="F13" s="549"/>
      <c r="G13" s="546"/>
      <c r="H13" s="338">
        <f t="shared" si="1"/>
        <v>0.375</v>
      </c>
    </row>
    <row r="14" spans="1:8">
      <c r="A14" s="335">
        <v>0.64583333333333304</v>
      </c>
      <c r="B14" s="545"/>
      <c r="C14" s="547"/>
      <c r="D14" s="547"/>
      <c r="E14" s="547"/>
      <c r="F14" s="546" t="s">
        <v>1446</v>
      </c>
      <c r="G14" s="552" t="s">
        <v>1461</v>
      </c>
      <c r="H14" s="338">
        <f t="shared" si="1"/>
        <v>0.39583333333333304</v>
      </c>
    </row>
    <row r="15" spans="1:8">
      <c r="A15" s="335">
        <v>0.66666666666666696</v>
      </c>
      <c r="B15" s="545"/>
      <c r="C15" s="339" t="s">
        <v>1447</v>
      </c>
      <c r="D15" s="547"/>
      <c r="E15" s="546" t="s">
        <v>1445</v>
      </c>
      <c r="F15" s="546"/>
      <c r="G15" s="552"/>
      <c r="H15" s="338">
        <f t="shared" si="1"/>
        <v>0.41666666666666696</v>
      </c>
    </row>
    <row r="16" spans="1:8">
      <c r="A16" s="335">
        <v>0.6875</v>
      </c>
      <c r="B16" s="545"/>
      <c r="C16" s="547" t="s">
        <v>1462</v>
      </c>
      <c r="D16" s="547" t="s">
        <v>1463</v>
      </c>
      <c r="E16" s="546"/>
      <c r="F16" s="546"/>
      <c r="G16" s="552"/>
      <c r="H16" s="338">
        <f t="shared" si="1"/>
        <v>0.4375</v>
      </c>
    </row>
    <row r="17" spans="1:8">
      <c r="A17" s="335">
        <v>0.70833333333333304</v>
      </c>
      <c r="B17" s="341" t="s">
        <v>1464</v>
      </c>
      <c r="C17" s="547"/>
      <c r="D17" s="547"/>
      <c r="E17" s="546"/>
      <c r="F17" s="546"/>
      <c r="G17" s="552"/>
      <c r="H17" s="338">
        <f t="shared" si="1"/>
        <v>0.45833333333333304</v>
      </c>
    </row>
    <row r="18" spans="1:8">
      <c r="A18" s="335">
        <v>0.72916666666666663</v>
      </c>
      <c r="B18" s="342" t="s">
        <v>1444</v>
      </c>
      <c r="C18" s="337" t="s">
        <v>1444</v>
      </c>
      <c r="D18" s="337" t="s">
        <v>1444</v>
      </c>
      <c r="E18" s="337" t="s">
        <v>1444</v>
      </c>
      <c r="F18" s="337" t="s">
        <v>1444</v>
      </c>
      <c r="G18" s="552"/>
      <c r="H18" s="338">
        <f t="shared" si="1"/>
        <v>0.47916666666666663</v>
      </c>
    </row>
    <row r="19" spans="1:8" ht="15" thickBot="1">
      <c r="A19" s="343">
        <v>0.75</v>
      </c>
      <c r="B19" s="553" t="s">
        <v>938</v>
      </c>
      <c r="C19" s="554"/>
      <c r="D19" s="554"/>
      <c r="E19" s="554"/>
      <c r="F19" s="554"/>
      <c r="G19" s="554"/>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45" t="s">
        <v>1442</v>
      </c>
      <c r="C23" s="336" t="s">
        <v>1443</v>
      </c>
      <c r="D23" s="337" t="s">
        <v>1444</v>
      </c>
      <c r="E23" s="337" t="s">
        <v>1444</v>
      </c>
      <c r="F23" s="555" t="s">
        <v>1445</v>
      </c>
      <c r="G23" s="555" t="s">
        <v>1446</v>
      </c>
      <c r="H23" s="338">
        <f t="shared" ref="H23:H39" si="3">+A23-0.25</f>
        <v>0.16666666666666702</v>
      </c>
    </row>
    <row r="24" spans="1:8">
      <c r="A24" s="335">
        <v>0.4375</v>
      </c>
      <c r="B24" s="545"/>
      <c r="C24" s="339" t="s">
        <v>1447</v>
      </c>
      <c r="D24" s="547" t="s">
        <v>1448</v>
      </c>
      <c r="E24" s="547" t="s">
        <v>1449</v>
      </c>
      <c r="F24" s="556"/>
      <c r="G24" s="556"/>
      <c r="H24" s="338">
        <f t="shared" si="3"/>
        <v>0.1875</v>
      </c>
    </row>
    <row r="25" spans="1:8">
      <c r="A25" s="335">
        <v>0.45833333333333398</v>
      </c>
      <c r="B25" s="548" t="s">
        <v>1450</v>
      </c>
      <c r="C25" s="549" t="s">
        <v>1451</v>
      </c>
      <c r="D25" s="547"/>
      <c r="E25" s="547"/>
      <c r="F25" s="556"/>
      <c r="G25" s="556"/>
      <c r="H25" s="338">
        <f t="shared" si="3"/>
        <v>0.20833333333333398</v>
      </c>
    </row>
    <row r="26" spans="1:8">
      <c r="A26" s="335">
        <v>0.47916666666666702</v>
      </c>
      <c r="B26" s="548"/>
      <c r="C26" s="549"/>
      <c r="D26" s="547"/>
      <c r="E26" s="547"/>
      <c r="F26" s="556"/>
      <c r="G26" s="556"/>
      <c r="H26" s="338">
        <f t="shared" si="3"/>
        <v>0.22916666666666702</v>
      </c>
    </row>
    <row r="27" spans="1:8">
      <c r="A27" s="335">
        <v>0.5</v>
      </c>
      <c r="B27" s="548"/>
      <c r="C27" s="547" t="s">
        <v>1452</v>
      </c>
      <c r="D27" s="547"/>
      <c r="E27" s="547"/>
      <c r="F27" s="556"/>
      <c r="G27" s="556"/>
      <c r="H27" s="338">
        <f t="shared" si="3"/>
        <v>0.25</v>
      </c>
    </row>
    <row r="28" spans="1:8" ht="28.8">
      <c r="A28" s="335">
        <v>0.52083333333333404</v>
      </c>
      <c r="B28" s="340" t="s">
        <v>1442</v>
      </c>
      <c r="C28" s="547"/>
      <c r="D28" s="547"/>
      <c r="E28" s="547"/>
      <c r="F28" s="557"/>
      <c r="G28" s="557"/>
      <c r="H28" s="338">
        <f t="shared" si="3"/>
        <v>0.27083333333333404</v>
      </c>
    </row>
    <row r="29" spans="1:8">
      <c r="A29" s="335">
        <v>0.54166666666666696</v>
      </c>
      <c r="B29" s="551" t="s">
        <v>936</v>
      </c>
      <c r="C29" s="550" t="s">
        <v>936</v>
      </c>
      <c r="D29" s="550" t="s">
        <v>936</v>
      </c>
      <c r="E29" s="550" t="s">
        <v>936</v>
      </c>
      <c r="F29" s="550" t="s">
        <v>936</v>
      </c>
      <c r="G29" s="550" t="s">
        <v>936</v>
      </c>
      <c r="H29" s="338">
        <f t="shared" si="3"/>
        <v>0.29166666666666696</v>
      </c>
    </row>
    <row r="30" spans="1:8">
      <c r="A30" s="335">
        <v>0.5625</v>
      </c>
      <c r="B30" s="551"/>
      <c r="C30" s="550"/>
      <c r="D30" s="550"/>
      <c r="E30" s="550"/>
      <c r="F30" s="550"/>
      <c r="G30" s="550"/>
      <c r="H30" s="338">
        <f t="shared" si="3"/>
        <v>0.3125</v>
      </c>
    </row>
    <row r="31" spans="1:8">
      <c r="A31" s="335">
        <v>0.58333333333333304</v>
      </c>
      <c r="B31" s="555" t="s">
        <v>1454</v>
      </c>
      <c r="C31" s="547" t="s">
        <v>1455</v>
      </c>
      <c r="D31" s="547" t="s">
        <v>1456</v>
      </c>
      <c r="E31" s="547" t="s">
        <v>1457</v>
      </c>
      <c r="F31" s="337" t="s">
        <v>1447</v>
      </c>
      <c r="G31" s="337" t="s">
        <v>1447</v>
      </c>
      <c r="H31" s="338">
        <f t="shared" si="3"/>
        <v>0.33333333333333304</v>
      </c>
    </row>
    <row r="32" spans="1:8">
      <c r="A32" s="335">
        <v>0.60416666666666696</v>
      </c>
      <c r="B32" s="556"/>
      <c r="C32" s="547"/>
      <c r="D32" s="547"/>
      <c r="E32" s="547"/>
      <c r="F32" s="549" t="s">
        <v>1453</v>
      </c>
      <c r="G32" s="549" t="s">
        <v>1667</v>
      </c>
      <c r="H32" s="338">
        <f t="shared" si="3"/>
        <v>0.35416666666666696</v>
      </c>
    </row>
    <row r="33" spans="1:8">
      <c r="A33" s="335">
        <v>0.625</v>
      </c>
      <c r="B33" s="556"/>
      <c r="C33" s="547"/>
      <c r="D33" s="547" t="s">
        <v>1460</v>
      </c>
      <c r="E33" s="547"/>
      <c r="F33" s="549"/>
      <c r="G33" s="549"/>
      <c r="H33" s="338">
        <f t="shared" si="3"/>
        <v>0.375</v>
      </c>
    </row>
    <row r="34" spans="1:8">
      <c r="A34" s="335">
        <v>0.64583333333333304</v>
      </c>
      <c r="B34" s="556"/>
      <c r="C34" s="547"/>
      <c r="D34" s="547"/>
      <c r="E34" s="547"/>
      <c r="F34" s="549" t="s">
        <v>1459</v>
      </c>
      <c r="G34" s="558" t="s">
        <v>1466</v>
      </c>
      <c r="H34" s="338">
        <f t="shared" si="3"/>
        <v>0.39583333333333304</v>
      </c>
    </row>
    <row r="35" spans="1:8">
      <c r="A35" s="335">
        <v>0.66666666666666696</v>
      </c>
      <c r="B35" s="557"/>
      <c r="C35" s="339" t="s">
        <v>1447</v>
      </c>
      <c r="D35" s="547"/>
      <c r="E35" s="546" t="s">
        <v>1445</v>
      </c>
      <c r="F35" s="549"/>
      <c r="G35" s="559"/>
      <c r="H35" s="338">
        <f t="shared" si="3"/>
        <v>0.41666666666666696</v>
      </c>
    </row>
    <row r="36" spans="1:8">
      <c r="A36" s="335">
        <v>0.6875</v>
      </c>
      <c r="B36" s="345" t="s">
        <v>1467</v>
      </c>
      <c r="C36" s="547" t="s">
        <v>1462</v>
      </c>
      <c r="D36" s="547" t="s">
        <v>1463</v>
      </c>
      <c r="E36" s="546"/>
      <c r="F36" s="555" t="s">
        <v>1446</v>
      </c>
      <c r="G36" s="558" t="s">
        <v>1468</v>
      </c>
      <c r="H36" s="338">
        <f t="shared" si="3"/>
        <v>0.4375</v>
      </c>
    </row>
    <row r="37" spans="1:8">
      <c r="A37" s="335">
        <v>0.70833333333333304</v>
      </c>
      <c r="B37" s="341" t="s">
        <v>1464</v>
      </c>
      <c r="C37" s="547"/>
      <c r="D37" s="547"/>
      <c r="E37" s="546"/>
      <c r="F37" s="557"/>
      <c r="G37" s="559"/>
      <c r="H37" s="338">
        <f t="shared" si="3"/>
        <v>0.45833333333333304</v>
      </c>
    </row>
    <row r="38" spans="1:8">
      <c r="A38" s="335">
        <v>0.72916666666666663</v>
      </c>
      <c r="B38" s="342" t="s">
        <v>1444</v>
      </c>
      <c r="C38" s="337" t="s">
        <v>1444</v>
      </c>
      <c r="D38" s="337" t="s">
        <v>1444</v>
      </c>
      <c r="E38" s="337" t="s">
        <v>1444</v>
      </c>
      <c r="F38" s="337" t="s">
        <v>1444</v>
      </c>
      <c r="G38" s="560"/>
      <c r="H38" s="338">
        <f t="shared" si="3"/>
        <v>0.47916666666666663</v>
      </c>
    </row>
    <row r="39" spans="1:8" ht="15" thickBot="1">
      <c r="A39" s="343">
        <v>0.75</v>
      </c>
      <c r="B39" s="553" t="s">
        <v>938</v>
      </c>
      <c r="C39" s="554"/>
      <c r="D39" s="554"/>
      <c r="E39" s="554"/>
      <c r="F39" s="554"/>
      <c r="G39" s="554"/>
      <c r="H39" s="344">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1638</v>
      </c>
    </row>
    <row r="25" spans="1:24">
      <c r="C25" s="418" t="s">
        <v>1639</v>
      </c>
    </row>
    <row r="26" spans="1:24">
      <c r="C26" s="148" t="s">
        <v>1640</v>
      </c>
    </row>
    <row r="27" spans="1:24">
      <c r="C27" s="283" t="s">
        <v>1641</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4" t="s">
        <v>1080</v>
      </c>
      <c r="C2" s="574" t="s">
        <v>1081</v>
      </c>
      <c r="D2" s="568" t="s">
        <v>1082</v>
      </c>
      <c r="E2" s="570"/>
      <c r="F2" s="571" t="s">
        <v>1083</v>
      </c>
      <c r="G2" s="573"/>
      <c r="H2" s="568" t="s">
        <v>1084</v>
      </c>
      <c r="I2" s="569"/>
      <c r="J2" s="569"/>
      <c r="K2" s="570"/>
      <c r="L2" s="571" t="s">
        <v>1085</v>
      </c>
      <c r="M2" s="572"/>
      <c r="N2" s="573"/>
      <c r="O2" s="209" t="s">
        <v>1086</v>
      </c>
      <c r="P2" s="210" t="s">
        <v>1087</v>
      </c>
      <c r="Q2" s="568" t="s">
        <v>1088</v>
      </c>
      <c r="R2" s="569"/>
      <c r="S2" s="570"/>
      <c r="T2" s="571" t="s">
        <v>1089</v>
      </c>
      <c r="U2" s="572"/>
      <c r="V2" s="573"/>
      <c r="W2" s="206" t="s">
        <v>1090</v>
      </c>
    </row>
    <row r="3" spans="2:28" ht="15.6">
      <c r="B3" s="575"/>
      <c r="C3" s="575"/>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5" t="s">
        <v>1091</v>
      </c>
      <c r="C5" s="213"/>
      <c r="D5" s="287"/>
      <c r="E5" s="287"/>
      <c r="F5" s="287"/>
      <c r="G5" s="287"/>
      <c r="H5" s="287"/>
      <c r="I5" s="287"/>
      <c r="J5" s="287"/>
      <c r="K5" s="287"/>
      <c r="L5" s="287"/>
      <c r="M5" s="287"/>
      <c r="N5" s="287"/>
      <c r="O5" s="287"/>
      <c r="P5" s="287"/>
      <c r="Q5" s="287"/>
      <c r="R5" s="287"/>
      <c r="S5" s="287"/>
      <c r="T5" s="287"/>
      <c r="U5" s="287"/>
      <c r="V5" s="287"/>
      <c r="W5" s="196" t="s">
        <v>1096</v>
      </c>
      <c r="Z5" s="450" t="s">
        <v>1709</v>
      </c>
    </row>
    <row r="6" spans="2:28" ht="15" customHeight="1">
      <c r="B6" s="566"/>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6"/>
      <c r="C7" s="285">
        <v>1.2</v>
      </c>
      <c r="D7" s="288"/>
      <c r="E7" s="288"/>
      <c r="F7" s="288"/>
      <c r="G7" s="288"/>
      <c r="H7" s="288"/>
      <c r="I7" s="288"/>
      <c r="J7" s="288"/>
      <c r="K7" s="288"/>
      <c r="L7" s="288"/>
      <c r="M7" s="288"/>
      <c r="N7" s="288"/>
      <c r="O7" s="288"/>
      <c r="P7" s="288"/>
      <c r="Q7" s="288"/>
      <c r="R7" s="288"/>
      <c r="S7" s="288"/>
      <c r="T7" s="288"/>
      <c r="U7" s="288"/>
      <c r="V7" s="288"/>
      <c r="W7" s="196" t="s">
        <v>912</v>
      </c>
      <c r="Z7" s="195" t="s">
        <v>1707</v>
      </c>
      <c r="AB7" s="449" t="s">
        <v>1095</v>
      </c>
    </row>
    <row r="8" spans="2:28" ht="15" customHeight="1">
      <c r="B8" s="567"/>
      <c r="C8" s="285">
        <v>1.3</v>
      </c>
      <c r="D8" s="288"/>
      <c r="E8" s="288"/>
      <c r="F8" s="288"/>
      <c r="G8" s="288"/>
      <c r="H8" s="288"/>
      <c r="I8" s="288"/>
      <c r="J8" s="288"/>
      <c r="K8" s="288"/>
      <c r="L8" s="288"/>
      <c r="M8" s="288"/>
      <c r="N8" s="288"/>
      <c r="O8" s="288"/>
      <c r="P8" s="288"/>
      <c r="Q8" s="288"/>
      <c r="R8" s="288"/>
      <c r="S8" s="288"/>
      <c r="T8" s="288"/>
      <c r="U8" s="288"/>
      <c r="V8" s="288"/>
      <c r="W8" s="196" t="s">
        <v>1093</v>
      </c>
      <c r="Z8" s="195" t="s">
        <v>1708</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5"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1715</v>
      </c>
    </row>
    <row r="11" spans="2:28" ht="15" customHeight="1">
      <c r="B11" s="566"/>
      <c r="C11" s="285">
        <v>2.1</v>
      </c>
      <c r="D11" s="213"/>
      <c r="E11" s="213"/>
      <c r="F11" s="213"/>
      <c r="G11" s="213"/>
      <c r="H11" s="213"/>
      <c r="I11" s="424" t="s">
        <v>1646</v>
      </c>
      <c r="J11" s="213"/>
      <c r="K11" s="213"/>
      <c r="L11" s="213"/>
      <c r="M11" s="213"/>
      <c r="N11" s="213"/>
      <c r="O11" s="213"/>
      <c r="P11" s="213"/>
      <c r="Q11" s="213"/>
      <c r="R11" s="213"/>
      <c r="S11" s="213"/>
      <c r="T11" s="213"/>
      <c r="U11" s="213"/>
      <c r="V11" s="213"/>
      <c r="W11" s="196"/>
    </row>
    <row r="12" spans="2:28" ht="15" customHeight="1">
      <c r="B12" s="566"/>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1710</v>
      </c>
      <c r="AB12" s="448" t="s">
        <v>1092</v>
      </c>
    </row>
    <row r="13" spans="2:28" ht="15" customHeight="1">
      <c r="B13" s="566"/>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1711</v>
      </c>
      <c r="AB13" s="448" t="s">
        <v>1093</v>
      </c>
    </row>
    <row r="14" spans="2:28" ht="15" customHeight="1">
      <c r="B14" s="566"/>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1712</v>
      </c>
      <c r="AB14" s="448" t="s">
        <v>912</v>
      </c>
    </row>
    <row r="15" spans="2:28" ht="15" customHeight="1">
      <c r="B15" s="566"/>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1713</v>
      </c>
      <c r="AB15" s="448" t="s">
        <v>1094</v>
      </c>
    </row>
    <row r="16" spans="2:28" ht="15" customHeight="1">
      <c r="B16" s="566"/>
      <c r="C16" s="285">
        <v>2.6</v>
      </c>
      <c r="D16" s="213"/>
      <c r="E16" s="213"/>
      <c r="F16" s="213"/>
      <c r="G16" s="213"/>
      <c r="H16" s="213"/>
      <c r="I16" s="213"/>
      <c r="J16" s="213"/>
      <c r="K16" s="213"/>
      <c r="L16" s="213"/>
      <c r="M16" s="213"/>
      <c r="N16" s="213"/>
      <c r="O16" s="213"/>
      <c r="P16" s="213"/>
      <c r="Q16" s="213"/>
      <c r="R16" s="213"/>
      <c r="S16" s="213"/>
      <c r="T16" s="213"/>
      <c r="U16" s="213"/>
      <c r="V16" s="213"/>
      <c r="W16" s="196"/>
      <c r="Z16" s="195" t="s">
        <v>1714</v>
      </c>
      <c r="AB16" s="448" t="s">
        <v>1098</v>
      </c>
    </row>
    <row r="17" spans="2:23" ht="15" customHeight="1">
      <c r="B17" s="566"/>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7"/>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5"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6"/>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6"/>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6"/>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6"/>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6"/>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6"/>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7"/>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5"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6"/>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6"/>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6"/>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6"/>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7"/>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61"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61"/>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61"/>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61"/>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64" t="s">
        <v>1080</v>
      </c>
      <c r="C49" s="564" t="s">
        <v>1081</v>
      </c>
      <c r="D49" s="562" t="s">
        <v>1082</v>
      </c>
      <c r="E49" s="562"/>
      <c r="F49" s="563" t="s">
        <v>1083</v>
      </c>
      <c r="G49" s="563"/>
      <c r="H49" s="562" t="s">
        <v>1084</v>
      </c>
      <c r="I49" s="562"/>
      <c r="J49" s="562"/>
      <c r="K49" s="562"/>
      <c r="L49" s="563" t="s">
        <v>1085</v>
      </c>
      <c r="M49" s="563"/>
      <c r="N49" s="563"/>
      <c r="O49" s="209" t="s">
        <v>1086</v>
      </c>
      <c r="P49" s="210" t="s">
        <v>1087</v>
      </c>
      <c r="Q49" s="562" t="s">
        <v>1088</v>
      </c>
      <c r="R49" s="562"/>
      <c r="S49" s="562"/>
      <c r="T49" s="563" t="s">
        <v>1089</v>
      </c>
      <c r="U49" s="563"/>
      <c r="V49" s="563"/>
    </row>
    <row r="50" spans="2:28" ht="93.6">
      <c r="B50" s="564"/>
      <c r="C50" s="564"/>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5"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6"/>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6"/>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7"/>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61"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61"/>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61"/>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61"/>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61"/>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61"/>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61"/>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61"/>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61"/>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61"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61"/>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61"/>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61"/>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61"/>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61"/>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61"/>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61"/>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61"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61"/>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61"/>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61"/>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61"/>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61"/>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61"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61"/>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61"/>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61"/>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1674</v>
      </c>
      <c r="C27" s="173" t="s">
        <v>1038</v>
      </c>
      <c r="D27" s="174">
        <f>'P1PA-SS'!B70</f>
        <v>44322</v>
      </c>
      <c r="E27" s="160"/>
      <c r="G27" s="175" t="str">
        <f>G24</f>
        <v>16 Apr 2024</v>
      </c>
      <c r="H27" s="169" t="s">
        <v>1039</v>
      </c>
    </row>
    <row r="28" spans="1:9" s="8" customFormat="1" ht="15.6">
      <c r="A28" s="158"/>
      <c r="B28" s="173" t="s">
        <v>1040</v>
      </c>
      <c r="C28" s="173" t="s">
        <v>1041</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3" t="s">
        <v>1673</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1675</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1664</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6" t="str">
        <f>'P1PA-SS'!B76</f>
        <v>CMMI Development V2.0 (CMMI-DEV) without SAM</v>
      </c>
      <c r="B2" s="587"/>
      <c r="C2" s="587"/>
      <c r="D2" s="586"/>
      <c r="E2" s="587"/>
      <c r="F2" s="587"/>
      <c r="G2" s="587"/>
      <c r="H2" s="587"/>
      <c r="I2" s="587"/>
      <c r="L2" s="359" t="s">
        <v>1293</v>
      </c>
      <c r="M2" s="359">
        <f>VALUE(RIGHT(Planning!B10,1))</f>
        <v>5</v>
      </c>
      <c r="N2" s="347" t="s">
        <v>1294</v>
      </c>
    </row>
    <row r="3" spans="1:16" s="346" customFormat="1">
      <c r="A3" s="588" t="str">
        <f>'P1PA-SS'!B75</f>
        <v>Maturity Level 5</v>
      </c>
      <c r="B3" s="589"/>
      <c r="C3" s="589"/>
      <c r="D3" s="588"/>
      <c r="E3" s="589"/>
      <c r="F3" s="589"/>
      <c r="G3" s="589"/>
      <c r="H3" s="589"/>
      <c r="I3" s="589"/>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0"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0"/>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0"/>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0"/>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91"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91"/>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92"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92"/>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92"/>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3"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3"/>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3"/>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84" t="s">
        <v>1480</v>
      </c>
      <c r="B20" s="375" t="s">
        <v>1665</v>
      </c>
      <c r="C20" s="358">
        <f t="shared" si="0"/>
        <v>4</v>
      </c>
      <c r="D20" s="379" t="s">
        <v>1665</v>
      </c>
      <c r="E20" s="380" t="str">
        <f t="shared" si="2"/>
        <v>x</v>
      </c>
      <c r="F20" s="380" t="str">
        <f t="shared" si="1"/>
        <v>x</v>
      </c>
      <c r="G20" s="380" t="str">
        <f t="shared" si="1"/>
        <v>x</v>
      </c>
      <c r="H20" s="380" t="str">
        <f t="shared" si="1"/>
        <v>x</v>
      </c>
      <c r="I20" s="380" t="str">
        <f t="shared" si="1"/>
        <v/>
      </c>
      <c r="M20" s="357">
        <v>4</v>
      </c>
    </row>
    <row r="21" spans="1:13" ht="20.7" customHeight="1">
      <c r="A21" s="584"/>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85"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85"/>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85"/>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f>'Project&amp;Support'!AB3</f>
        <v>10</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f>'Project&amp;Support'!AB4</f>
        <v>11</v>
      </c>
      <c r="D3" s="227" t="str">
        <f>'Project&amp;Support'!C4</f>
        <v>Raptor project description</v>
      </c>
      <c r="E3" s="597"/>
    </row>
    <row r="4" spans="1:5" ht="63" customHeight="1">
      <c r="A4" s="597"/>
      <c r="B4" s="227" t="str">
        <f>'Project&amp;Support'!B5</f>
        <v>P3-Starship</v>
      </c>
      <c r="C4" s="228">
        <f>'Project&amp;Support'!AB5</f>
        <v>9</v>
      </c>
      <c r="D4" s="227" t="str">
        <f>'Project&amp;Support'!C5</f>
        <v>Startship project description</v>
      </c>
      <c r="E4" s="597"/>
    </row>
    <row r="5" spans="1:5" ht="63" customHeight="1">
      <c r="A5" s="597"/>
      <c r="B5" s="227" t="str">
        <f>'Project&amp;Support'!B6</f>
        <v>P4-SupperHeavy</v>
      </c>
      <c r="C5" s="228">
        <f>'Project&amp;Support'!AB6</f>
        <v>7</v>
      </c>
      <c r="D5" s="227" t="str">
        <f>'Project&amp;Support'!C6</f>
        <v>Super Heavy description</v>
      </c>
      <c r="E5" s="597"/>
    </row>
    <row r="6" spans="1:5" ht="42" hidden="1">
      <c r="A6" s="597"/>
      <c r="B6" s="227" t="s">
        <v>1666</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f>'Project&amp;Support'!AB8</f>
        <v>1</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f>'Project&amp;Support'!AB8</f>
        <v>1</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1647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2022-05-13T18:37:46Z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