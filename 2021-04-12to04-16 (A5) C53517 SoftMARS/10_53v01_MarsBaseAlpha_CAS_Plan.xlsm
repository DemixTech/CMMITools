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8_{29EC7D19-B697-4BC6-879D-73652439B6F9}" xr6:coauthVersionLast="47" xr6:coauthVersionMax="47" xr10:uidLastSave="{00000000-0000-0000-0000-000000000000}"/>
  <bookViews>
    <workbookView xWindow="-23148" yWindow="348" windowWidth="23256" windowHeight="12720" firstSheet="38" activeTab="3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47" l="1"/>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<sst xmlns="http://schemas.openxmlformats.org/spreadsheetml/2006/main" count="4246" uniqueCount="1678">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</sst>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0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30">
      <c r="A11" s="44">
        <v>24</v>
      </c>
      <c r="B11" s="45">
        <v>44153</v>
      </c>
      <c r="C11" s="44" t="s">
        <v>844</v>
      </c>
      <c r="D11" s="56" t="s">
        <v>1052</v>
      </c>
      <c r="G11" s="150"/>
      <c r="H11" s="150"/>
      <c r="I11" s="150"/>
      <c r="J11" s="150"/>
      <c r="K11" s="150"/>
      <c r="L11" s="150"/>
      <c r="M11" s="150"/>
      <c r="N11" s="150"/>
      <c r="O11" s="150"/>
      <c r="P11" s="8"/>
      <c r="Q11" s="8"/>
      <c r="R11" s="8"/>
      <c r="S11" s="8"/>
    </row>
    <row r="12" spans="1:32" ht="30">
      <c r="A12" s="44">
        <v>25</v>
      </c>
      <c r="B12" s="45">
        <v>44153</v>
      </c>
      <c r="C12" s="44" t="s">
        <v>844</v>
      </c>
      <c r="D12" s="56" t="s">
        <v>1078</v>
      </c>
      <c r="G12" s="150"/>
      <c r="H12" s="150"/>
      <c r="I12" s="150"/>
      <c r="J12" s="150"/>
      <c r="K12" s="150"/>
      <c r="L12" s="150"/>
      <c r="M12" s="150"/>
      <c r="N12" s="150"/>
      <c r="O12" s="150"/>
      <c r="P12" s="8"/>
      <c r="Q12" s="8"/>
      <c r="R12" s="8"/>
      <c r="S12" s="8"/>
    </row>
    <row r="13" spans="1:32" ht="45">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30">
      <c r="A16" s="44">
        <v>43</v>
      </c>
      <c r="B16" s="45">
        <v>44231</v>
      </c>
      <c r="C16" s="44" t="s">
        <v>1345</v>
      </c>
      <c r="D16" s="56" t="s">
        <v>1660</v>
      </c>
      <c r="G16" s="150"/>
      <c r="H16" s="150"/>
      <c r="I16" s="150"/>
      <c r="J16" s="150"/>
      <c r="K16" s="150"/>
      <c r="L16" s="150"/>
      <c r="M16" s="150"/>
      <c r="N16" s="150"/>
      <c r="O16" s="150"/>
      <c r="P16" s="8"/>
      <c r="Q16" s="8"/>
      <c r="R16" s="8"/>
      <c r="S16" s="8"/>
    </row>
    <row r="17" spans="1:19" ht="30">
      <c r="A17" s="44">
        <v>50</v>
      </c>
      <c r="B17" s="45">
        <v>44314</v>
      </c>
      <c r="C17" s="44" t="s">
        <v>844</v>
      </c>
      <c r="D17" s="56" t="s">
        <v>1659</v>
      </c>
      <c r="G17" s="150"/>
      <c r="H17" s="150"/>
      <c r="I17" s="150"/>
      <c r="J17" s="150"/>
      <c r="K17" s="150"/>
      <c r="L17" s="150"/>
      <c r="M17" s="150"/>
      <c r="N17" s="150"/>
      <c r="O17" s="150"/>
      <c r="P17" s="8"/>
      <c r="Q17" s="8"/>
      <c r="R17" s="8"/>
      <c r="S17" s="8"/>
    </row>
    <row r="18" spans="1:19" ht="30">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30">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1259</v>
      </c>
      <c r="B1" s="294"/>
    </row>
    <row r="2" spans="1:2" ht="45">
      <c r="A2" s="117" t="s">
        <v>1260</v>
      </c>
      <c r="B2" s="117" t="s">
        <v>1261</v>
      </c>
    </row>
    <row r="3" spans="1:2">
      <c r="B3" s="295" t="s">
        <v>1262</v>
      </c>
    </row>
    <row r="4" spans="1:2">
      <c r="B4" s="296" t="s">
        <v>1263</v>
      </c>
    </row>
    <row r="5" spans="1:2" ht="30">
      <c r="B5" s="297" t="s">
        <v>1264</v>
      </c>
    </row>
    <row r="7" spans="1:2" ht="75">
      <c r="A7" s="117" t="s">
        <v>1265</v>
      </c>
      <c r="B7" s="117" t="s">
        <v>1266</v>
      </c>
    </row>
    <row r="9" spans="1:2" ht="30">
      <c r="A9" s="117" t="s">
        <v>1267</v>
      </c>
      <c r="B9" s="117" t="s">
        <v>1268</v>
      </c>
    </row>
    <row r="11" spans="1:2">
      <c r="A11" s="294" t="s">
        <v>1269</v>
      </c>
      <c r="B11" s="294"/>
    </row>
    <row r="12" spans="1:2" ht="30">
      <c r="A12" s="117" t="s">
        <v>1233</v>
      </c>
      <c r="B12" s="117" t="s">
        <v>1270</v>
      </c>
    </row>
    <row r="13" spans="1:2" ht="45">
      <c r="A13" s="117" t="s">
        <v>1204</v>
      </c>
      <c r="B13" s="117" t="s">
        <v>1271</v>
      </c>
    </row>
    <row r="14" spans="1:2">
      <c r="A14" s="117" t="s">
        <v>1272</v>
      </c>
      <c r="B14" s="117" t="s">
        <v>1273</v>
      </c>
    </row>
    <row r="15" spans="1:2" ht="75">
      <c r="A15" s="117" t="s">
        <v>948</v>
      </c>
      <c r="B15" s="117" t="s">
        <v>1274</v>
      </c>
    </row>
    <row r="16" spans="1:2" ht="45">
      <c r="A16" s="125" t="s">
        <v>949</v>
      </c>
      <c r="B16" s="117" t="s">
        <v>1275</v>
      </c>
    </row>
    <row r="17" spans="1:2">
      <c r="A17" s="125" t="s">
        <v>961</v>
      </c>
      <c r="B17" s="117" t="s">
        <v>1276</v>
      </c>
    </row>
    <row r="18" spans="1:2" ht="30">
      <c r="A18" s="125" t="s">
        <v>950</v>
      </c>
      <c r="B18" s="117" t="s">
        <v>1277</v>
      </c>
    </row>
    <row r="19" spans="1:2" ht="4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958</v>
      </c>
      <c r="AE1" s="77">
        <v>48</v>
      </c>
    </row>
    <row r="2" spans="1:32" s="104" customFormat="1" ht="30">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1">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75">
      <c r="A18" s="51" t="s">
        <v>960</v>
      </c>
      <c r="B18" s="51"/>
      <c r="C18" s="49"/>
    </row>
    <row r="19" spans="1:3" s="50" customFormat="1" ht="15.75">
      <c r="A19" s="50" t="s">
        <v>874</v>
      </c>
      <c r="B19" s="413" t="s">
        <v>1347</v>
      </c>
      <c r="C19" s="49"/>
    </row>
    <row r="20" spans="1:3" s="50" customFormat="1" ht="15.75">
      <c r="A20" s="50" t="s">
        <v>962</v>
      </c>
      <c r="B20" s="94">
        <f>B21-1</f>
        <v>44267</v>
      </c>
      <c r="C20" s="49"/>
    </row>
    <row r="21" spans="1:3" s="50" customFormat="1" ht="15.75">
      <c r="A21" s="50" t="s">
        <v>1005</v>
      </c>
      <c r="B21" s="146">
        <f>B24-14</f>
        <v>44268</v>
      </c>
      <c r="C21" s="49" t="s">
        <v>1002</v>
      </c>
    </row>
    <row r="22" spans="1:3" s="50" customFormat="1" ht="15.75">
      <c r="B22" s="94"/>
      <c r="C22" s="49"/>
    </row>
    <row r="23" spans="1:3" s="50" customFormat="1" ht="15.75">
      <c r="A23" s="50" t="s">
        <v>963</v>
      </c>
      <c r="B23" s="94">
        <f>B24-1</f>
        <v>44281</v>
      </c>
      <c r="C23" s="49"/>
    </row>
    <row r="24" spans="1:3" s="50" customFormat="1" ht="15.75">
      <c r="A24" s="50" t="s">
        <v>1006</v>
      </c>
      <c r="B24" s="146">
        <f>B27-14</f>
        <v>44282</v>
      </c>
      <c r="C24" s="49" t="s">
        <v>1002</v>
      </c>
    </row>
    <row r="25" spans="1:3" s="50" customFormat="1" ht="15.75">
      <c r="B25" s="94"/>
      <c r="C25" s="49"/>
    </row>
    <row r="26" spans="1:3" s="50" customFormat="1" ht="15.75">
      <c r="A26" s="50" t="s">
        <v>875</v>
      </c>
      <c r="B26" s="94">
        <f>B27-2</f>
        <v>44294</v>
      </c>
      <c r="C26" s="49"/>
    </row>
    <row r="27" spans="1:3" s="50" customFormat="1" ht="15.75">
      <c r="A27" s="50" t="s">
        <v>876</v>
      </c>
      <c r="B27" s="146">
        <f>B30-B29</f>
        <v>44296</v>
      </c>
      <c r="C27" s="50" t="s">
        <v>1002</v>
      </c>
    </row>
    <row r="28" spans="1:3" s="50" customFormat="1" ht="15.75">
      <c r="A28" s="50" t="s">
        <v>877</v>
      </c>
      <c r="B28" s="50">
        <v>0</v>
      </c>
      <c r="C28" s="49"/>
    </row>
    <row r="29" spans="1:3" s="50" customFormat="1" ht="15.75">
      <c r="A29" s="50" t="s">
        <v>1010</v>
      </c>
      <c r="B29" s="50">
        <v>2</v>
      </c>
      <c r="C29" s="49" t="s">
        <v>984</v>
      </c>
    </row>
    <row r="30" spans="1:3" s="50" customFormat="1" ht="15.75">
      <c r="A30" s="50" t="s">
        <v>878</v>
      </c>
      <c r="B30" s="93">
        <f>'Agreement 3'!B25</f>
        <v>44298</v>
      </c>
      <c r="C30" s="127"/>
    </row>
    <row r="31" spans="1:3" s="50" customFormat="1" ht="15.75">
      <c r="A31" s="50" t="s">
        <v>1128</v>
      </c>
      <c r="B31" s="50">
        <v>0</v>
      </c>
      <c r="C31" s="127"/>
    </row>
    <row r="32" spans="1:3" s="50" customFormat="1" ht="15.75">
      <c r="A32" s="50" t="s">
        <v>755</v>
      </c>
      <c r="B32" s="93">
        <f>B33-B31</f>
        <v>44302</v>
      </c>
      <c r="C32" s="127" t="s">
        <v>1002</v>
      </c>
    </row>
    <row r="33" spans="1:4" s="50" customFormat="1" ht="15.75">
      <c r="A33" s="50" t="s">
        <v>879</v>
      </c>
      <c r="B33" s="93">
        <f>'Agreement 3'!B26</f>
        <v>44302</v>
      </c>
      <c r="C33" s="49" t="s">
        <v>1001</v>
      </c>
    </row>
    <row r="34" spans="1:4" s="117" customFormat="1" ht="15.75">
      <c r="A34" s="50" t="s">
        <v>400</v>
      </c>
      <c r="B34" s="39">
        <f>B33-B27+1-B28</f>
        <v>7</v>
      </c>
      <c r="C34" s="117" t="s">
        <v>1002</v>
      </c>
    </row>
    <row r="35" spans="1:4" s="117" customFormat="1" ht="15.75">
      <c r="A35" s="117" t="s">
        <v>1130</v>
      </c>
      <c r="B35" s="50">
        <v>0</v>
      </c>
    </row>
    <row r="36" spans="1:4" s="117" customFormat="1">
      <c r="A36" s="117" t="s">
        <v>1129</v>
      </c>
      <c r="B36" s="239">
        <f>B35+B32</f>
        <v>44302</v>
      </c>
      <c r="C36" s="117" t="s">
        <v>1002</v>
      </c>
    </row>
    <row r="37" spans="1:4" s="117" customFormat="1" ht="15.75">
      <c r="A37" s="117" t="s">
        <v>1348</v>
      </c>
      <c r="B37" s="50">
        <v>14</v>
      </c>
    </row>
    <row r="38" spans="1:4" s="117" customFormat="1">
      <c r="A38" s="117" t="s">
        <v>1131</v>
      </c>
      <c r="B38" s="239">
        <f>B36+B37-1</f>
        <v>44315</v>
      </c>
      <c r="C38" s="117" t="s">
        <v>1002</v>
      </c>
    </row>
    <row r="40" spans="1:4" s="50" customFormat="1" ht="31.5">
      <c r="A40" s="51" t="s">
        <v>964</v>
      </c>
      <c r="B40" s="51"/>
      <c r="C40" s="49"/>
    </row>
    <row r="41" spans="1:4" s="50" customFormat="1" ht="15.75">
      <c r="A41" s="50" t="s">
        <v>965</v>
      </c>
      <c r="B41" s="55" t="str">
        <f>'Agreement 3'!B23</f>
        <v>Conduct Maturity Level 5 appraisal in April 2021</v>
      </c>
      <c r="C41" s="49" t="s">
        <v>1001</v>
      </c>
    </row>
    <row r="42" spans="1:4" s="50" customFormat="1" ht="4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5"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5">
      <c r="A5" s="84" t="s">
        <v>31</v>
      </c>
      <c r="B5" s="117" t="s">
        <v>1598</v>
      </c>
    </row>
    <row r="6" spans="1:3" s="84" customFormat="1" ht="15">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5">
      <c r="A9" s="84" t="s">
        <v>35</v>
      </c>
      <c r="B9" s="86" t="s">
        <v>1602</v>
      </c>
    </row>
    <row r="10" spans="1:3" s="84" customFormat="1" ht="15">
      <c r="A10" s="84" t="s">
        <v>17</v>
      </c>
      <c r="B10" s="85" t="s">
        <v>18</v>
      </c>
      <c r="C10" s="84" t="s">
        <v>384</v>
      </c>
    </row>
    <row r="11" spans="1:3" ht="31.5">
      <c r="A11" s="50" t="s">
        <v>854</v>
      </c>
      <c r="B11" s="87" t="str">
        <f>_xlfn.CONCAT(B5,", ",B6,", ",B7,", ",B8,", ",B9,", ",B10)</f>
        <v>Room 1, Dome 1, No. 1 First Street, Base Alpha City, Tharsis, Planet04, China</v>
      </c>
      <c r="C11" s="49" t="s">
        <v>1002</v>
      </c>
    </row>
    <row r="12" spans="1:3">
      <c r="A12" s="50" t="s">
        <v>855</v>
      </c>
      <c r="B12" s="301" t="s">
        <v>1599</v>
      </c>
    </row>
    <row r="13" spans="1:3" ht="47.25">
      <c r="A13" s="50" t="s">
        <v>856</v>
      </c>
      <c r="B13" s="55" t="str">
        <f>_xlfn.CONCAT(Planning!B44)</f>
        <v>[BO-1] Improve production efficiency to improve productivity 
[BO-2] Improve delivery capacity
[BO-3] Reduce Code Acceptance Defects</v>
      </c>
      <c r="C13" s="49" t="s">
        <v>961</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90">
      <c r="A23" s="50" t="s">
        <v>861</v>
      </c>
      <c r="B23" s="411" t="s">
        <v>1601</v>
      </c>
      <c r="C23" s="306"/>
    </row>
    <row r="24" spans="1:3" ht="31.5">
      <c r="A24" s="50" t="s">
        <v>862</v>
      </c>
      <c r="B24" s="54" t="s">
        <v>347</v>
      </c>
      <c r="C24" s="49" t="s">
        <v>384</v>
      </c>
    </row>
    <row r="25" spans="1:3">
      <c r="A25" s="50" t="s">
        <v>863</v>
      </c>
      <c r="B25" s="50">
        <v>2481632</v>
      </c>
    </row>
    <row r="26" spans="1:3" ht="47.25">
      <c r="A26" s="50" t="s">
        <v>976</v>
      </c>
      <c r="B26" s="328" t="s">
        <v>1505</v>
      </c>
      <c r="C26" s="49" t="s">
        <v>1002</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5">
      <c r="A39" s="50" t="s">
        <v>1083</v>
      </c>
      <c r="B39" s="54" t="s">
        <v>735</v>
      </c>
      <c r="C39" s="49" t="s">
        <v>384</v>
      </c>
    </row>
    <row r="40" spans="1:3" ht="31.5">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5">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63">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2.75">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2.75">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2.75">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2.75">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3.75">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8.25">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5.5">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140625" style="62" customWidth="1"/>
    <col min="3" max="3" width="36.7109375" style="62" bestFit="1" customWidth="1"/>
    <col min="4" max="4" width="26.42578125" style="62" bestFit="1" customWidth="1"/>
    <col min="5" max="5" width="42.28515625" style="62" customWidth="1"/>
    <col min="6" max="25" width="7.85546875" style="63" customWidth="1"/>
    <col min="26" max="16384" width="10.7109375" style="62"/>
  </cols>
  <sheetData>
    <row r="1" spans="1:26" s="60" customFormat="1" ht="18.7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85546875" bestFit="1" customWidth="1"/>
    <col min="11" max="14" width="10.7109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140625" bestFit="1" customWidth="1"/>
    <col min="3" max="7" width="3" bestFit="1" customWidth="1"/>
    <col min="8" max="11" width="2.7109375" bestFit="1" customWidth="1"/>
    <col min="12" max="12" width="6.85546875" bestFit="1" customWidth="1"/>
    <col min="13" max="14" width="10.7109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85546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1609</v>
      </c>
    </row>
    <row r="11" spans="1:3">
      <c r="A11" s="11" t="s">
        <v>822</v>
      </c>
    </row>
    <row r="12" spans="1:3" ht="45">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30">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90">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30">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2" t="s">
        <v>1366</v>
      </c>
      <c r="B125" s="432"/>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3" t="s">
        <v>831</v>
      </c>
      <c r="B143" s="433"/>
    </row>
    <row r="145" spans="1:3">
      <c r="A145" s="251" t="s">
        <v>787</v>
      </c>
      <c r="B145" s="252"/>
      <c r="C145" s="253"/>
    </row>
    <row r="146" spans="1:3">
      <c r="A146" s="434" t="s">
        <v>788</v>
      </c>
      <c r="B146" s="436"/>
      <c r="C146" s="254" t="s">
        <v>1161</v>
      </c>
    </row>
    <row r="147" spans="1:3" ht="15.75" thickBot="1">
      <c r="A147" s="435"/>
      <c r="B147" s="437"/>
      <c r="C147" s="254" t="s">
        <v>1164</v>
      </c>
    </row>
    <row r="148" spans="1:3">
      <c r="A148" s="255" t="s">
        <v>751</v>
      </c>
      <c r="B148" s="255" t="s">
        <v>1162</v>
      </c>
      <c r="C148" s="253"/>
    </row>
    <row r="149" spans="1:3" ht="15.75" thickBot="1">
      <c r="A149" s="256" t="s">
        <v>832</v>
      </c>
      <c r="B149" s="256" t="s">
        <v>833</v>
      </c>
      <c r="C149" s="253"/>
    </row>
    <row r="150" spans="1:3">
      <c r="A150" s="257" t="s">
        <v>750</v>
      </c>
      <c r="B150" s="257" t="s">
        <v>1165</v>
      </c>
      <c r="C150" s="253"/>
    </row>
    <row r="151" spans="1:3" ht="15.75" thickBot="1">
      <c r="A151" s="256" t="s">
        <v>832</v>
      </c>
      <c r="B151" s="256" t="s">
        <v>833</v>
      </c>
      <c r="C151" s="253"/>
    </row>
    <row r="152" spans="1:3">
      <c r="A152" s="257" t="s">
        <v>834</v>
      </c>
      <c r="B152" s="257" t="s">
        <v>1166</v>
      </c>
      <c r="C152" s="253"/>
    </row>
    <row r="153" spans="1:3" ht="15.75" thickBot="1">
      <c r="A153" s="256" t="s">
        <v>832</v>
      </c>
      <c r="B153" s="256" t="s">
        <v>833</v>
      </c>
      <c r="C153" s="253"/>
    </row>
    <row r="154" spans="1:3">
      <c r="A154" s="257" t="s">
        <v>752</v>
      </c>
      <c r="B154" s="257" t="s">
        <v>1163</v>
      </c>
      <c r="C154" s="258" t="s">
        <v>1373</v>
      </c>
    </row>
    <row r="156" spans="1:3">
      <c r="A156" s="28" t="s">
        <v>789</v>
      </c>
      <c r="B156" s="29"/>
      <c r="C156" s="30"/>
    </row>
    <row r="157" spans="1:3" ht="30">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30">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1378</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1379</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30">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5">
      <c r="A81" s="117" t="s">
        <v>744</v>
      </c>
      <c r="B81" s="117" t="s">
        <v>1382</v>
      </c>
    </row>
    <row r="82" spans="1:3" ht="45">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5">
      <c r="A91" s="117" t="s">
        <v>744</v>
      </c>
      <c r="B91" s="117" t="s">
        <v>1382</v>
      </c>
    </row>
    <row r="92" spans="1:3" ht="60">
      <c r="A92" s="117" t="s">
        <v>745</v>
      </c>
      <c r="B92" s="119" t="s">
        <v>969</v>
      </c>
    </row>
    <row r="93" spans="1:3">
      <c r="A93" s="117" t="s">
        <v>746</v>
      </c>
      <c r="B93" s="117" t="s">
        <v>1384</v>
      </c>
    </row>
    <row r="94" spans="1:3" ht="90">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1430</v>
      </c>
    </row>
    <row r="132" spans="1:3" ht="105">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30">
      <c r="A156" s="117" t="s">
        <v>676</v>
      </c>
      <c r="B156" s="117" t="s">
        <v>1617</v>
      </c>
    </row>
    <row r="157" spans="1:3">
      <c r="A157" s="117" t="s">
        <v>677</v>
      </c>
      <c r="B157" s="121" t="s">
        <v>684</v>
      </c>
      <c r="C157" s="117" t="s">
        <v>384</v>
      </c>
    </row>
    <row r="158" spans="1:3" ht="135">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5">
      <c r="A164" s="117" t="s">
        <v>676</v>
      </c>
      <c r="B164" s="117" t="s">
        <v>1437</v>
      </c>
    </row>
    <row r="165" spans="1:3">
      <c r="A165" s="117" t="s">
        <v>677</v>
      </c>
      <c r="B165" s="121" t="s">
        <v>684</v>
      </c>
      <c r="C165" s="117" t="s">
        <v>384</v>
      </c>
    </row>
    <row r="166" spans="1:3" ht="135">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30">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5">
      <c r="A180" s="117" t="s">
        <v>676</v>
      </c>
      <c r="B180" s="117" t="s">
        <v>1443</v>
      </c>
    </row>
    <row r="181" spans="1:3">
      <c r="A181" s="117" t="s">
        <v>677</v>
      </c>
      <c r="B181" s="121" t="s">
        <v>1441</v>
      </c>
      <c r="C181" s="117" t="s">
        <v>384</v>
      </c>
    </row>
    <row r="182" spans="1:3" ht="165">
      <c r="A182" s="117" t="s">
        <v>678</v>
      </c>
      <c r="B182" s="117" t="s">
        <v>1655</v>
      </c>
    </row>
    <row r="183" spans="1:3">
      <c r="A183" s="117" t="s">
        <v>679</v>
      </c>
      <c r="B183" s="121" t="s">
        <v>1438</v>
      </c>
      <c r="C183" s="117" t="s">
        <v>384</v>
      </c>
    </row>
    <row r="185" spans="1:3" ht="30">
      <c r="A185" s="14" t="s">
        <v>1622</v>
      </c>
      <c r="B185" s="14" t="s">
        <v>1623</v>
      </c>
    </row>
    <row r="186" spans="1:3">
      <c r="A186" s="117" t="s">
        <v>669</v>
      </c>
      <c r="B186" s="121" t="s">
        <v>434</v>
      </c>
      <c r="C186" s="117" t="s">
        <v>384</v>
      </c>
    </row>
    <row r="187" spans="1:3">
      <c r="A187" s="117" t="s">
        <v>675</v>
      </c>
      <c r="B187" s="117" t="s">
        <v>1616</v>
      </c>
    </row>
    <row r="188" spans="1:3" ht="45">
      <c r="A188" s="117" t="s">
        <v>676</v>
      </c>
      <c r="B188" s="117" t="s">
        <v>1624</v>
      </c>
    </row>
    <row r="189" spans="1:3">
      <c r="A189" s="117" t="s">
        <v>677</v>
      </c>
      <c r="B189" s="121" t="s">
        <v>684</v>
      </c>
      <c r="C189" s="117" t="s">
        <v>384</v>
      </c>
    </row>
    <row r="190" spans="1:3" ht="135">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30">
      <c r="A197" s="117" t="s">
        <v>676</v>
      </c>
      <c r="B197" s="117" t="s">
        <v>1628</v>
      </c>
    </row>
    <row r="198" spans="1:3">
      <c r="A198" s="117" t="s">
        <v>677</v>
      </c>
      <c r="B198" s="121" t="s">
        <v>1441</v>
      </c>
      <c r="C198" s="117" t="s">
        <v>384</v>
      </c>
    </row>
    <row r="199" spans="1:3" ht="45">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30">
      <c r="A205" s="117" t="s">
        <v>676</v>
      </c>
      <c r="B205" s="117" t="s">
        <v>1632</v>
      </c>
    </row>
    <row r="206" spans="1:3">
      <c r="A206" s="117" t="s">
        <v>677</v>
      </c>
      <c r="B206" s="121" t="s">
        <v>684</v>
      </c>
      <c r="C206" s="117" t="s">
        <v>384</v>
      </c>
    </row>
    <row r="207" spans="1:3" ht="60">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30">
      <c r="A213" s="117" t="s">
        <v>676</v>
      </c>
      <c r="B213" s="117" t="s">
        <v>1617</v>
      </c>
    </row>
    <row r="214" spans="1:3">
      <c r="A214" s="117" t="s">
        <v>677</v>
      </c>
      <c r="B214" s="121" t="s">
        <v>684</v>
      </c>
      <c r="C214" s="117" t="s">
        <v>384</v>
      </c>
    </row>
    <row r="215" spans="1:3" ht="135">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30">
      <c r="A221" s="117" t="s">
        <v>676</v>
      </c>
      <c r="B221" s="117" t="s">
        <v>1638</v>
      </c>
    </row>
    <row r="222" spans="1:3">
      <c r="A222" s="117" t="s">
        <v>677</v>
      </c>
      <c r="B222" s="121" t="s">
        <v>684</v>
      </c>
      <c r="C222" s="117" t="s">
        <v>384</v>
      </c>
    </row>
    <row r="223" spans="1:3" ht="135">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ht="30">
      <c r="A229" s="117" t="s">
        <v>676</v>
      </c>
      <c r="B229" s="117" t="s">
        <v>1642</v>
      </c>
    </row>
    <row r="230" spans="1:3">
      <c r="A230" s="117" t="s">
        <v>677</v>
      </c>
      <c r="B230" s="121" t="s">
        <v>684</v>
      </c>
      <c r="C230" s="117" t="s">
        <v>384</v>
      </c>
    </row>
    <row r="231" spans="1:3" ht="45">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5">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1176</v>
      </c>
      <c r="B262" s="121" t="s">
        <v>1175</v>
      </c>
      <c r="C262" s="117" t="s">
        <v>384</v>
      </c>
    </row>
    <row r="264" spans="1:3">
      <c r="A264" s="100" t="s">
        <v>817</v>
      </c>
      <c r="B264" s="100"/>
    </row>
    <row r="265" spans="1:3">
      <c r="A265" s="28" t="s">
        <v>818</v>
      </c>
      <c r="B265" s="29"/>
      <c r="C265" s="30"/>
    </row>
    <row r="266" spans="1:3" ht="90">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140625" bestFit="1" customWidth="1"/>
    <col min="2" max="2" width="15.7109375" bestFit="1" customWidth="1"/>
    <col min="3" max="4" width="3" bestFit="1" customWidth="1"/>
    <col min="5" max="6" width="2.7109375" bestFit="1" customWidth="1"/>
    <col min="7" max="7" width="6.85546875" bestFit="1" customWidth="1"/>
    <col min="8" max="8" width="3" bestFit="1" customWidth="1"/>
    <col min="9" max="10" width="2.7109375" bestFit="1" customWidth="1"/>
    <col min="11" max="11" width="10.7109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85546875" customWidth="1"/>
  </cols>
  <sheetData>
    <row r="1" spans="1:10">
      <c r="D1" s="316" t="s">
        <v>1298</v>
      </c>
      <c r="E1" s="316">
        <f>VALUE(RIGHT(Planning!B10,1))</f>
        <v>5</v>
      </c>
      <c r="F1" s="125" t="s">
        <v>1299</v>
      </c>
    </row>
    <row r="3" spans="1:10" ht="30">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1200</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30">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'P1PA-SS'!B95</f>
        <v>ATM-5</v>
      </c>
      <c r="M15" s="136"/>
      <c r="N15" s="67"/>
      <c r="O15" s="67"/>
      <c r="P15" s="67"/>
    </row>
    <row r="16" spans="1:16">
      <c r="A16" s="445" t="str">
        <f>J4</f>
        <v>Day 3</v>
      </c>
      <c r="B16" s="445"/>
      <c r="C16" s="446">
        <f>I4</f>
        <v>44298</v>
      </c>
      <c r="D16" s="446"/>
      <c r="E16" s="446"/>
      <c r="F16" s="445" t="str">
        <f>A16</f>
        <v>Day 3</v>
      </c>
      <c r="G16" s="445"/>
      <c r="H16" s="65"/>
      <c r="I16" s="135"/>
      <c r="K16" s="139"/>
      <c r="L16" s="135" t="str">
        <f>'P1PA-SS'!B96</f>
        <v>ATM-6</v>
      </c>
      <c r="M16" s="136"/>
      <c r="N16" s="67"/>
      <c r="O16" s="67"/>
      <c r="P16" s="67"/>
    </row>
    <row r="17" spans="1:18" ht="30">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7" t="s">
        <v>986</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1670</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1671</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1672</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30">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1201</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'P1PA-SS'!B95</f>
        <v>ATM-5</v>
      </c>
      <c r="M15" s="136"/>
      <c r="N15" s="67"/>
      <c r="O15" s="67"/>
      <c r="P15" s="67"/>
    </row>
    <row r="16" spans="1:16">
      <c r="A16" s="445" t="str">
        <f>J4</f>
        <v>Day 3</v>
      </c>
      <c r="B16" s="445"/>
      <c r="C16" s="446">
        <f>I4</f>
        <v>44298</v>
      </c>
      <c r="D16" s="446"/>
      <c r="E16" s="446"/>
      <c r="F16" s="445" t="str">
        <f>A16</f>
        <v>Day 3</v>
      </c>
      <c r="G16" s="445"/>
      <c r="H16" s="65"/>
      <c r="K16" s="139"/>
      <c r="L16" s="135" t="str">
        <f>'P1PA-SS'!B96</f>
        <v>ATM-6</v>
      </c>
      <c r="M16" s="136"/>
      <c r="N16" s="67"/>
      <c r="O16" s="67"/>
      <c r="P16" s="67"/>
    </row>
    <row r="17" spans="1:18" ht="30">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2" t="s">
        <v>986</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988</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1126</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30">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1126</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109375" defaultRowHeight="15"/>
  <cols>
    <col min="1" max="16384" width="8.7109375" style="8"/>
  </cols>
  <sheetData>
    <row r="1" spans="1:8" ht="15.7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30">
      <c r="A3" s="336">
        <v>0.41666666666666702</v>
      </c>
      <c r="B3" s="479" t="s">
        <v>1447</v>
      </c>
      <c r="C3" s="337" t="s">
        <v>1448</v>
      </c>
      <c r="D3" s="338" t="s">
        <v>1449</v>
      </c>
      <c r="E3" s="338" t="s">
        <v>1449</v>
      </c>
      <c r="F3" s="480" t="s">
        <v>1450</v>
      </c>
      <c r="G3" s="480" t="s">
        <v>1451</v>
      </c>
      <c r="H3" s="339">
        <f t="shared" ref="H3:H19" si="1">+A3-0.25</f>
        <v>0.16666666666666702</v>
      </c>
    </row>
    <row r="4" spans="1:8">
      <c r="A4" s="336">
        <v>0.4375</v>
      </c>
      <c r="B4" s="479"/>
      <c r="C4" s="340" t="s">
        <v>1452</v>
      </c>
      <c r="D4" s="481" t="s">
        <v>1453</v>
      </c>
      <c r="E4" s="481" t="s">
        <v>1454</v>
      </c>
      <c r="F4" s="480"/>
      <c r="G4" s="480"/>
      <c r="H4" s="339">
        <f t="shared" si="1"/>
        <v>0.1875</v>
      </c>
    </row>
    <row r="5" spans="1:8">
      <c r="A5" s="336">
        <v>0.45833333333333398</v>
      </c>
      <c r="B5" s="482" t="s">
        <v>1455</v>
      </c>
      <c r="C5" s="483" t="s">
        <v>1456</v>
      </c>
      <c r="D5" s="481"/>
      <c r="E5" s="481"/>
      <c r="F5" s="480"/>
      <c r="G5" s="480"/>
      <c r="H5" s="339">
        <f t="shared" si="1"/>
        <v>0.20833333333333398</v>
      </c>
    </row>
    <row r="6" spans="1:8">
      <c r="A6" s="336">
        <v>0.47916666666666702</v>
      </c>
      <c r="B6" s="482"/>
      <c r="C6" s="483"/>
      <c r="D6" s="481"/>
      <c r="E6" s="481"/>
      <c r="F6" s="480"/>
      <c r="G6" s="337" t="s">
        <v>1452</v>
      </c>
      <c r="H6" s="339">
        <f t="shared" si="1"/>
        <v>0.22916666666666702</v>
      </c>
    </row>
    <row r="7" spans="1:8">
      <c r="A7" s="336">
        <v>0.5</v>
      </c>
      <c r="B7" s="482"/>
      <c r="C7" s="481" t="s">
        <v>1457</v>
      </c>
      <c r="D7" s="481"/>
      <c r="E7" s="481"/>
      <c r="F7" s="484" t="s">
        <v>937</v>
      </c>
      <c r="G7" s="484" t="s">
        <v>937</v>
      </c>
      <c r="H7" s="339">
        <f t="shared" si="1"/>
        <v>0.25</v>
      </c>
    </row>
    <row r="8" spans="1:8" ht="30">
      <c r="A8" s="336">
        <v>0.52083333333333404</v>
      </c>
      <c r="B8" s="341" t="s">
        <v>1447</v>
      </c>
      <c r="C8" s="481"/>
      <c r="D8" s="481"/>
      <c r="E8" s="481"/>
      <c r="F8" s="484"/>
      <c r="G8" s="484"/>
      <c r="H8" s="339">
        <f t="shared" si="1"/>
        <v>0.27083333333333404</v>
      </c>
    </row>
    <row r="9" spans="1:8">
      <c r="A9" s="336">
        <v>0.54166666666666696</v>
      </c>
      <c r="B9" s="485" t="s">
        <v>937</v>
      </c>
      <c r="C9" s="484" t="s">
        <v>937</v>
      </c>
      <c r="D9" s="484" t="s">
        <v>937</v>
      </c>
      <c r="E9" s="484" t="s">
        <v>937</v>
      </c>
      <c r="F9" s="337" t="s">
        <v>1452</v>
      </c>
      <c r="G9" s="483" t="s">
        <v>794</v>
      </c>
      <c r="H9" s="339">
        <f t="shared" si="1"/>
        <v>0.29166666666666696</v>
      </c>
    </row>
    <row r="10" spans="1:8">
      <c r="A10" s="336">
        <v>0.5625</v>
      </c>
      <c r="B10" s="485"/>
      <c r="C10" s="484"/>
      <c r="D10" s="484"/>
      <c r="E10" s="484"/>
      <c r="F10" s="483" t="s">
        <v>1458</v>
      </c>
      <c r="G10" s="483"/>
      <c r="H10" s="339">
        <f t="shared" si="1"/>
        <v>0.3125</v>
      </c>
    </row>
    <row r="11" spans="1:8">
      <c r="A11" s="336">
        <v>0.58333333333333304</v>
      </c>
      <c r="B11" s="479" t="s">
        <v>1459</v>
      </c>
      <c r="C11" s="481" t="s">
        <v>1460</v>
      </c>
      <c r="D11" s="481" t="s">
        <v>1461</v>
      </c>
      <c r="E11" s="481" t="s">
        <v>1462</v>
      </c>
      <c r="F11" s="483"/>
      <c r="G11" s="480" t="s">
        <v>1463</v>
      </c>
      <c r="H11" s="339">
        <f t="shared" si="1"/>
        <v>0.33333333333333304</v>
      </c>
    </row>
    <row r="12" spans="1:8">
      <c r="A12" s="336">
        <v>0.60416666666666696</v>
      </c>
      <c r="B12" s="479"/>
      <c r="C12" s="481"/>
      <c r="D12" s="481"/>
      <c r="E12" s="481"/>
      <c r="F12" s="483" t="s">
        <v>1464</v>
      </c>
      <c r="G12" s="480"/>
      <c r="H12" s="339">
        <f t="shared" si="1"/>
        <v>0.35416666666666696</v>
      </c>
    </row>
    <row r="13" spans="1:8">
      <c r="A13" s="336">
        <v>0.625</v>
      </c>
      <c r="B13" s="479"/>
      <c r="C13" s="481"/>
      <c r="D13" s="481" t="s">
        <v>1465</v>
      </c>
      <c r="E13" s="481"/>
      <c r="F13" s="483"/>
      <c r="G13" s="480"/>
      <c r="H13" s="339">
        <f t="shared" si="1"/>
        <v>0.375</v>
      </c>
    </row>
    <row r="14" spans="1:8">
      <c r="A14" s="336">
        <v>0.64583333333333304</v>
      </c>
      <c r="B14" s="479"/>
      <c r="C14" s="481"/>
      <c r="D14" s="481"/>
      <c r="E14" s="481"/>
      <c r="F14" s="480" t="s">
        <v>1451</v>
      </c>
      <c r="G14" s="486" t="s">
        <v>1466</v>
      </c>
      <c r="H14" s="339">
        <f t="shared" si="1"/>
        <v>0.39583333333333304</v>
      </c>
    </row>
    <row r="15" spans="1:8">
      <c r="A15" s="336">
        <v>0.66666666666666696</v>
      </c>
      <c r="B15" s="479"/>
      <c r="C15" s="340" t="s">
        <v>1452</v>
      </c>
      <c r="D15" s="481"/>
      <c r="E15" s="480" t="s">
        <v>1450</v>
      </c>
      <c r="F15" s="480"/>
      <c r="G15" s="486"/>
      <c r="H15" s="339">
        <f t="shared" si="1"/>
        <v>0.41666666666666696</v>
      </c>
    </row>
    <row r="16" spans="1:8">
      <c r="A16" s="336">
        <v>0.6875</v>
      </c>
      <c r="B16" s="479"/>
      <c r="C16" s="481" t="s">
        <v>1467</v>
      </c>
      <c r="D16" s="481" t="s">
        <v>1468</v>
      </c>
      <c r="E16" s="480"/>
      <c r="F16" s="480"/>
      <c r="G16" s="486"/>
      <c r="H16" s="339">
        <f t="shared" si="1"/>
        <v>0.4375</v>
      </c>
    </row>
    <row r="17" spans="1:8">
      <c r="A17" s="336">
        <v>0.70833333333333304</v>
      </c>
      <c r="B17" s="342" t="s">
        <v>1469</v>
      </c>
      <c r="C17" s="481"/>
      <c r="D17" s="481"/>
      <c r="E17" s="480"/>
      <c r="F17" s="480"/>
      <c r="G17" s="486"/>
      <c r="H17" s="339">
        <f t="shared" si="1"/>
        <v>0.45833333333333304</v>
      </c>
    </row>
    <row r="18" spans="1:8">
      <c r="A18" s="336">
        <v>0.72916666666666663</v>
      </c>
      <c r="B18" s="343" t="s">
        <v>1449</v>
      </c>
      <c r="C18" s="338" t="s">
        <v>1449</v>
      </c>
      <c r="D18" s="338" t="s">
        <v>1449</v>
      </c>
      <c r="E18" s="338" t="s">
        <v>1449</v>
      </c>
      <c r="F18" s="338" t="s">
        <v>1449</v>
      </c>
      <c r="G18" s="486"/>
      <c r="H18" s="339">
        <f t="shared" si="1"/>
        <v>0.47916666666666663</v>
      </c>
    </row>
    <row r="19" spans="1:8" ht="15.75" thickBot="1">
      <c r="A19" s="344">
        <v>0.75</v>
      </c>
      <c r="B19" s="487" t="s">
        <v>939</v>
      </c>
      <c r="C19" s="488"/>
      <c r="D19" s="488"/>
      <c r="E19" s="488"/>
      <c r="F19" s="488"/>
      <c r="G19" s="488"/>
      <c r="H19" s="345">
        <f t="shared" si="1"/>
        <v>0.5</v>
      </c>
    </row>
    <row r="21" spans="1:8" ht="15.7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30">
      <c r="A23" s="336">
        <v>0.41666666666666702</v>
      </c>
      <c r="B23" s="479" t="s">
        <v>1447</v>
      </c>
      <c r="C23" s="337" t="s">
        <v>1448</v>
      </c>
      <c r="D23" s="338" t="s">
        <v>1449</v>
      </c>
      <c r="E23" s="338" t="s">
        <v>1449</v>
      </c>
      <c r="F23" s="489" t="s">
        <v>1450</v>
      </c>
      <c r="G23" s="489" t="s">
        <v>1451</v>
      </c>
      <c r="H23" s="339">
        <f t="shared" ref="H23:H39" si="3">+A23-0.25</f>
        <v>0.16666666666666702</v>
      </c>
    </row>
    <row r="24" spans="1:8">
      <c r="A24" s="336">
        <v>0.4375</v>
      </c>
      <c r="B24" s="479"/>
      <c r="C24" s="340" t="s">
        <v>1452</v>
      </c>
      <c r="D24" s="481" t="s">
        <v>1453</v>
      </c>
      <c r="E24" s="481" t="s">
        <v>1454</v>
      </c>
      <c r="F24" s="490"/>
      <c r="G24" s="490"/>
      <c r="H24" s="339">
        <f t="shared" si="3"/>
        <v>0.1875</v>
      </c>
    </row>
    <row r="25" spans="1:8">
      <c r="A25" s="336">
        <v>0.45833333333333398</v>
      </c>
      <c r="B25" s="482" t="s">
        <v>1455</v>
      </c>
      <c r="C25" s="483" t="s">
        <v>1456</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1457</v>
      </c>
      <c r="D27" s="481"/>
      <c r="E27" s="481"/>
      <c r="F27" s="490"/>
      <c r="G27" s="490"/>
      <c r="H27" s="339">
        <f t="shared" si="3"/>
        <v>0.25</v>
      </c>
    </row>
    <row r="28" spans="1:8" ht="30">
      <c r="A28" s="336">
        <v>0.52083333333333404</v>
      </c>
      <c r="B28" s="341" t="s">
        <v>1447</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1459</v>
      </c>
      <c r="C31" s="481" t="s">
        <v>1460</v>
      </c>
      <c r="D31" s="481" t="s">
        <v>1461</v>
      </c>
      <c r="E31" s="481" t="s">
        <v>1462</v>
      </c>
      <c r="F31" s="338" t="s">
        <v>1452</v>
      </c>
      <c r="G31" s="338" t="s">
        <v>1452</v>
      </c>
      <c r="H31" s="339">
        <f t="shared" si="3"/>
        <v>0.33333333333333304</v>
      </c>
    </row>
    <row r="32" spans="1:8">
      <c r="A32" s="336">
        <v>0.60416666666666696</v>
      </c>
      <c r="B32" s="490"/>
      <c r="C32" s="481"/>
      <c r="D32" s="481"/>
      <c r="E32" s="481"/>
      <c r="F32" s="483" t="s">
        <v>1458</v>
      </c>
      <c r="G32" s="483" t="s">
        <v>794</v>
      </c>
      <c r="H32" s="339">
        <f t="shared" si="3"/>
        <v>0.35416666666666696</v>
      </c>
    </row>
    <row r="33" spans="1:8">
      <c r="A33" s="336">
        <v>0.625</v>
      </c>
      <c r="B33" s="490"/>
      <c r="C33" s="481"/>
      <c r="D33" s="481" t="s">
        <v>1465</v>
      </c>
      <c r="E33" s="481"/>
      <c r="F33" s="483"/>
      <c r="G33" s="483"/>
      <c r="H33" s="339">
        <f t="shared" si="3"/>
        <v>0.375</v>
      </c>
    </row>
    <row r="34" spans="1:8">
      <c r="A34" s="336">
        <v>0.64583333333333304</v>
      </c>
      <c r="B34" s="490"/>
      <c r="C34" s="481"/>
      <c r="D34" s="481"/>
      <c r="E34" s="481"/>
      <c r="F34" s="483" t="s">
        <v>1464</v>
      </c>
      <c r="G34" s="492" t="s">
        <v>1471</v>
      </c>
      <c r="H34" s="339">
        <f t="shared" si="3"/>
        <v>0.39583333333333304</v>
      </c>
    </row>
    <row r="35" spans="1:8">
      <c r="A35" s="336">
        <v>0.66666666666666696</v>
      </c>
      <c r="B35" s="491"/>
      <c r="C35" s="340" t="s">
        <v>1452</v>
      </c>
      <c r="D35" s="481"/>
      <c r="E35" s="480" t="s">
        <v>1450</v>
      </c>
      <c r="F35" s="483"/>
      <c r="G35" s="493"/>
      <c r="H35" s="339">
        <f t="shared" si="3"/>
        <v>0.41666666666666696</v>
      </c>
    </row>
    <row r="36" spans="1:8">
      <c r="A36" s="336">
        <v>0.6875</v>
      </c>
      <c r="B36" s="346" t="s">
        <v>1472</v>
      </c>
      <c r="C36" s="481" t="s">
        <v>1467</v>
      </c>
      <c r="D36" s="481" t="s">
        <v>1468</v>
      </c>
      <c r="E36" s="480"/>
      <c r="F36" s="489" t="s">
        <v>1451</v>
      </c>
      <c r="G36" s="492" t="s">
        <v>1473</v>
      </c>
      <c r="H36" s="339">
        <f t="shared" si="3"/>
        <v>0.4375</v>
      </c>
    </row>
    <row r="37" spans="1:8">
      <c r="A37" s="336">
        <v>0.70833333333333304</v>
      </c>
      <c r="B37" s="342" t="s">
        <v>1469</v>
      </c>
      <c r="C37" s="481"/>
      <c r="D37" s="481"/>
      <c r="E37" s="480"/>
      <c r="F37" s="491"/>
      <c r="G37" s="493"/>
      <c r="H37" s="339">
        <f t="shared" si="3"/>
        <v>0.45833333333333304</v>
      </c>
    </row>
    <row r="38" spans="1:8">
      <c r="A38" s="336">
        <v>0.72916666666666663</v>
      </c>
      <c r="B38" s="343" t="s">
        <v>1449</v>
      </c>
      <c r="C38" s="338" t="s">
        <v>1449</v>
      </c>
      <c r="D38" s="338" t="s">
        <v>1449</v>
      </c>
      <c r="E38" s="338" t="s">
        <v>1449</v>
      </c>
      <c r="F38" s="338" t="s">
        <v>1449</v>
      </c>
      <c r="G38" s="494"/>
      <c r="H38" s="339">
        <f t="shared" si="3"/>
        <v>0.47916666666666663</v>
      </c>
    </row>
    <row r="39" spans="1:8" ht="15.7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85546875" customWidth="1"/>
    <col min="11" max="21" width="13.7109375" customWidth="1"/>
  </cols>
  <sheetData>
    <row r="1" spans="1:16" ht="105">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14062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109375" defaultRowHeight="15"/>
  <cols>
    <col min="1" max="22" width="8.7109375" style="196"/>
    <col min="23" max="23" width="8.7109375" style="196" hidden="1" customWidth="1"/>
    <col min="24" max="16384" width="8.7109375" style="196"/>
  </cols>
  <sheetData>
    <row r="2" spans="2:28" ht="94.5">
      <c r="B2" s="508" t="s">
        <v>1085</v>
      </c>
      <c r="C2" s="508" t="s">
        <v>1086</v>
      </c>
      <c r="D2" s="499" t="s">
        <v>1087</v>
      </c>
      <c r="E2" s="501"/>
      <c r="F2" s="502" t="s">
        <v>1088</v>
      </c>
      <c r="G2" s="504"/>
      <c r="H2" s="499" t="s">
        <v>1089</v>
      </c>
      <c r="I2" s="500"/>
      <c r="J2" s="500"/>
      <c r="K2" s="501"/>
      <c r="L2" s="502" t="s">
        <v>1090</v>
      </c>
      <c r="M2" s="503"/>
      <c r="N2" s="504"/>
      <c r="O2" s="210" t="s">
        <v>1091</v>
      </c>
      <c r="P2" s="211" t="s">
        <v>1092</v>
      </c>
      <c r="Q2" s="499" t="s">
        <v>1093</v>
      </c>
      <c r="R2" s="500"/>
      <c r="S2" s="501"/>
      <c r="T2" s="502" t="s">
        <v>1094</v>
      </c>
      <c r="U2" s="503"/>
      <c r="V2" s="504"/>
      <c r="W2" s="207" t="s">
        <v>1095</v>
      </c>
    </row>
    <row r="3" spans="2:28" ht="15.75">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505"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75">
      <c r="B6" s="506"/>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75">
      <c r="B7" s="506"/>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75">
      <c r="B8" s="506"/>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75">
      <c r="B9" s="507"/>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75">
      <c r="B11" s="505"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75">
      <c r="B12" s="506"/>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75">
      <c r="B13" s="506"/>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 customHeight="1">
      <c r="B14" s="506"/>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75">
      <c r="B15" s="506"/>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75">
      <c r="B16" s="506"/>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6"/>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6"/>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75">
      <c r="B19" s="507"/>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75">
      <c r="B21" s="505"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75">
      <c r="B22" s="506"/>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75">
      <c r="B23" s="506"/>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75">
      <c r="B24" s="506"/>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6"/>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6"/>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6"/>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75">
      <c r="B28" s="507"/>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75">
      <c r="B30" s="505"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75">
      <c r="B31" s="506"/>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75">
      <c r="B32" s="506"/>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6"/>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6"/>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75">
      <c r="B35" s="507"/>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75">
      <c r="B37" s="49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75">
      <c r="B38" s="49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49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75">
      <c r="B40" s="49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4.5">
      <c r="B50" s="498" t="s">
        <v>1085</v>
      </c>
      <c r="C50" s="498" t="s">
        <v>1086</v>
      </c>
      <c r="D50" s="496" t="s">
        <v>1087</v>
      </c>
      <c r="E50" s="496"/>
      <c r="F50" s="497" t="s">
        <v>1088</v>
      </c>
      <c r="G50" s="497"/>
      <c r="H50" s="496" t="s">
        <v>1089</v>
      </c>
      <c r="I50" s="496"/>
      <c r="J50" s="496"/>
      <c r="K50" s="496"/>
      <c r="L50" s="497" t="s">
        <v>1090</v>
      </c>
      <c r="M50" s="497"/>
      <c r="N50" s="497"/>
      <c r="O50" s="210" t="s">
        <v>1091</v>
      </c>
      <c r="P50" s="211" t="s">
        <v>1092</v>
      </c>
      <c r="Q50" s="496" t="s">
        <v>1093</v>
      </c>
      <c r="R50" s="496"/>
      <c r="S50" s="496"/>
      <c r="T50" s="497" t="s">
        <v>1094</v>
      </c>
      <c r="U50" s="497"/>
      <c r="V50" s="497"/>
      <c r="W50" s="207" t="s">
        <v>1095</v>
      </c>
    </row>
    <row r="51" spans="2:28" ht="15.75">
      <c r="B51" s="498"/>
      <c r="C51" s="498"/>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75">
      <c r="B53" s="49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75">
      <c r="B54" s="49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75">
      <c r="B55" s="49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75">
      <c r="B56" s="49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75">
      <c r="B57" s="49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75">
      <c r="B59" s="49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75">
      <c r="B60" s="49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75">
      <c r="B61" s="49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75">
      <c r="B62" s="49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75">
      <c r="B63" s="49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75">
      <c r="B64" s="49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75">
      <c r="B65" s="49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75">
      <c r="B66" s="49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75">
      <c r="B67" s="49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75">
      <c r="B69" s="49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75">
      <c r="B70" s="49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75">
      <c r="B71" s="495"/>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75">
      <c r="B72" s="49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75">
      <c r="B73" s="49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75">
      <c r="B74" s="49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75">
      <c r="B75" s="49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75">
      <c r="B76" s="49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75">
      <c r="B78" s="49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75">
      <c r="B79" s="49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75">
      <c r="B80" s="49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75">
      <c r="B81" s="49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75">
      <c r="B82" s="49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75">
      <c r="B83" s="49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75">
      <c r="B85" s="49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75">
      <c r="B86" s="49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75">
      <c r="B87" s="49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75">
      <c r="B88" s="49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140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140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B22" workbookViewId="0">
      <selection activeCell="C40" sqref="C40"/>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875</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1038</v>
      </c>
      <c r="B25" s="280" t="s">
        <v>1039</v>
      </c>
      <c r="C25" s="278" t="s">
        <v>1040</v>
      </c>
      <c r="D25" s="172" t="s">
        <v>847</v>
      </c>
      <c r="E25" s="161"/>
      <c r="G25" s="173"/>
    </row>
    <row r="26" spans="1:9" s="8" customFormat="1" ht="15.75">
      <c r="A26" s="159"/>
      <c r="B26" s="279" t="s">
        <v>1041</v>
      </c>
      <c r="C26" s="174" t="s">
        <v>1042</v>
      </c>
      <c r="D26" s="175">
        <f>'P1PA-SS'!B70</f>
        <v>44315</v>
      </c>
      <c r="E26" s="161"/>
      <c r="G26" s="176" t="str">
        <f>G23</f>
        <v>16 Apr 2024</v>
      </c>
      <c r="H26" s="170" t="s">
        <v>1043</v>
      </c>
    </row>
    <row r="27" spans="1:9" s="8" customFormat="1" ht="15.75">
      <c r="A27" s="159"/>
      <c r="B27" s="174" t="s">
        <v>1044</v>
      </c>
      <c r="C27" s="174" t="s">
        <v>1045</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1046</v>
      </c>
      <c r="C30" s="517"/>
      <c r="D30" s="517"/>
      <c r="E30" s="161"/>
    </row>
    <row r="31" spans="1:9" s="8" customFormat="1" ht="18.75">
      <c r="A31" s="159"/>
      <c r="B31" s="168"/>
      <c r="C31" s="160"/>
      <c r="E31" s="161"/>
    </row>
    <row r="32" spans="1:9" s="8" customFormat="1" ht="15.75">
      <c r="A32" s="159"/>
      <c r="B32" s="178" t="str">
        <f>B12</f>
        <v>Sponsor: Prof Kessler, Donald</v>
      </c>
      <c r="C32" s="179" t="s">
        <v>1415</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D3" sqref="D3"/>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 customHeight="1">
      <c r="A33" s="394" t="s">
        <v>794</v>
      </c>
      <c r="B33" s="390" t="s">
        <v>1494</v>
      </c>
    </row>
    <row r="34" spans="1:2" ht="31.9" customHeight="1">
      <c r="A34" s="394" t="s">
        <v>1495</v>
      </c>
      <c r="B34" s="391" t="s">
        <v>1381</v>
      </c>
    </row>
    <row r="35" spans="1:2" ht="31.9" customHeight="1">
      <c r="A35" s="394" t="s">
        <v>795</v>
      </c>
      <c r="B35" s="391" t="s">
        <v>1378</v>
      </c>
    </row>
    <row r="36" spans="1:2" ht="31.9" customHeight="1">
      <c r="A36" s="394" t="s">
        <v>1496</v>
      </c>
      <c r="B36" s="391" t="s">
        <v>1379</v>
      </c>
    </row>
    <row r="37" spans="1:2" ht="31.9" customHeight="1">
      <c r="A37" s="394" t="s">
        <v>672</v>
      </c>
      <c r="B37" s="391" t="s">
        <v>1497</v>
      </c>
    </row>
    <row r="38" spans="1:2">
      <c r="A38" s="385" t="s">
        <v>1498</v>
      </c>
      <c r="B38" s="385" t="s">
        <v>382</v>
      </c>
    </row>
    <row r="39" spans="1:2" ht="34.9"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85546875" style="358" customWidth="1"/>
    <col min="4" max="4" width="49.42578125" style="358" hidden="1" customWidth="1"/>
    <col min="5" max="10" width="8.7109375" style="358"/>
    <col min="11" max="11" width="2.42578125" style="358" customWidth="1"/>
    <col min="12" max="16384" width="8.7109375" style="358"/>
  </cols>
  <sheetData>
    <row r="2" spans="1:16" ht="13.15" customHeight="1">
      <c r="A2" s="520" t="str">
        <f>'P1PA-SS'!B76</f>
        <v>CMMI Development V2.0 (CMMI-DEV) without SAM</v>
      </c>
      <c r="B2" s="521"/>
      <c r="C2" s="521"/>
      <c r="D2" s="520"/>
      <c r="E2" s="521"/>
      <c r="F2" s="521"/>
      <c r="G2" s="521"/>
      <c r="H2" s="521"/>
      <c r="I2" s="521"/>
      <c r="L2" s="360" t="s">
        <v>1298</v>
      </c>
      <c r="M2" s="360">
        <f>VALUE(RIGHT(Planning!B10,1))</f>
        <v>5</v>
      </c>
      <c r="N2" s="348" t="s">
        <v>1299</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65" customHeight="1">
      <c r="A5" s="524"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65" customHeight="1">
      <c r="A6" s="524"/>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65" customHeight="1">
      <c r="A7" s="524"/>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65" customHeight="1">
      <c r="A8" s="524"/>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65" customHeight="1">
      <c r="A9" s="525"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65" customHeight="1">
      <c r="A10" s="525"/>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6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65" customHeight="1">
      <c r="A12" s="526"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65" customHeight="1">
      <c r="A13" s="526"/>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65" customHeight="1">
      <c r="A14" s="526"/>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6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6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65" customHeight="1">
      <c r="A17" s="527"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65" customHeight="1">
      <c r="A18" s="527"/>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65" customHeight="1">
      <c r="A19" s="527"/>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65" customHeight="1">
      <c r="A20" s="518"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65" customHeight="1">
      <c r="A21" s="518"/>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65" customHeight="1">
      <c r="A22" s="519"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65" customHeight="1">
      <c r="A23" s="519"/>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65" customHeight="1">
      <c r="A24" s="519"/>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109375" defaultRowHeight="21"/>
  <cols>
    <col min="1" max="1" width="45.140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109375" defaultRowHeight="15"/>
  <cols>
    <col min="1" max="1" width="14.28515625" style="8" customWidth="1"/>
    <col min="2" max="2" width="25.7109375" style="8" customWidth="1"/>
    <col min="3" max="3" width="20.85546875" style="8" customWidth="1"/>
    <col min="4" max="4" width="84.7109375" style="8" customWidth="1"/>
    <col min="5" max="5" width="17.7109375" style="8" customWidth="1"/>
    <col min="6" max="16384" width="8.7109375" style="8"/>
  </cols>
  <sheetData>
    <row r="1" spans="1:5" ht="21">
      <c r="A1" s="203" t="s">
        <v>1120</v>
      </c>
      <c r="B1" s="203" t="s">
        <v>1122</v>
      </c>
      <c r="C1" s="226" t="s">
        <v>1121</v>
      </c>
      <c r="D1" s="203" t="s">
        <v>382</v>
      </c>
      <c r="E1" s="203" t="s">
        <v>1125</v>
      </c>
    </row>
    <row r="2" spans="1:5" ht="63" customHeight="1">
      <c r="A2" s="531" t="str">
        <f>_xlfn.CONCAT('P1PA-SS'!B138,"(",'P1PA-SS'!B139,")")</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5">
      <c r="B3" s="409">
        <v>1</v>
      </c>
      <c r="C3" s="404" t="s">
        <v>1207</v>
      </c>
      <c r="D3" s="404" t="s">
        <v>1208</v>
      </c>
    </row>
    <row r="4" spans="2:13" ht="31.5">
      <c r="B4" s="409">
        <v>2</v>
      </c>
      <c r="C4" s="404" t="s">
        <v>1209</v>
      </c>
      <c r="D4" s="404" t="s">
        <v>1210</v>
      </c>
    </row>
    <row r="5" spans="2:13" ht="31.5">
      <c r="B5" s="409">
        <v>3</v>
      </c>
      <c r="C5" s="404" t="s">
        <v>1211</v>
      </c>
      <c r="D5" s="404" t="s">
        <v>1212</v>
      </c>
    </row>
    <row r="6" spans="2:13">
      <c r="B6" s="409">
        <v>4</v>
      </c>
      <c r="C6" s="404" t="s">
        <v>1118</v>
      </c>
      <c r="D6" s="404" t="s">
        <v>1119</v>
      </c>
    </row>
    <row r="7" spans="2:13" ht="31.5">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5">
      <c r="B19" s="409">
        <v>1</v>
      </c>
      <c r="C19" s="404" t="s">
        <v>1215</v>
      </c>
      <c r="D19" s="404" t="s">
        <v>1216</v>
      </c>
    </row>
    <row r="20" spans="2:4" ht="47.25">
      <c r="B20" s="409">
        <v>2</v>
      </c>
      <c r="C20" s="404" t="s">
        <v>1217</v>
      </c>
      <c r="D20" s="404" t="s">
        <v>1218</v>
      </c>
    </row>
    <row r="21" spans="2:4" ht="47.25">
      <c r="B21" s="409">
        <v>3</v>
      </c>
      <c r="C21" s="404" t="s">
        <v>1219</v>
      </c>
      <c r="D21" s="404" t="s">
        <v>1220</v>
      </c>
    </row>
    <row r="22" spans="2:4" ht="47.25">
      <c r="B22" s="409">
        <v>4</v>
      </c>
      <c r="C22" s="404" t="s">
        <v>1221</v>
      </c>
      <c r="D22" s="404" t="s">
        <v>1222</v>
      </c>
    </row>
    <row r="23" spans="2:4" ht="47.25">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2021-06-11T04:28:23Z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