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C82A3B5D-907F-4FE3-A82A-9ADA08D2FEF7}" xr6:coauthVersionLast="46" xr6:coauthVersionMax="46" xr10:uidLastSave="{00000000-0000-0000-0000-000000000000}"/>
  <bookViews>
    <workbookView xWindow="-110" yWindow="-110" windowWidth="19420" windowHeight="10420" firstSheet="13" activeTab="2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 r:id="rId51"/>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44" r:id="rId52"/>
    <pivotCache cacheId="45" r:id="rId53"/>
    <pivotCache cacheId="46" r:id="rId54"/>
    <pivotCache cacheId="47" r:id="rId55"/>
    <pivotCache cacheId="48" r:id="rId56"/>
    <pivotCache cacheId="49"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8" i="32" l="1"/>
  <c r="H17" i="32"/>
  <c r="H16" i="32"/>
  <c r="H15" i="32"/>
  <c r="H14" i="32"/>
  <c r="H13" i="32"/>
  <c r="H12" i="32"/>
  <c r="H11" i="32"/>
  <c r="H10" i="32"/>
  <c r="H9" i="32"/>
  <c r="H8" i="32"/>
  <c r="H7" i="32"/>
  <c r="H6" i="32"/>
  <c r="H5" i="32"/>
  <c r="H4" i="32"/>
  <c r="H3" i="32"/>
  <c r="H2" i="32"/>
  <c r="L1" i="32"/>
  <c r="I18" i="32" s="1"/>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<sst xmlns="http://schemas.openxmlformats.org/spreadsheetml/2006/main" count="4251" uniqueCount="1677">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</sst>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0" fillId="7" borderId="10" xfId="0" applyFill="1" applyBorder="1" applyAlignment="1">
      <alignment horizontal="left" vertical="top"/>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4.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3.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2.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6.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1.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5.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62"/>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1-05-22to05-28%20(A5)%20C54103%20Dongguan2\2021-05-22to05-28%20(A5)%20C54103%20Dongguan\10_48v07_Dongguan_CAS_Pla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row r="10">
          <cell r="B10" t="str">
            <v>Maturity Level 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4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election activeCell="D26" sqref="D26"/>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A19" s="44">
        <v>52</v>
      </c>
      <c r="B19" s="45">
        <v>44324</v>
      </c>
      <c r="C19" s="44" t="s">
        <v>845</v>
      </c>
      <c r="D19" s="56" t="s">
        <v>1676</v>
      </c>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8" t="s">
        <v>1186</v>
      </c>
      <c r="AD1" s="428"/>
      <c r="AE1" s="428"/>
      <c r="AF1" s="428"/>
      <c r="AG1" s="428"/>
      <c r="AH1" s="428"/>
      <c r="AI1" s="428"/>
      <c r="AJ1" s="428"/>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1374</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1162</v>
      </c>
    </row>
    <row r="147" spans="1:3" ht="15" thickBot="1">
      <c r="A147" s="433"/>
      <c r="B147" s="435"/>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1437</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tabSelected="1" workbookViewId="0">
      <selection activeCell="A2" sqref="A2:F18"/>
    </sheetView>
  </sheetViews>
  <sheetFormatPr defaultColWidth="8.6328125" defaultRowHeight="14.5"/>
  <cols>
    <col min="1" max="1" width="7.1796875" style="125" customWidth="1"/>
    <col min="2" max="2" width="37" style="125" customWidth="1"/>
    <col min="3" max="3" width="5.453125" style="128" bestFit="1" customWidth="1"/>
    <col min="4" max="4" width="30.453125" style="125" customWidth="1"/>
    <col min="5" max="5" width="27.1796875" style="125" customWidth="1"/>
    <col min="6" max="6" width="8.6328125" style="128"/>
    <col min="7" max="7" width="8.36328125" style="64" bestFit="1" customWidth="1"/>
    <col min="8" max="8" width="34.1796875" style="125" bestFit="1" customWidth="1"/>
    <col min="9" max="9" width="8.453125" style="125" bestFit="1" customWidth="1"/>
    <col min="10" max="16" width="9.453125" style="125" customWidth="1"/>
    <col min="17" max="16384" width="8.6328125" style="125"/>
  </cols>
  <sheetData>
    <row r="1" spans="1:13" s="117" customFormat="1">
      <c r="A1" s="110" t="s">
        <v>881</v>
      </c>
      <c r="B1" s="147" t="s">
        <v>907</v>
      </c>
      <c r="C1" s="111" t="s">
        <v>921</v>
      </c>
      <c r="D1" s="110" t="s">
        <v>922</v>
      </c>
      <c r="E1" s="110" t="s">
        <v>908</v>
      </c>
      <c r="F1" s="111" t="s">
        <v>923</v>
      </c>
      <c r="G1" s="109" t="s">
        <v>924</v>
      </c>
      <c r="H1" s="110" t="s">
        <v>615</v>
      </c>
      <c r="I1" s="110" t="s">
        <v>926</v>
      </c>
      <c r="K1" s="316" t="s">
        <v>1305</v>
      </c>
      <c r="L1" s="316">
        <f>VALUE(RIGHT([3]Planning!B10,1))</f>
        <v>5</v>
      </c>
      <c r="M1" s="125" t="s">
        <v>1306</v>
      </c>
    </row>
    <row r="2" spans="1:13">
      <c r="A2" s="319" t="s">
        <v>898</v>
      </c>
      <c r="B2" s="319" t="s">
        <v>1544</v>
      </c>
      <c r="C2" s="319" t="s">
        <v>883</v>
      </c>
      <c r="D2" s="319" t="s">
        <v>1557</v>
      </c>
      <c r="E2" s="319" t="s">
        <v>1155</v>
      </c>
      <c r="F2" s="319" t="s">
        <v>898</v>
      </c>
      <c r="G2" s="319" t="s">
        <v>411</v>
      </c>
      <c r="H2" s="317" t="str">
        <f t="shared" ref="H2" si="0">VLOOKUP(E2,tbl_RolePAlookup,2,FALSE)</f>
        <v>[4] Engineering</v>
      </c>
      <c r="I2" s="535">
        <f t="shared" ref="I2" si="1">VLOOKUP(C2,tbl_PAcount,L$1+1,FALSE)</f>
        <v>10</v>
      </c>
    </row>
    <row r="3" spans="1:13">
      <c r="A3" s="319" t="s">
        <v>898</v>
      </c>
      <c r="B3" s="319" t="s">
        <v>1544</v>
      </c>
      <c r="C3" s="319" t="s">
        <v>884</v>
      </c>
      <c r="D3" s="319" t="s">
        <v>1556</v>
      </c>
      <c r="E3" s="319" t="s">
        <v>913</v>
      </c>
      <c r="F3" s="319" t="s">
        <v>898</v>
      </c>
      <c r="G3" s="319" t="s">
        <v>411</v>
      </c>
      <c r="H3" s="317" t="str">
        <f t="shared" ref="H3:H18" si="2">VLOOKUP(E3,tbl_RolePAlookup,2,FALSE)</f>
        <v>[4] Engineering</v>
      </c>
      <c r="I3" s="535">
        <f t="shared" ref="I3:I18" si="3">VLOOKUP(C3,tbl_PAcount,L$1+1,FALSE)</f>
        <v>10</v>
      </c>
    </row>
    <row r="4" spans="1:13">
      <c r="A4" s="319" t="s">
        <v>899</v>
      </c>
      <c r="B4" s="319" t="s">
        <v>1545</v>
      </c>
      <c r="C4" s="319" t="s">
        <v>885</v>
      </c>
      <c r="D4" s="319" t="s">
        <v>1560</v>
      </c>
      <c r="E4" s="319" t="s">
        <v>912</v>
      </c>
      <c r="F4" s="319" t="s">
        <v>899</v>
      </c>
      <c r="G4" s="319" t="s">
        <v>411</v>
      </c>
      <c r="H4" s="317" t="str">
        <f t="shared" si="2"/>
        <v>[4] Engineering</v>
      </c>
      <c r="I4" s="535">
        <f t="shared" si="3"/>
        <v>6</v>
      </c>
    </row>
    <row r="5" spans="1:13">
      <c r="A5" s="319" t="s">
        <v>899</v>
      </c>
      <c r="B5" s="319" t="s">
        <v>1545</v>
      </c>
      <c r="C5" s="319" t="s">
        <v>886</v>
      </c>
      <c r="D5" s="319" t="s">
        <v>1560</v>
      </c>
      <c r="E5" s="319" t="s">
        <v>912</v>
      </c>
      <c r="F5" s="319" t="s">
        <v>899</v>
      </c>
      <c r="G5" s="319" t="s">
        <v>411</v>
      </c>
      <c r="H5" s="317" t="str">
        <f t="shared" si="2"/>
        <v>[4] Engineering</v>
      </c>
      <c r="I5" s="535">
        <f t="shared" si="3"/>
        <v>14</v>
      </c>
    </row>
    <row r="6" spans="1:13">
      <c r="A6" s="319" t="s">
        <v>899</v>
      </c>
      <c r="B6" s="319" t="s">
        <v>1545</v>
      </c>
      <c r="C6" s="319" t="s">
        <v>887</v>
      </c>
      <c r="D6" s="319" t="s">
        <v>1562</v>
      </c>
      <c r="E6" s="319" t="s">
        <v>1155</v>
      </c>
      <c r="F6" s="319" t="s">
        <v>899</v>
      </c>
      <c r="G6" s="319" t="s">
        <v>411</v>
      </c>
      <c r="H6" s="317" t="str">
        <f t="shared" si="2"/>
        <v>[4] Engineering</v>
      </c>
      <c r="I6" s="535">
        <f t="shared" si="3"/>
        <v>7</v>
      </c>
    </row>
    <row r="7" spans="1:13">
      <c r="A7" s="319" t="s">
        <v>900</v>
      </c>
      <c r="B7" s="319" t="s">
        <v>1547</v>
      </c>
      <c r="C7" s="319" t="s">
        <v>892</v>
      </c>
      <c r="D7" s="319" t="s">
        <v>1569</v>
      </c>
      <c r="E7" s="319" t="s">
        <v>1369</v>
      </c>
      <c r="F7" s="319" t="s">
        <v>900</v>
      </c>
      <c r="G7" s="319" t="s">
        <v>411</v>
      </c>
      <c r="H7" s="317" t="str">
        <f t="shared" si="2"/>
        <v>[3] Project Management</v>
      </c>
      <c r="I7" s="535">
        <f t="shared" si="3"/>
        <v>6</v>
      </c>
    </row>
    <row r="8" spans="1:13">
      <c r="A8" s="319" t="s">
        <v>900</v>
      </c>
      <c r="B8" s="319" t="s">
        <v>1547</v>
      </c>
      <c r="C8" s="319" t="s">
        <v>893</v>
      </c>
      <c r="D8" s="319" t="s">
        <v>1569</v>
      </c>
      <c r="E8" s="319" t="s">
        <v>1369</v>
      </c>
      <c r="F8" s="319" t="s">
        <v>900</v>
      </c>
      <c r="G8" s="319" t="s">
        <v>411</v>
      </c>
      <c r="H8" s="317" t="str">
        <f t="shared" si="2"/>
        <v>[3] Project Management</v>
      </c>
      <c r="I8" s="535">
        <f t="shared" si="3"/>
        <v>10</v>
      </c>
    </row>
    <row r="9" spans="1:13">
      <c r="A9" s="319" t="s">
        <v>900</v>
      </c>
      <c r="B9" s="319" t="s">
        <v>1547</v>
      </c>
      <c r="C9" s="319" t="s">
        <v>894</v>
      </c>
      <c r="D9" s="319" t="s">
        <v>1569</v>
      </c>
      <c r="E9" s="319" t="s">
        <v>1369</v>
      </c>
      <c r="F9" s="319" t="s">
        <v>900</v>
      </c>
      <c r="G9" s="319" t="s">
        <v>411</v>
      </c>
      <c r="H9" s="317" t="str">
        <f t="shared" si="2"/>
        <v>[3] Project Management</v>
      </c>
      <c r="I9" s="535">
        <f t="shared" si="3"/>
        <v>15</v>
      </c>
    </row>
    <row r="10" spans="1:13">
      <c r="A10" s="319" t="s">
        <v>901</v>
      </c>
      <c r="B10" s="319" t="s">
        <v>1549</v>
      </c>
      <c r="C10" s="319" t="s">
        <v>891</v>
      </c>
      <c r="D10" s="319" t="s">
        <v>1574</v>
      </c>
      <c r="E10" s="319" t="s">
        <v>1369</v>
      </c>
      <c r="F10" s="319" t="s">
        <v>901</v>
      </c>
      <c r="G10" s="319" t="s">
        <v>411</v>
      </c>
      <c r="H10" s="317" t="str">
        <f t="shared" si="2"/>
        <v>[3] Project Management</v>
      </c>
      <c r="I10" s="535">
        <f t="shared" si="3"/>
        <v>8</v>
      </c>
    </row>
    <row r="11" spans="1:13">
      <c r="A11" s="319" t="s">
        <v>903</v>
      </c>
      <c r="B11" s="319" t="s">
        <v>1360</v>
      </c>
      <c r="C11" s="319" t="s">
        <v>751</v>
      </c>
      <c r="D11" s="319" t="s">
        <v>1575</v>
      </c>
      <c r="E11" s="319" t="s">
        <v>1368</v>
      </c>
      <c r="F11" s="319" t="s">
        <v>903</v>
      </c>
      <c r="G11" s="319" t="s">
        <v>411</v>
      </c>
      <c r="H11" s="317" t="str">
        <f t="shared" si="2"/>
        <v>[5] Configuration Management</v>
      </c>
      <c r="I11" s="535">
        <f t="shared" si="3"/>
        <v>7</v>
      </c>
    </row>
    <row r="12" spans="1:13">
      <c r="A12" s="319" t="s">
        <v>904</v>
      </c>
      <c r="B12" s="319" t="s">
        <v>1361</v>
      </c>
      <c r="C12" s="319" t="s">
        <v>895</v>
      </c>
      <c r="D12" s="319" t="s">
        <v>1671</v>
      </c>
      <c r="E12" s="319" t="s">
        <v>1670</v>
      </c>
      <c r="F12" s="319" t="s">
        <v>904</v>
      </c>
      <c r="G12" s="319" t="s">
        <v>411</v>
      </c>
      <c r="H12" s="317" t="str">
        <f t="shared" si="2"/>
        <v>[6] Process Management</v>
      </c>
      <c r="I12" s="535">
        <f t="shared" si="3"/>
        <v>11</v>
      </c>
    </row>
    <row r="13" spans="1:13">
      <c r="A13" s="319" t="s">
        <v>904</v>
      </c>
      <c r="B13" s="319" t="s">
        <v>1361</v>
      </c>
      <c r="C13" s="319" t="s">
        <v>896</v>
      </c>
      <c r="D13" s="319" t="s">
        <v>1576</v>
      </c>
      <c r="E13" s="319" t="s">
        <v>1370</v>
      </c>
      <c r="F13" s="319" t="s">
        <v>904</v>
      </c>
      <c r="G13" s="319" t="s">
        <v>411</v>
      </c>
      <c r="H13" s="317" t="str">
        <f t="shared" si="2"/>
        <v>[6] Process Management</v>
      </c>
      <c r="I13" s="535">
        <f t="shared" si="3"/>
        <v>8</v>
      </c>
    </row>
    <row r="14" spans="1:13">
      <c r="A14" s="319" t="s">
        <v>904</v>
      </c>
      <c r="B14" s="319" t="s">
        <v>1361</v>
      </c>
      <c r="C14" s="319" t="s">
        <v>888</v>
      </c>
      <c r="D14" s="319" t="s">
        <v>1671</v>
      </c>
      <c r="E14" s="319" t="s">
        <v>1670</v>
      </c>
      <c r="F14" s="319" t="s">
        <v>904</v>
      </c>
      <c r="G14" s="319" t="s">
        <v>411</v>
      </c>
      <c r="H14" s="317" t="str">
        <f t="shared" si="2"/>
        <v>[6] Process Management</v>
      </c>
      <c r="I14" s="535">
        <f t="shared" si="3"/>
        <v>22</v>
      </c>
    </row>
    <row r="15" spans="1:13">
      <c r="A15" s="319" t="s">
        <v>904</v>
      </c>
      <c r="B15" s="319" t="s">
        <v>1361</v>
      </c>
      <c r="C15" s="319" t="s">
        <v>889</v>
      </c>
      <c r="D15" s="319" t="s">
        <v>1576</v>
      </c>
      <c r="E15" s="319" t="s">
        <v>1370</v>
      </c>
      <c r="F15" s="319" t="s">
        <v>904</v>
      </c>
      <c r="G15" s="319" t="s">
        <v>411</v>
      </c>
      <c r="H15" s="317" t="str">
        <f t="shared" si="2"/>
        <v>[6] Process Management</v>
      </c>
      <c r="I15" s="535">
        <f t="shared" si="3"/>
        <v>11</v>
      </c>
    </row>
    <row r="16" spans="1:13">
      <c r="A16" s="319" t="s">
        <v>904</v>
      </c>
      <c r="B16" s="319" t="s">
        <v>1361</v>
      </c>
      <c r="C16" s="319" t="s">
        <v>890</v>
      </c>
      <c r="D16" s="319" t="s">
        <v>1576</v>
      </c>
      <c r="E16" s="319" t="s">
        <v>1370</v>
      </c>
      <c r="F16" s="319" t="s">
        <v>904</v>
      </c>
      <c r="G16" s="319" t="s">
        <v>411</v>
      </c>
      <c r="H16" s="317" t="str">
        <f t="shared" si="2"/>
        <v>[6] Process Management</v>
      </c>
      <c r="I16" s="535">
        <f t="shared" si="3"/>
        <v>11</v>
      </c>
    </row>
    <row r="17" spans="1:9">
      <c r="A17" s="319" t="s">
        <v>905</v>
      </c>
      <c r="B17" s="319" t="s">
        <v>1362</v>
      </c>
      <c r="C17" s="319" t="s">
        <v>753</v>
      </c>
      <c r="D17" s="319" t="s">
        <v>1577</v>
      </c>
      <c r="E17" s="319" t="s">
        <v>1367</v>
      </c>
      <c r="F17" s="319" t="s">
        <v>905</v>
      </c>
      <c r="G17" s="319" t="s">
        <v>411</v>
      </c>
      <c r="H17" s="317" t="str">
        <f t="shared" si="2"/>
        <v>[7] Organisational Training</v>
      </c>
      <c r="I17" s="535">
        <f t="shared" si="3"/>
        <v>9</v>
      </c>
    </row>
    <row r="18" spans="1:9">
      <c r="A18" s="319" t="s">
        <v>906</v>
      </c>
      <c r="B18" s="319" t="s">
        <v>1363</v>
      </c>
      <c r="C18" s="319" t="s">
        <v>836</v>
      </c>
      <c r="D18" s="319" t="s">
        <v>1578</v>
      </c>
      <c r="E18" s="319" t="s">
        <v>1250</v>
      </c>
      <c r="F18" s="319" t="s">
        <v>906</v>
      </c>
      <c r="G18" s="319" t="s">
        <v>411</v>
      </c>
      <c r="H18" s="317" t="str">
        <f t="shared" si="2"/>
        <v>[8] Process Quality Assurance</v>
      </c>
      <c r="I18" s="535">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1206</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Full team: ATM-1 / ATM-2 / ATM-3 / ATM-4 /ATM-5 / ATM-6 / ATM-7 / ATM-8</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t="str">
        <f>'P1PA-SS'!B95</f>
        <v>ATM-5</v>
      </c>
      <c r="M15" s="136"/>
      <c r="N15" s="67"/>
      <c r="O15" s="67"/>
      <c r="P15" s="67"/>
    </row>
    <row r="16" spans="1:16">
      <c r="A16" s="443" t="str">
        <f>J4</f>
        <v>Day 3</v>
      </c>
      <c r="B16" s="443"/>
      <c r="C16" s="444">
        <f>I4</f>
        <v>44298</v>
      </c>
      <c r="D16" s="444"/>
      <c r="E16" s="444"/>
      <c r="F16" s="443" t="str">
        <f>A16</f>
        <v>Day 3</v>
      </c>
      <c r="G16" s="443"/>
      <c r="H16" s="65"/>
      <c r="I16" s="135"/>
      <c r="K16" s="139"/>
      <c r="L16" s="135" t="str">
        <f>'P1PA-SS'!B96</f>
        <v>ATM-6</v>
      </c>
      <c r="M16" s="136"/>
      <c r="N16" s="67"/>
      <c r="O16" s="67"/>
      <c r="P16" s="67"/>
    </row>
    <row r="17" spans="1:18" ht="29">
      <c r="A17" s="443" t="s">
        <v>931</v>
      </c>
      <c r="B17" s="443"/>
      <c r="C17" s="71" t="str">
        <f>C4</f>
        <v>Mini team 1:ATM-5 / ATM-6 / ATM-7</v>
      </c>
      <c r="D17" s="71" t="str">
        <f>D4</f>
        <v>Full team: ATM-1 / ATM-2 / ATM-3 / ATM-4 /ATM-5 / ATM-6 / ATM-7 / ATM-8</v>
      </c>
      <c r="E17" s="71"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5" t="s">
        <v>987</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Full team: ATM-1 / ATM-2 / ATM-3 / ATM-4 /ATM-5 / ATM-6 / ATM-7 / ATM-8</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Full team: ATM-1 / ATM-2 / ATM-3 / ATM-4 /ATM-5 / ATM-6 / ATM-7 / ATM-8</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Full team: ATM-1 / ATM-2 / ATM-3 / ATM-4 /ATM-5 / ATM-6 / ATM-7 / ATM-8</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Full team: ATM-1 / ATM-2 / ATM-3 / ATM-4 /ATM-5 / ATM-6 / ATM-7 / ATM-8</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1207</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49.5" customHeight="1">
      <c r="A4" s="436" t="s">
        <v>931</v>
      </c>
      <c r="B4" s="436"/>
      <c r="C4" s="231" t="str">
        <f>'Schedule4-1P'!C4</f>
        <v>Mini team 1:ATM-5 / ATM-6 / ATM-7</v>
      </c>
      <c r="D4" s="231" t="str">
        <f>'Schedule4-1P'!D4</f>
        <v>Full team: ATM-1 / ATM-2 / ATM-3 / ATM-4 /ATM-5 / ATM-6 / ATM-7 / ATM-8</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K15" s="139"/>
      <c r="L15" s="135" t="str">
        <f>'P1PA-SS'!B95</f>
        <v>ATM-5</v>
      </c>
      <c r="M15" s="136"/>
      <c r="N15" s="67"/>
      <c r="O15" s="67"/>
      <c r="P15" s="67"/>
    </row>
    <row r="16" spans="1:16">
      <c r="A16" s="443" t="str">
        <f>J4</f>
        <v>Day 3</v>
      </c>
      <c r="B16" s="443"/>
      <c r="C16" s="444">
        <f>I4</f>
        <v>44298</v>
      </c>
      <c r="D16" s="444"/>
      <c r="E16" s="444"/>
      <c r="F16" s="443" t="str">
        <f>A16</f>
        <v>Day 3</v>
      </c>
      <c r="G16" s="443"/>
      <c r="H16" s="65"/>
      <c r="K16" s="139"/>
      <c r="L16" s="135" t="str">
        <f>'P1PA-SS'!B96</f>
        <v>ATM-6</v>
      </c>
      <c r="M16" s="136"/>
      <c r="N16" s="67"/>
      <c r="O16" s="67"/>
      <c r="P16" s="67"/>
    </row>
    <row r="17" spans="1:18" ht="29">
      <c r="A17" s="443" t="s">
        <v>931</v>
      </c>
      <c r="B17" s="443"/>
      <c r="C17" s="233" t="str">
        <f>C4</f>
        <v>Mini team 1:ATM-5 / ATM-6 / ATM-7</v>
      </c>
      <c r="D17" s="233" t="str">
        <f>D4</f>
        <v>Full team: ATM-1 / ATM-2 / ATM-3 / ATM-4 /ATM-5 / ATM-6 / ATM-7 / ATM-8</v>
      </c>
      <c r="E17" s="233"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0" t="s">
        <v>987</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1128</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Full team: ATM-1 / ATM-2 / ATM-3 / ATM-4 /ATM-5 / ATM-6 / ATM-7 / ATM-8</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1128</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Full team: ATM-1 / ATM-2 / ATM-3 / ATM-4 /ATM-5 / ATM-6 / ATM-7 / ATM-8</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1127</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Full team: ATM-1 / ATM-2 / ATM-3 / ATM-4 /ATM-5 / ATM-6 / ATM-7 / ATM-8</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1127</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Full team: ATM-1 / ATM-2 / ATM-3 / ATM-4 /ATM-5 / ATM-6 / ATM-7 / ATM-8</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77" t="s">
        <v>1455</v>
      </c>
      <c r="C3" s="337" t="s">
        <v>1456</v>
      </c>
      <c r="D3" s="338" t="s">
        <v>1457</v>
      </c>
      <c r="E3" s="338" t="s">
        <v>1457</v>
      </c>
      <c r="F3" s="478" t="s">
        <v>1458</v>
      </c>
      <c r="G3" s="478" t="s">
        <v>1459</v>
      </c>
      <c r="H3" s="339">
        <f t="shared" ref="H3:H19" si="1">+A3-0.25</f>
        <v>0.16666666666666702</v>
      </c>
    </row>
    <row r="4" spans="1:8">
      <c r="A4" s="336">
        <v>0.4375</v>
      </c>
      <c r="B4" s="477"/>
      <c r="C4" s="340" t="s">
        <v>1460</v>
      </c>
      <c r="D4" s="479" t="s">
        <v>1461</v>
      </c>
      <c r="E4" s="479" t="s">
        <v>1462</v>
      </c>
      <c r="F4" s="478"/>
      <c r="G4" s="478"/>
      <c r="H4" s="339">
        <f t="shared" si="1"/>
        <v>0.1875</v>
      </c>
    </row>
    <row r="5" spans="1:8">
      <c r="A5" s="336">
        <v>0.45833333333333398</v>
      </c>
      <c r="B5" s="480" t="s">
        <v>1463</v>
      </c>
      <c r="C5" s="481" t="s">
        <v>1464</v>
      </c>
      <c r="D5" s="479"/>
      <c r="E5" s="479"/>
      <c r="F5" s="478"/>
      <c r="G5" s="478"/>
      <c r="H5" s="339">
        <f t="shared" si="1"/>
        <v>0.20833333333333398</v>
      </c>
    </row>
    <row r="6" spans="1:8">
      <c r="A6" s="336">
        <v>0.47916666666666702</v>
      </c>
      <c r="B6" s="480"/>
      <c r="C6" s="481"/>
      <c r="D6" s="479"/>
      <c r="E6" s="479"/>
      <c r="F6" s="478"/>
      <c r="G6" s="337" t="s">
        <v>1460</v>
      </c>
      <c r="H6" s="339">
        <f t="shared" si="1"/>
        <v>0.22916666666666702</v>
      </c>
    </row>
    <row r="7" spans="1:8">
      <c r="A7" s="336">
        <v>0.5</v>
      </c>
      <c r="B7" s="480"/>
      <c r="C7" s="479" t="s">
        <v>1465</v>
      </c>
      <c r="D7" s="479"/>
      <c r="E7" s="479"/>
      <c r="F7" s="482" t="s">
        <v>938</v>
      </c>
      <c r="G7" s="482" t="s">
        <v>938</v>
      </c>
      <c r="H7" s="339">
        <f t="shared" si="1"/>
        <v>0.25</v>
      </c>
    </row>
    <row r="8" spans="1:8" ht="29">
      <c r="A8" s="336">
        <v>0.52083333333333404</v>
      </c>
      <c r="B8" s="341" t="s">
        <v>1455</v>
      </c>
      <c r="C8" s="479"/>
      <c r="D8" s="479"/>
      <c r="E8" s="479"/>
      <c r="F8" s="482"/>
      <c r="G8" s="482"/>
      <c r="H8" s="339">
        <f t="shared" si="1"/>
        <v>0.27083333333333404</v>
      </c>
    </row>
    <row r="9" spans="1:8">
      <c r="A9" s="336">
        <v>0.54166666666666696</v>
      </c>
      <c r="B9" s="483" t="s">
        <v>938</v>
      </c>
      <c r="C9" s="482" t="s">
        <v>938</v>
      </c>
      <c r="D9" s="482" t="s">
        <v>938</v>
      </c>
      <c r="E9" s="482" t="s">
        <v>938</v>
      </c>
      <c r="F9" s="337" t="s">
        <v>1460</v>
      </c>
      <c r="G9" s="481" t="s">
        <v>795</v>
      </c>
      <c r="H9" s="339">
        <f t="shared" si="1"/>
        <v>0.29166666666666696</v>
      </c>
    </row>
    <row r="10" spans="1:8">
      <c r="A10" s="336">
        <v>0.5625</v>
      </c>
      <c r="B10" s="483"/>
      <c r="C10" s="482"/>
      <c r="D10" s="482"/>
      <c r="E10" s="482"/>
      <c r="F10" s="481" t="s">
        <v>1466</v>
      </c>
      <c r="G10" s="481"/>
      <c r="H10" s="339">
        <f t="shared" si="1"/>
        <v>0.3125</v>
      </c>
    </row>
    <row r="11" spans="1:8">
      <c r="A11" s="336">
        <v>0.58333333333333304</v>
      </c>
      <c r="B11" s="477" t="s">
        <v>1467</v>
      </c>
      <c r="C11" s="479" t="s">
        <v>1468</v>
      </c>
      <c r="D11" s="479" t="s">
        <v>1469</v>
      </c>
      <c r="E11" s="479" t="s">
        <v>1470</v>
      </c>
      <c r="F11" s="481"/>
      <c r="G11" s="478" t="s">
        <v>1471</v>
      </c>
      <c r="H11" s="339">
        <f t="shared" si="1"/>
        <v>0.33333333333333304</v>
      </c>
    </row>
    <row r="12" spans="1:8">
      <c r="A12" s="336">
        <v>0.60416666666666696</v>
      </c>
      <c r="B12" s="477"/>
      <c r="C12" s="479"/>
      <c r="D12" s="479"/>
      <c r="E12" s="479"/>
      <c r="F12" s="481" t="s">
        <v>1472</v>
      </c>
      <c r="G12" s="478"/>
      <c r="H12" s="339">
        <f t="shared" si="1"/>
        <v>0.35416666666666696</v>
      </c>
    </row>
    <row r="13" spans="1:8">
      <c r="A13" s="336">
        <v>0.625</v>
      </c>
      <c r="B13" s="477"/>
      <c r="C13" s="479"/>
      <c r="D13" s="479" t="s">
        <v>1473</v>
      </c>
      <c r="E13" s="479"/>
      <c r="F13" s="481"/>
      <c r="G13" s="478"/>
      <c r="H13" s="339">
        <f t="shared" si="1"/>
        <v>0.375</v>
      </c>
    </row>
    <row r="14" spans="1:8">
      <c r="A14" s="336">
        <v>0.64583333333333304</v>
      </c>
      <c r="B14" s="477"/>
      <c r="C14" s="479"/>
      <c r="D14" s="479"/>
      <c r="E14" s="479"/>
      <c r="F14" s="478" t="s">
        <v>1459</v>
      </c>
      <c r="G14" s="484" t="s">
        <v>1474</v>
      </c>
      <c r="H14" s="339">
        <f t="shared" si="1"/>
        <v>0.39583333333333304</v>
      </c>
    </row>
    <row r="15" spans="1:8">
      <c r="A15" s="336">
        <v>0.66666666666666696</v>
      </c>
      <c r="B15" s="477"/>
      <c r="C15" s="340" t="s">
        <v>1460</v>
      </c>
      <c r="D15" s="479"/>
      <c r="E15" s="478" t="s">
        <v>1458</v>
      </c>
      <c r="F15" s="478"/>
      <c r="G15" s="484"/>
      <c r="H15" s="339">
        <f t="shared" si="1"/>
        <v>0.41666666666666696</v>
      </c>
    </row>
    <row r="16" spans="1:8">
      <c r="A16" s="336">
        <v>0.6875</v>
      </c>
      <c r="B16" s="477"/>
      <c r="C16" s="479" t="s">
        <v>1475</v>
      </c>
      <c r="D16" s="479" t="s">
        <v>1476</v>
      </c>
      <c r="E16" s="478"/>
      <c r="F16" s="478"/>
      <c r="G16" s="484"/>
      <c r="H16" s="339">
        <f t="shared" si="1"/>
        <v>0.4375</v>
      </c>
    </row>
    <row r="17" spans="1:8">
      <c r="A17" s="336">
        <v>0.70833333333333304</v>
      </c>
      <c r="B17" s="342" t="s">
        <v>1477</v>
      </c>
      <c r="C17" s="479"/>
      <c r="D17" s="479"/>
      <c r="E17" s="478"/>
      <c r="F17" s="478"/>
      <c r="G17" s="484"/>
      <c r="H17" s="339">
        <f t="shared" si="1"/>
        <v>0.45833333333333304</v>
      </c>
    </row>
    <row r="18" spans="1:8">
      <c r="A18" s="336">
        <v>0.72916666666666663</v>
      </c>
      <c r="B18" s="343" t="s">
        <v>1457</v>
      </c>
      <c r="C18" s="338" t="s">
        <v>1457</v>
      </c>
      <c r="D18" s="338" t="s">
        <v>1457</v>
      </c>
      <c r="E18" s="338" t="s">
        <v>1457</v>
      </c>
      <c r="F18" s="338" t="s">
        <v>1457</v>
      </c>
      <c r="G18" s="484"/>
      <c r="H18" s="339">
        <f t="shared" si="1"/>
        <v>0.47916666666666663</v>
      </c>
    </row>
    <row r="19" spans="1:8" ht="15" thickBot="1">
      <c r="A19" s="344">
        <v>0.75</v>
      </c>
      <c r="B19" s="485" t="s">
        <v>940</v>
      </c>
      <c r="C19" s="486"/>
      <c r="D19" s="486"/>
      <c r="E19" s="486"/>
      <c r="F19" s="486"/>
      <c r="G19" s="486"/>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77" t="s">
        <v>1455</v>
      </c>
      <c r="C23" s="337" t="s">
        <v>1456</v>
      </c>
      <c r="D23" s="338" t="s">
        <v>1457</v>
      </c>
      <c r="E23" s="338" t="s">
        <v>1457</v>
      </c>
      <c r="F23" s="487" t="s">
        <v>1458</v>
      </c>
      <c r="G23" s="487" t="s">
        <v>1459</v>
      </c>
      <c r="H23" s="339">
        <f t="shared" ref="H23:H39" si="3">+A23-0.25</f>
        <v>0.16666666666666702</v>
      </c>
    </row>
    <row r="24" spans="1:8">
      <c r="A24" s="336">
        <v>0.4375</v>
      </c>
      <c r="B24" s="477"/>
      <c r="C24" s="340" t="s">
        <v>1460</v>
      </c>
      <c r="D24" s="479" t="s">
        <v>1461</v>
      </c>
      <c r="E24" s="479" t="s">
        <v>1462</v>
      </c>
      <c r="F24" s="488"/>
      <c r="G24" s="488"/>
      <c r="H24" s="339">
        <f t="shared" si="3"/>
        <v>0.1875</v>
      </c>
    </row>
    <row r="25" spans="1:8">
      <c r="A25" s="336">
        <v>0.45833333333333398</v>
      </c>
      <c r="B25" s="480" t="s">
        <v>1463</v>
      </c>
      <c r="C25" s="481" t="s">
        <v>1464</v>
      </c>
      <c r="D25" s="479"/>
      <c r="E25" s="479"/>
      <c r="F25" s="488"/>
      <c r="G25" s="488"/>
      <c r="H25" s="339">
        <f t="shared" si="3"/>
        <v>0.20833333333333398</v>
      </c>
    </row>
    <row r="26" spans="1:8">
      <c r="A26" s="336">
        <v>0.47916666666666702</v>
      </c>
      <c r="B26" s="480"/>
      <c r="C26" s="481"/>
      <c r="D26" s="479"/>
      <c r="E26" s="479"/>
      <c r="F26" s="488"/>
      <c r="G26" s="488"/>
      <c r="H26" s="339">
        <f t="shared" si="3"/>
        <v>0.22916666666666702</v>
      </c>
    </row>
    <row r="27" spans="1:8">
      <c r="A27" s="336">
        <v>0.5</v>
      </c>
      <c r="B27" s="480"/>
      <c r="C27" s="479" t="s">
        <v>1465</v>
      </c>
      <c r="D27" s="479"/>
      <c r="E27" s="479"/>
      <c r="F27" s="488"/>
      <c r="G27" s="488"/>
      <c r="H27" s="339">
        <f t="shared" si="3"/>
        <v>0.25</v>
      </c>
    </row>
    <row r="28" spans="1:8" ht="29">
      <c r="A28" s="336">
        <v>0.52083333333333404</v>
      </c>
      <c r="B28" s="341" t="s">
        <v>1455</v>
      </c>
      <c r="C28" s="479"/>
      <c r="D28" s="479"/>
      <c r="E28" s="479"/>
      <c r="F28" s="489"/>
      <c r="G28" s="489"/>
      <c r="H28" s="339">
        <f t="shared" si="3"/>
        <v>0.27083333333333404</v>
      </c>
    </row>
    <row r="29" spans="1:8">
      <c r="A29" s="336">
        <v>0.54166666666666696</v>
      </c>
      <c r="B29" s="483" t="s">
        <v>938</v>
      </c>
      <c r="C29" s="482" t="s">
        <v>938</v>
      </c>
      <c r="D29" s="482" t="s">
        <v>938</v>
      </c>
      <c r="E29" s="482" t="s">
        <v>938</v>
      </c>
      <c r="F29" s="482" t="s">
        <v>938</v>
      </c>
      <c r="G29" s="482" t="s">
        <v>938</v>
      </c>
      <c r="H29" s="339">
        <f t="shared" si="3"/>
        <v>0.29166666666666696</v>
      </c>
    </row>
    <row r="30" spans="1:8">
      <c r="A30" s="336">
        <v>0.5625</v>
      </c>
      <c r="B30" s="483"/>
      <c r="C30" s="482"/>
      <c r="D30" s="482"/>
      <c r="E30" s="482"/>
      <c r="F30" s="482"/>
      <c r="G30" s="482"/>
      <c r="H30" s="339">
        <f t="shared" si="3"/>
        <v>0.3125</v>
      </c>
    </row>
    <row r="31" spans="1:8">
      <c r="A31" s="336">
        <v>0.58333333333333304</v>
      </c>
      <c r="B31" s="487" t="s">
        <v>1467</v>
      </c>
      <c r="C31" s="479" t="s">
        <v>1468</v>
      </c>
      <c r="D31" s="479" t="s">
        <v>1469</v>
      </c>
      <c r="E31" s="479" t="s">
        <v>1470</v>
      </c>
      <c r="F31" s="338" t="s">
        <v>1460</v>
      </c>
      <c r="G31" s="338" t="s">
        <v>1460</v>
      </c>
      <c r="H31" s="339">
        <f t="shared" si="3"/>
        <v>0.33333333333333304</v>
      </c>
    </row>
    <row r="32" spans="1:8">
      <c r="A32" s="336">
        <v>0.60416666666666696</v>
      </c>
      <c r="B32" s="488"/>
      <c r="C32" s="479"/>
      <c r="D32" s="479"/>
      <c r="E32" s="479"/>
      <c r="F32" s="481" t="s">
        <v>1466</v>
      </c>
      <c r="G32" s="481" t="s">
        <v>795</v>
      </c>
      <c r="H32" s="339">
        <f t="shared" si="3"/>
        <v>0.35416666666666696</v>
      </c>
    </row>
    <row r="33" spans="1:8">
      <c r="A33" s="336">
        <v>0.625</v>
      </c>
      <c r="B33" s="488"/>
      <c r="C33" s="479"/>
      <c r="D33" s="479" t="s">
        <v>1473</v>
      </c>
      <c r="E33" s="479"/>
      <c r="F33" s="481"/>
      <c r="G33" s="481"/>
      <c r="H33" s="339">
        <f t="shared" si="3"/>
        <v>0.375</v>
      </c>
    </row>
    <row r="34" spans="1:8">
      <c r="A34" s="336">
        <v>0.64583333333333304</v>
      </c>
      <c r="B34" s="488"/>
      <c r="C34" s="479"/>
      <c r="D34" s="479"/>
      <c r="E34" s="479"/>
      <c r="F34" s="481" t="s">
        <v>1472</v>
      </c>
      <c r="G34" s="490" t="s">
        <v>1479</v>
      </c>
      <c r="H34" s="339">
        <f t="shared" si="3"/>
        <v>0.39583333333333304</v>
      </c>
    </row>
    <row r="35" spans="1:8">
      <c r="A35" s="336">
        <v>0.66666666666666696</v>
      </c>
      <c r="B35" s="489"/>
      <c r="C35" s="340" t="s">
        <v>1460</v>
      </c>
      <c r="D35" s="479"/>
      <c r="E35" s="478" t="s">
        <v>1458</v>
      </c>
      <c r="F35" s="481"/>
      <c r="G35" s="491"/>
      <c r="H35" s="339">
        <f t="shared" si="3"/>
        <v>0.41666666666666696</v>
      </c>
    </row>
    <row r="36" spans="1:8">
      <c r="A36" s="336">
        <v>0.6875</v>
      </c>
      <c r="B36" s="346" t="s">
        <v>1480</v>
      </c>
      <c r="C36" s="479" t="s">
        <v>1475</v>
      </c>
      <c r="D36" s="479" t="s">
        <v>1476</v>
      </c>
      <c r="E36" s="478"/>
      <c r="F36" s="487" t="s">
        <v>1459</v>
      </c>
      <c r="G36" s="490" t="s">
        <v>1481</v>
      </c>
      <c r="H36" s="339">
        <f t="shared" si="3"/>
        <v>0.4375</v>
      </c>
    </row>
    <row r="37" spans="1:8">
      <c r="A37" s="336">
        <v>0.70833333333333304</v>
      </c>
      <c r="B37" s="342" t="s">
        <v>1477</v>
      </c>
      <c r="C37" s="479"/>
      <c r="D37" s="479"/>
      <c r="E37" s="478"/>
      <c r="F37" s="489"/>
      <c r="G37" s="491"/>
      <c r="H37" s="339">
        <f t="shared" si="3"/>
        <v>0.45833333333333304</v>
      </c>
    </row>
    <row r="38" spans="1:8">
      <c r="A38" s="336">
        <v>0.72916666666666663</v>
      </c>
      <c r="B38" s="343" t="s">
        <v>1457</v>
      </c>
      <c r="C38" s="338" t="s">
        <v>1457</v>
      </c>
      <c r="D38" s="338" t="s">
        <v>1457</v>
      </c>
      <c r="E38" s="338" t="s">
        <v>1457</v>
      </c>
      <c r="F38" s="338" t="s">
        <v>1457</v>
      </c>
      <c r="G38" s="492"/>
      <c r="H38" s="339">
        <f t="shared" si="3"/>
        <v>0.47916666666666663</v>
      </c>
    </row>
    <row r="39" spans="1:8" ht="15" thickBot="1">
      <c r="A39" s="344">
        <v>0.75</v>
      </c>
      <c r="B39" s="485" t="s">
        <v>940</v>
      </c>
      <c r="C39" s="486"/>
      <c r="D39" s="486"/>
      <c r="E39" s="486"/>
      <c r="F39" s="486"/>
      <c r="G39" s="486"/>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6" t="s">
        <v>1086</v>
      </c>
      <c r="C2" s="506" t="s">
        <v>1087</v>
      </c>
      <c r="D2" s="497" t="s">
        <v>1088</v>
      </c>
      <c r="E2" s="499"/>
      <c r="F2" s="500" t="s">
        <v>1089</v>
      </c>
      <c r="G2" s="502"/>
      <c r="H2" s="497" t="s">
        <v>1090</v>
      </c>
      <c r="I2" s="498"/>
      <c r="J2" s="498"/>
      <c r="K2" s="499"/>
      <c r="L2" s="500" t="s">
        <v>1091</v>
      </c>
      <c r="M2" s="501"/>
      <c r="N2" s="502"/>
      <c r="O2" s="210" t="s">
        <v>1092</v>
      </c>
      <c r="P2" s="211" t="s">
        <v>1093</v>
      </c>
      <c r="Q2" s="497" t="s">
        <v>1094</v>
      </c>
      <c r="R2" s="498"/>
      <c r="S2" s="499"/>
      <c r="T2" s="500" t="s">
        <v>1095</v>
      </c>
      <c r="U2" s="501"/>
      <c r="V2" s="502"/>
      <c r="W2" s="207" t="s">
        <v>1096</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4"/>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4"/>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4"/>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5"/>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503"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4"/>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4"/>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4"/>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4"/>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4"/>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4"/>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4"/>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5"/>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4"/>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4"/>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4"/>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4"/>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4"/>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4"/>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5"/>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4"/>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4"/>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4"/>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4"/>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5"/>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3"/>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3"/>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3"/>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496" t="s">
        <v>1086</v>
      </c>
      <c r="C50" s="496" t="s">
        <v>1087</v>
      </c>
      <c r="D50" s="494" t="s">
        <v>1088</v>
      </c>
      <c r="E50" s="494"/>
      <c r="F50" s="495" t="s">
        <v>1089</v>
      </c>
      <c r="G50" s="495"/>
      <c r="H50" s="494" t="s">
        <v>1090</v>
      </c>
      <c r="I50" s="494"/>
      <c r="J50" s="494"/>
      <c r="K50" s="494"/>
      <c r="L50" s="495" t="s">
        <v>1091</v>
      </c>
      <c r="M50" s="495"/>
      <c r="N50" s="495"/>
      <c r="O50" s="210" t="s">
        <v>1092</v>
      </c>
      <c r="P50" s="211" t="s">
        <v>1093</v>
      </c>
      <c r="Q50" s="494" t="s">
        <v>1094</v>
      </c>
      <c r="R50" s="494"/>
      <c r="S50" s="494"/>
      <c r="T50" s="495" t="s">
        <v>1095</v>
      </c>
      <c r="U50" s="495"/>
      <c r="V50" s="495"/>
      <c r="W50" s="207" t="s">
        <v>1096</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493"/>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493"/>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493"/>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493"/>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493"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493"/>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493"/>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493"/>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493"/>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493"/>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493"/>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493"/>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493"/>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493"/>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493"/>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493"/>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493"/>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493"/>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493"/>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493"/>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493"/>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493"/>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493"/>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09" t="str">
        <f>StartupInfo!B3</f>
        <v>Software for Mars (Pty) Ltd</v>
      </c>
      <c r="C2" s="509"/>
      <c r="D2" s="509"/>
      <c r="E2" s="509"/>
      <c r="F2" s="509"/>
      <c r="G2" s="509"/>
      <c r="H2" s="509"/>
      <c r="I2" s="509"/>
      <c r="J2" s="421"/>
      <c r="K2" s="421"/>
    </row>
    <row r="3" spans="1:11" ht="19.5" customHeight="1">
      <c r="B3" s="509" t="str">
        <f>StartupInfo!B4</f>
        <v>Mars</v>
      </c>
      <c r="C3" s="509"/>
      <c r="D3" s="509"/>
      <c r="E3" s="509"/>
      <c r="F3" s="509"/>
      <c r="G3" s="509"/>
      <c r="H3" s="509"/>
      <c r="I3" s="509"/>
      <c r="J3" s="422"/>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2"/>
      <c r="C6" s="422"/>
      <c r="D6" s="422"/>
      <c r="E6" s="422"/>
      <c r="F6" s="422"/>
      <c r="G6" s="422"/>
      <c r="H6" s="422"/>
      <c r="I6" s="422"/>
      <c r="J6" s="422"/>
      <c r="K6" s="236"/>
    </row>
    <row r="7" spans="1:11" s="425" customFormat="1">
      <c r="A7" s="423"/>
      <c r="B7" s="512" t="str">
        <f>CONCATENATE("was rated on ",TEXT(Planning!B33,"dd mmmm yyyy")," at ",Planning!B10)</f>
        <v>was rated on 16 April 2021 at Maturity Level 5</v>
      </c>
      <c r="C7" s="512"/>
      <c r="D7" s="512"/>
      <c r="E7" s="512"/>
      <c r="F7" s="512"/>
      <c r="G7" s="512"/>
      <c r="H7" s="512"/>
      <c r="I7" s="512"/>
      <c r="J7" s="424"/>
      <c r="K7" s="423"/>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1047</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8" t="str">
        <f>'P1PA-SS'!B76</f>
        <v>CMMI Development V2.0 (CMMI-DEV) without SAM</v>
      </c>
      <c r="B2" s="519"/>
      <c r="C2" s="519"/>
      <c r="E2" s="360" t="s">
        <v>1305</v>
      </c>
      <c r="F2" s="360">
        <f>VALUE(RIGHT(Planning!B10,1))</f>
        <v>5</v>
      </c>
      <c r="G2" s="348" t="s">
        <v>1306</v>
      </c>
      <c r="J2" s="518" t="str">
        <f>'P1PA-SS'!B76</f>
        <v>CMMI Development V2.0 (CMMI-DEV) without SAM</v>
      </c>
      <c r="K2" s="519"/>
      <c r="L2" s="519"/>
      <c r="M2" s="519"/>
      <c r="N2" s="519"/>
      <c r="O2" s="519"/>
    </row>
    <row r="3" spans="1:20" s="347" customFormat="1">
      <c r="A3" s="520" t="str">
        <f>'P1PA-SS'!B75</f>
        <v>Maturity Level 5</v>
      </c>
      <c r="B3" s="521"/>
      <c r="C3" s="521"/>
      <c r="D3" s="358"/>
      <c r="E3" s="358"/>
      <c r="F3" s="358"/>
      <c r="G3" s="363"/>
      <c r="H3" s="363"/>
      <c r="I3" s="363"/>
      <c r="J3" s="520" t="str">
        <f>'P1PA-SS'!B75</f>
        <v>Maturity Level 5</v>
      </c>
      <c r="K3" s="521"/>
      <c r="L3" s="521"/>
      <c r="M3" s="521"/>
      <c r="N3" s="521"/>
      <c r="O3" s="521"/>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2"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2"/>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2"/>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2"/>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3"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3"/>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4"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4"/>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4"/>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5"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5"/>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5"/>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16"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16"/>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17"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17"/>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17"/>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6" t="s">
        <v>1125</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3" t="s">
        <v>1118</v>
      </c>
      <c r="C2" s="534"/>
      <c r="D2" s="534"/>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3" t="s">
        <v>1117</v>
      </c>
      <c r="C18" s="534"/>
      <c r="D18" s="534"/>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2021-05-26T09:14:33Z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