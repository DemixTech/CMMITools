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6277370-EB15-433F-AE66-44E8C5C91B08}" xr6:coauthVersionLast="47" xr6:coauthVersionMax="47" xr10:uidLastSave="{00000000-0000-0000-0000-000000000000}"/>
  <bookViews>
    <workbookView xWindow="-120" yWindow="-16320" windowWidth="29040" windowHeight="15720" tabRatio="859" activeTab="4"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concurrentCalc="0"/>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8" i="83" l="1"/>
  <c r="B57" i="83"/>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c r="B152" i="18"/>
  <c r="H18" i="32"/>
  <c r="H17" i="32"/>
  <c r="H16" i="32"/>
  <c r="H15" i="32"/>
  <c r="H14" i="32"/>
  <c r="H13" i="32"/>
  <c r="H12" i="32"/>
  <c r="H11" i="32"/>
  <c r="H10" i="32"/>
  <c r="H9" i="32"/>
  <c r="H8" i="32"/>
  <c r="H7" i="32"/>
  <c r="H6" i="32"/>
  <c r="H5" i="32"/>
  <c r="H4" i="32"/>
  <c r="H3" i="32"/>
  <c r="H2" i="32"/>
  <c r="L18" i="52"/>
  <c r="L17" i="52"/>
  <c r="L16" i="52"/>
  <c r="L15" i="52"/>
  <c r="L14" i="52"/>
  <c r="M11" i="52"/>
  <c r="L13" i="52"/>
  <c r="L12" i="52"/>
  <c r="L11" i="52"/>
  <c r="L15" i="35"/>
  <c r="L16" i="35"/>
  <c r="L17" i="35"/>
  <c r="L18" i="35"/>
  <c r="E25" i="27"/>
  <c r="B25" i="27"/>
  <c r="B34" i="1"/>
  <c r="B16" i="15"/>
  <c r="G15" i="46"/>
  <c r="G14" i="46"/>
  <c r="G13" i="46"/>
  <c r="F11" i="46"/>
  <c r="B5" i="46"/>
  <c r="B4" i="46"/>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c r="G8" i="66"/>
  <c r="I8" i="66"/>
  <c r="J8" i="66"/>
  <c r="L1" i="27"/>
  <c r="R1" i="27"/>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1" i="74"/>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c r="B16" i="47"/>
  <c r="B17" i="47"/>
  <c r="B18" i="47"/>
  <c r="D18" i="44"/>
  <c r="D19" i="44"/>
  <c r="B8" i="44"/>
  <c r="B18" i="44"/>
  <c r="B19" i="44"/>
  <c r="C8" i="44"/>
  <c r="C18" i="44"/>
  <c r="C19" i="44"/>
  <c r="A4" i="44"/>
  <c r="A8" i="44"/>
  <c r="A18" i="44"/>
  <c r="A19" i="44"/>
  <c r="A3" i="44"/>
  <c r="B13" i="47"/>
  <c r="B33" i="47"/>
  <c r="B12" i="47"/>
  <c r="B10" i="47"/>
  <c r="B7" i="47"/>
  <c r="V87" i="15"/>
  <c r="C22" i="44"/>
  <c r="G87" i="15"/>
  <c r="F87" i="15"/>
  <c r="E87" i="15"/>
  <c r="B50" i="24"/>
  <c r="D87" i="15"/>
  <c r="L11" i="35"/>
  <c r="D86" i="15"/>
  <c r="D85" i="15"/>
  <c r="I19" i="38"/>
  <c r="I18" i="38"/>
  <c r="I17" i="38"/>
  <c r="I16" i="38"/>
  <c r="I15" i="38"/>
  <c r="I14" i="38"/>
  <c r="I13" i="38"/>
  <c r="I12" i="38"/>
  <c r="I11" i="38"/>
  <c r="I10" i="38"/>
  <c r="I9" i="38"/>
  <c r="I8" i="38"/>
  <c r="I7" i="38"/>
  <c r="V86" i="15"/>
  <c r="C3" i="44"/>
  <c r="B86" i="15"/>
  <c r="V85" i="15"/>
  <c r="Y85" i="15"/>
  <c r="B85" i="15"/>
  <c r="B77" i="15"/>
  <c r="B76" i="15"/>
  <c r="B75" i="15"/>
  <c r="B4" i="15"/>
  <c r="B14" i="19"/>
  <c r="B38" i="15"/>
  <c r="B31" i="15"/>
  <c r="B32" i="15"/>
  <c r="B33" i="15"/>
  <c r="B34" i="15"/>
  <c r="B26" i="15"/>
  <c r="B41" i="19"/>
  <c r="A15" i="35"/>
  <c r="E4" i="35"/>
  <c r="E17" i="35"/>
  <c r="E36" i="35"/>
  <c r="E55" i="35"/>
  <c r="E74" i="35"/>
  <c r="E93" i="35"/>
  <c r="B64" i="15"/>
  <c r="B16" i="19"/>
  <c r="C115" i="15"/>
  <c r="B33" i="19"/>
  <c r="B23" i="15"/>
  <c r="B19" i="15"/>
  <c r="B22" i="15"/>
  <c r="B55" i="24"/>
  <c r="B54" i="24"/>
  <c r="I87" i="15"/>
  <c r="B49" i="24"/>
  <c r="B87" i="1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4" i="15"/>
  <c r="B47" i="15"/>
  <c r="B100" i="18"/>
  <c r="B90" i="18"/>
  <c r="B5" i="15"/>
  <c r="B2" i="74"/>
  <c r="B3" i="46"/>
  <c r="B65" i="15"/>
  <c r="B7" i="46"/>
  <c r="B20" i="47"/>
  <c r="B27" i="19"/>
  <c r="B15" i="83"/>
  <c r="B31" i="74"/>
  <c r="J11" i="35"/>
  <c r="C4" i="35"/>
  <c r="C4" i="52"/>
  <c r="C17" i="52"/>
  <c r="C36" i="52"/>
  <c r="C55" i="52"/>
  <c r="C74" i="52"/>
  <c r="C93" i="52"/>
  <c r="C17" i="35"/>
  <c r="C36" i="35"/>
  <c r="C55" i="35"/>
  <c r="C74" i="35"/>
  <c r="C93" i="35"/>
  <c r="M11" i="35"/>
  <c r="D4" i="35"/>
  <c r="D4" i="52"/>
  <c r="D17" i="52"/>
  <c r="D36" i="52"/>
  <c r="D55" i="52"/>
  <c r="D74" i="52"/>
  <c r="D93" i="52"/>
  <c r="B24" i="19"/>
  <c r="B6" i="15"/>
  <c r="A2" i="75"/>
  <c r="C73" i="15"/>
  <c r="A3" i="77"/>
  <c r="B5" i="47"/>
  <c r="A2" i="77"/>
  <c r="B22" i="76"/>
  <c r="C22" i="76"/>
  <c r="D22" i="76"/>
  <c r="E22" i="76"/>
  <c r="F22" i="76"/>
  <c r="G22" i="76"/>
  <c r="I4" i="35"/>
  <c r="I5" i="35"/>
  <c r="I6" i="35"/>
  <c r="B21" i="15"/>
  <c r="B28" i="24"/>
  <c r="E2" i="79"/>
  <c r="B27" i="24"/>
  <c r="B31" i="24"/>
  <c r="B8" i="74"/>
  <c r="D17" i="35"/>
  <c r="D36" i="35"/>
  <c r="D55" i="35"/>
  <c r="D74" i="35"/>
  <c r="D93" i="35"/>
  <c r="B6" i="47"/>
  <c r="B20" i="15"/>
  <c r="C44" i="15"/>
  <c r="C83" i="15"/>
  <c r="C90" i="15"/>
  <c r="C109" i="15"/>
  <c r="C4" i="44"/>
  <c r="B3" i="44"/>
  <c r="I4" i="52"/>
  <c r="C16" i="52"/>
  <c r="B17" i="15"/>
  <c r="E4" i="52"/>
  <c r="E17" i="52"/>
  <c r="E36" i="52"/>
  <c r="E55" i="52"/>
  <c r="E74" i="52"/>
  <c r="E93" i="52"/>
  <c r="B4" i="44"/>
  <c r="A22" i="44"/>
  <c r="B32" i="19"/>
  <c r="C106" i="15"/>
  <c r="B22" i="47"/>
  <c r="G24" i="47"/>
  <c r="G27" i="47"/>
  <c r="C2" i="15"/>
  <c r="C15" i="15"/>
  <c r="C112" i="15"/>
  <c r="C118" i="15"/>
  <c r="C30" i="15"/>
  <c r="K3" i="52"/>
  <c r="K3" i="35"/>
  <c r="B63" i="15"/>
  <c r="B48" i="15"/>
  <c r="B34" i="19"/>
  <c r="B66" i="15"/>
  <c r="B11" i="24"/>
  <c r="B35" i="15"/>
  <c r="C5" i="82"/>
  <c r="B26" i="19"/>
  <c r="A2" i="52"/>
  <c r="I3" i="35"/>
  <c r="L3" i="35"/>
  <c r="L4" i="35"/>
  <c r="I3" i="52"/>
  <c r="L3" i="52"/>
  <c r="B2" i="76"/>
  <c r="C2" i="76"/>
  <c r="D2" i="76"/>
  <c r="E2" i="76"/>
  <c r="F2" i="76"/>
  <c r="G2" i="76"/>
  <c r="B21" i="19"/>
  <c r="B20" i="19"/>
  <c r="B23" i="19"/>
  <c r="B80" i="18"/>
  <c r="C35" i="35"/>
  <c r="C16" i="35"/>
  <c r="C3" i="52"/>
  <c r="E16" i="79"/>
  <c r="B4" i="74"/>
  <c r="I5" i="52"/>
  <c r="C35" i="52"/>
  <c r="G23" i="47"/>
  <c r="B21" i="47"/>
  <c r="B36" i="19"/>
  <c r="B38" i="19"/>
  <c r="I7" i="35"/>
  <c r="C54" i="35"/>
  <c r="B24" i="47"/>
  <c r="A2" i="35"/>
  <c r="C3" i="35"/>
  <c r="B38" i="24"/>
  <c r="E5" i="82"/>
  <c r="T4" i="82"/>
  <c r="T5" i="82"/>
  <c r="T6" i="82"/>
  <c r="T7" i="82"/>
  <c r="T8" i="82"/>
  <c r="A3" i="82"/>
  <c r="D5" i="82"/>
  <c r="C4" i="82"/>
  <c r="J3" i="35"/>
  <c r="A3" i="35"/>
  <c r="F3" i="35"/>
  <c r="I6" i="52"/>
  <c r="I7" i="52"/>
  <c r="B69" i="15"/>
  <c r="E3" i="80"/>
  <c r="E4" i="80"/>
  <c r="E5" i="80"/>
  <c r="E6" i="80"/>
  <c r="E7" i="80"/>
  <c r="E8" i="80"/>
  <c r="E9" i="80"/>
  <c r="E10" i="80"/>
  <c r="E11" i="80"/>
  <c r="E12" i="80"/>
  <c r="E13" i="80"/>
  <c r="B70" i="15"/>
  <c r="D27" i="47"/>
  <c r="D28" i="47"/>
  <c r="D29" i="47"/>
  <c r="B6" i="19"/>
  <c r="C54" i="52"/>
  <c r="B101" i="18"/>
  <c r="B102" i="18"/>
  <c r="B56" i="15"/>
  <c r="B57" i="15"/>
  <c r="B76" i="18"/>
  <c r="L5" i="35"/>
  <c r="J4" i="35"/>
  <c r="A16" i="35"/>
  <c r="F16" i="35"/>
  <c r="C73" i="35"/>
  <c r="I8" i="35"/>
  <c r="L4" i="52"/>
  <c r="J3" i="52"/>
  <c r="A3" i="52"/>
  <c r="F3" i="52"/>
  <c r="F5" i="82"/>
  <c r="D4" i="82"/>
  <c r="G5" i="82"/>
  <c r="E4" i="82"/>
  <c r="J4" i="52"/>
  <c r="A16" i="52"/>
  <c r="F16" i="52"/>
  <c r="L5" i="52"/>
  <c r="J5" i="35"/>
  <c r="A35" i="35"/>
  <c r="F35" i="35"/>
  <c r="L6" i="35"/>
  <c r="I9" i="35"/>
  <c r="C92" i="35"/>
  <c r="C73" i="52"/>
  <c r="I8" i="52"/>
  <c r="B52" i="15"/>
  <c r="B53" i="15"/>
  <c r="B91" i="18"/>
  <c r="B92" i="18"/>
  <c r="G4" i="82"/>
  <c r="I5" i="82"/>
  <c r="H5" i="82"/>
  <c r="F4" i="82"/>
  <c r="L6" i="52"/>
  <c r="J5" i="52"/>
  <c r="A35" i="52"/>
  <c r="F35" i="52"/>
  <c r="C92" i="52"/>
  <c r="I9" i="52"/>
  <c r="L7" i="35"/>
  <c r="J6" i="35"/>
  <c r="A54" i="35"/>
  <c r="F54" i="3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<sst xmlns="http://schemas.openxmlformats.org/spreadsheetml/2006/main" count="4366" uniqueCount="1756">
  <si>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</si>
  <si>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</si>
  <si>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</si>
  <si>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</si>
  <si>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</si>
  <si>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</si>
  <si>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</si>
  <si>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</si>
  <si>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</si>
  <si>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</si>
  <si>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</si>
  <si>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</si>
  <si>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</si>
  <si>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</si>
  <si>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</si>
  <si>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</si>
  <si>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</si>
  <si>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</si>
  <si>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</si>
  <si>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</si>
  <si>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</si>
  <si>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</si>
  <si>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</si>
  <si>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</si>
  <si>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</si>
  <si>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</si>
  <si>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</si>
  <si>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</si>
  <si>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</si>
  <si>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</si>
  <si>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</si>
  <si>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</si>
  <si>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</si>
  <si>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</si>
  <si>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</si>
  <si>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</si>
  <si>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</si>
  <si>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</si>
  <si>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</si>
  <si>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</si>
  <si>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</si>
  <si>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</si>
  <si>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</si>
  <si>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</si>
  <si>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</si>
  <si>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</si>
  <si>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</si>
  <si>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</si>
  <si>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</si>
  <si>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</si>
  <si>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</si>
  <si>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</si>
  <si>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</si>
  <si>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</si>
  <si>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</si>
  <si>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</si>
  <si>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</si>
  <si>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</si>
  <si>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</si>
  <si>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</si>
  <si>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</si>
  <si>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</si>
  <si>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</si>
  <si>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</si>
  <si>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</si>
  <si>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</si>
  <si>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</si>
  <si>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</si>
  <si>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</si>
  <si>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</si>
  <si>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</si>
  <si>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</si>
  <si>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</si>
  <si>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</si>
  <si>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</si>
  <si>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</si>
  <si>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</si>
  <si>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</si>
  <si>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</si>
  <si>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</si>
  <si>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</si>
  <si>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</si>
  <si>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</si>
  <si>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</si>
  <si>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</si>
  <si>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</si>
  <si>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</si>
  <si>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</si>
  <si>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</si>
  <si>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</si>
  <si>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</si>
  <si>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</si>
  <si>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</si>
  <si>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</si>
  <si>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</si>
  <si>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</si>
  <si>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</si>
  <si>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</si>
  <si>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</si>
  <si>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</si>
  <si>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</si>
  <si>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</si>
  <si>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</si>
  <si>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</si>
  <si>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</si>
  <si>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</si>
  <si>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</si>
  <si>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</si>
  <si>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</si>
  <si>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</si>
  <si>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</si>
  <si>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</si>
  <si>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</si>
  <si>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</si>
  <si>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</si>
  <si>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</si>
  <si>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</si>
  <si>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</si>
  <si>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</si>
  <si>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</si>
  <si>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</si>
  <si>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</si>
  <si>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</si>
  <si>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</si>
  <si>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</si>
  <si>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</si>
  <si>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</si>
  <si>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</si>
  <si>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</si>
  <si>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</si>
  <si>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</si>
  <si>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</si>
  <si>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</si>
  <si>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</si>
  <si>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</si>
  <si>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</si>
  <si>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</si>
  <si>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</si>
  <si>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</si>
  <si>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</si>
  <si>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</si>
  <si>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</si>
  <si>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</si>
  <si>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</si>
  <si>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</si>
  <si>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</si>
  <si>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</si>
  <si>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</si>
  <si>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</si>
  <si>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</si>
  <si>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</si>
  <si>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</si>
  <si>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</si>
  <si>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</si>
  <si>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</si>
  <si>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</si>
  <si>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</si>
  <si>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</si>
  <si>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</si>
  <si>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</si>
  <si>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</si>
  <si>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</si>
  <si>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</si>
  <si>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</si>
  <si>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</si>
  <si>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</si>
  <si>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</si>
  <si>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</si>
  <si>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</si>
  <si>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</si>
  <si>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</si>
  <si>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</si>
  <si>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</si>
  <si>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</si>
  <si>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</si>
  <si>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</si>
  <si>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</si>
  <si>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</si>
  <si>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</si>
  <si>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</si>
  <si>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</si>
  <si>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</si>
  <si>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</si>
  <si>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</si>
  <si>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</si>
  <si>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</si>
  <si>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</si>
  <si>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</si>
  <si>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</si>
  <si>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</si>
  <si>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</si>
  <si>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</si>
  <si>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</si>
  <si>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</si>
  <si>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</si>
  <si>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</si>
  <si>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</si>
  <si>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</si>
  <si>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</si>
  <si>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</si>
  <si>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</si>
  <si>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</si>
  <si>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</si>
  <si>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</si>
  <si>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</si>
  <si>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</si>
  <si>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</si>
  <si>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</si>
  <si>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</si>
  <si>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</si>
  <si>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</si>
  <si>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</si>
  <si>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</si>
  <si>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</si>
  <si>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</si>
  <si>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</si>
  <si>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</si>
  <si>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</si>
  <si>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</si>
  <si>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</si>
  <si>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</si>
  <si>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</si>
  <si>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</si>
  <si>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</si>
  <si>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</si>
  <si>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</si>
  <si>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</si>
  <si>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</si>
  <si>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</si>
  <si>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</si>
  <si>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</si>
  <si>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</si>
  <si>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</si>
  <si>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</si>
  <si>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</si>
  <si>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</si>
  <si>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</si>
  <si>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</si>
  <si>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</si>
  <si>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</si>
  <si>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</si>
  <si>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</si>
  <si>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</si>
  <si>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</si>
  <si>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</si>
  <si>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</si>
  <si>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</si>
  <si>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</si>
  <si>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</si>
  <si>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</si>
  <si>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</si>
  <si>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</si>
  <si>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</si>
  <si>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</si>
  <si>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</si>
  <si>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</si>
  <si>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</si>
  <si>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</si>
  <si>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</si>
  <si>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</si>
  <si>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</si>
  <si>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</si>
  <si>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</si>
  <si>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</si>
  <si>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</si>
  <si>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</si>
  <si>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</si>
  <si>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</si>
  <si>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</si>
  <si>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</si>
  <si>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</si>
  <si>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</si>
  <si>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</si>
  <si>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</si>
  <si>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</si>
  <si>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</si>
  <si>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</si>
  <si>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</si>
  <si>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</si>
  <si>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</si>
  <si>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</si>
  <si>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</si>
  <si>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</si>
  <si>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</si>
  <si>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</si>
  <si>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</si>
  <si>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</si>
  <si>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</si>
  <si>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</si>
  <si>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</si>
  <si>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</si>
  <si>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</si>
  <si>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</si>
  <si>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</si>
  <si>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</si>
  <si>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</si>
  <si>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</si>
  <si>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</si>
  <si>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</si>
  <si>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</si>
  <si>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</si>
  <si>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</si>
  <si>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</si>
  <si>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</si>
  <si>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</si>
  <si>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</si>
  <si>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</si>
  <si>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</si>
  <si>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</si>
  <si>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</si>
  <si>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</si>
  <si>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</si>
  <si>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</si>
  <si>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</si>
  <si>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</si>
  <si>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</si>
  <si>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</si>
  <si>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</si>
  <si>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</si>
  <si>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</si>
  <si>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</si>
  <si>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</si>
  <si>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</si>
  <si>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</si>
  <si>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</si>
  <si>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</si>
  <si>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</si>
  <si>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</si>
  <si>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</si>
  <si>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</si>
  <si>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</si>
  <si>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</si>
  <si>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</si>
  <si>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</si>
  <si>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</si>
  <si>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</si>
  <si>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</si>
  <si>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</si>
  <si>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</si>
  <si>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</si>
  <si>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</si>
  <si>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</si>
  <si>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</si>
  <si>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</si>
  <si>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</si>
  <si>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</si>
  <si>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</si>
  <si>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</si>
  <si>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</si>
  <si>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</si>
  <si>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</si>
  <si>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</si>
  <si>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</si>
  <si>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</si>
  <si>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</si>
  <si>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</si>
  <si>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</si>
  <si>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</si>
  <si>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</si>
  <si>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</si>
  <si>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</si>
  <si>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</si>
  <si>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</si>
  <si>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</si>
  <si>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</si>
  <si>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</si>
  <si>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</si>
  <si>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</si>
  <si>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</si>
  <si>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</si>
  <si>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</si>
  <si>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</si>
  <si>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</si>
  <si>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</si>
  <si>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</si>
  <si>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</si>
  <si>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</si>
  <si>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</si>
  <si>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</si>
  <si>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</si>
  <si>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</si>
  <si>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</si>
  <si>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</si>
  <si>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</si>
  <si>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</si>
  <si>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</si>
  <si>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</si>
  <si>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</si>
  <si>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</si>
  <si>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</si>
  <si>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</si>
  <si>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</si>
  <si>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</si>
  <si>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</si>
  <si>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</si>
  <si>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</si>
  <si>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</si>
  <si>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</si>
  <si>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</si>
  <si>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</si>
  <si>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</si>
  <si>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</si>
  <si>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</si>
  <si>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</si>
  <si>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</si>
  <si>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</si>
  <si>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</si>
  <si>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</si>
  <si>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</si>
  <si>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</si>
  <si>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</si>
  <si>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</si>
  <si>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</si>
  <si>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</si>
  <si>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</si>
  <si>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</si>
  <si>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</si>
  <si>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</si>
  <si>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</si>
  <si>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</si>
  <si>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</si>
  <si>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</si>
  <si>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</si>
  <si>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</si>
  <si>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</si>
  <si>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</si>
  <si>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</si>
  <si>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</si>
  <si>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</si>
  <si>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</si>
  <si>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</si>
  <si>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</si>
  <si>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</si>
  <si>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</si>
  <si>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</si>
  <si>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</si>
  <si>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</si>
  <si>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</si>
  <si>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</si>
  <si>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</si>
  <si>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</si>
  <si>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</si>
  <si>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</si>
  <si>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</si>
  <si>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</si>
  <si>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</si>
  <si>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</si>
  <si>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</si>
  <si>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</si>
  <si>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</si>
  <si>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</si>
  <si>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</si>
  <si>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</si>
  <si>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</si>
  <si>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</si>
  <si>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</si>
  <si>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</si>
  <si>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</si>
  <si>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</si>
  <si>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</si>
  <si>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</si>
  <si>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</si>
  <si>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</si>
  <si>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</si>
  <si>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</si>
  <si>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</si>
  <si>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</si>
  <si>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</si>
  <si>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</si>
  <si>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</si>
  <si>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</si>
  <si>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</si>
  <si>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</si>
  <si>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</si>
  <si>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</si>
  <si>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</si>
  <si>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</si>
  <si>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</si>
  <si>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</si>
  <si>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</si>
  <si>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</si>
  <si>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</si>
  <si>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</si>
  <si>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</si>
  <si>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</si>
  <si>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</si>
  <si>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</si>
  <si>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</si>
  <si>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</si>
  <si>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</si>
  <si>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</si>
  <si>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</si>
  <si>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</si>
  <si>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</si>
  <si>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</si>
  <si>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</si>
  <si>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</si>
  <si>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</si>
  <si>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</si>
  <si>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</si>
  <si>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</si>
  <si>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</si>
  <si>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</si>
  <si>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</si>
  <si>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</si>
  <si>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</si>
  <si>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</si>
  <si>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</si>
  <si>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</si>
  <si>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</si>
  <si>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</si>
  <si>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</si>
  <si>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</si>
  <si>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</si>
  <si>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</si>
  <si>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</si>
  <si>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</si>
  <si>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</si>
  <si>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</si>
  <si>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</si>
  <si>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</si>
  <si>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</si>
  <si>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</si>
  <si>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</si>
  <si>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</si>
  <si>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</si>
  <si>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</si>
  <si>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</si>
  <si>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</si>
  <si>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</si>
  <si>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</si>
  <si>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</si>
  <si>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</si>
  <si>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</si>
  <si>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</si>
  <si>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</si>
  <si>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</si>
  <si>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</si>
  <si>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</si>
  <si>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</si>
  <si>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</si>
  <si>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</si>
  <si>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</si>
  <si>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</si>
  <si>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</si>
  <si>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</si>
  <si>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</si>
  <si>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</si>
  <si>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</si>
  <si>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</si>
  <si>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</si>
  <si>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</si>
  <si>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</si>
  <si>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</si>
  <si>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</si>
  <si>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</si>
  <si>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</si>
  <si>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</si>
  <si>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</si>
  <si>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</si>
  <si>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</si>
  <si>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</si>
  <si>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</si>
  <si>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</si>
  <si>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</si>
  <si>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</si>
  <si>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</si>
  <si>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</si>
  <si>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</si>
  <si>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</si>
  <si>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</si>
  <si>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</si>
  <si>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</si>
  <si>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</si>
  <si>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</si>
  <si>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</si>
  <si>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</si>
  <si>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</si>
  <si>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</si>
  <si>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</si>
  <si>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</si>
  <si>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</si>
  <si>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</si>
  <si>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</si>
  <si>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</si>
  <si>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</si>
  <si>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</si>
  <si>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</si>
  <si>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</si>
  <si>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</si>
  <si>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</si>
  <si>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</si>
  <si>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</si>
  <si>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</si>
  <si>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</si>
  <si>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</si>
  <si>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</si>
  <si>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</si>
  <si>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</si>
  <si>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</si>
  <si>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</si>
  <si>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</si>
  <si>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</si>
  <si>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</si>
  <si>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</si>
  <si>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</si>
  <si>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</si>
  <si>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</si>
  <si>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</si>
  <si>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</si>
  <si>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</si>
  <si>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</si>
  <si>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</si>
  <si>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</si>
  <si>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</si>
  <si>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</si>
  <si>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</si>
  <si>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</si>
  <si>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</si>
  <si>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</si>
  <si>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</si>
  <si>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</si>
  <si>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</si>
  <si>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</si>
  <si>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</si>
  <si>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</si>
  <si>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</si>
  <si>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</si>
  <si>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</si>
  <si>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</si>
  <si>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</si>
  <si>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</si>
  <si>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</si>
  <si>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</si>
  <si>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</si>
  <si>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</si>
  <si>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</si>
  <si>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</si>
  <si>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</si>
  <si>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</si>
  <si>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</si>
  <si>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</si>
  <si>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</si>
  <si>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</si>
  <si>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</si>
  <si>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</si>
  <si>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</si>
  <si>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</si>
  <si>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</si>
  <si>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</si>
  <si>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</si>
  <si>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</si>
  <si>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</si>
  <si>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</si>
  <si>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</si>
  <si>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</si>
  <si>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</si>
  <si>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</si>
  <si>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</si>
  <si>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</si>
  <si>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</si>
  <si>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</si>
  <si>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</si>
  <si>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</si>
  <si>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</si>
  <si>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</si>
  <si>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</si>
  <si>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</si>
  <si>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</si>
  <si>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</si>
  <si>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</si>
  <si>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</si>
  <si>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</si>
  <si>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</si>
  <si>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</si>
  <si>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</si>
  <si>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</si>
  <si>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</si>
  <si>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</si>
  <si>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</si>
  <si>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</si>
  <si>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</si>
  <si>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</si>
  <si>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</si>
  <si>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</si>
  <si>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</si>
  <si>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</si>
  <si>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</si>
  <si>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</si>
  <si>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</si>
  <si>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</si>
  <si>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</si>
  <si>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</si>
  <si>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</si>
  <si>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</si>
  <si>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</si>
  <si>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</si>
  <si>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</si>
  <si>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</si>
  <si>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</si>
  <si>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</si>
  <si>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</si>
  <si>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</si>
  <si>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</si>
  <si>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</si>
  <si>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</si>
  <si>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</si>
  <si>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</si>
  <si>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</si>
  <si>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</si>
  <si>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</si>
  <si>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</si>
  <si>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</si>
  <si>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</si>
  <si>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</si>
  <si>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</si>
  <si>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</si>
  <si>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</si>
  <si>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</si>
  <si>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</si>
  <si>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</si>
  <si>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</si>
  <si>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</si>
  <si>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</si>
  <si>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</si>
  <si>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</si>
  <si>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</si>
  <si>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</si>
  <si>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</si>
  <si>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</si>
  <si>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</si>
  <si>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</si>
  <si>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</si>
  <si>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</si>
  <si>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</si>
  <si>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</si>
  <si>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</si>
  <si>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</si>
  <si>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</si>
  <si>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</si>
  <si>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</si>
  <si>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</si>
  <si>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</si>
  <si>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</si>
  <si>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</si>
  <si>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</si>
  <si>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</si>
  <si>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</si>
  <si>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</si>
  <si>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</si>
  <si>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</si>
  <si>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</si>
  <si>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</si>
  <si>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</si>
  <si>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</si>
  <si>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</si>
  <si>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</si>
  <si>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</si>
  <si>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</si>
  <si>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</si>
  <si>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</si>
  <si>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</si>
  <si>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</si>
  <si>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</si>
  <si>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</si>
  <si>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</si>
  <si>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</si>
  <si>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</si>
  <si>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</si>
  <si>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</si>
  <si>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</si>
  <si>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</si>
  <si>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</si>
  <si>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</si>
  <si>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</si>
  <si>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</si>
  <si>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</si>
  <si>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</si>
  <si>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</si>
  <si>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</si>
  <si>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</si>
  <si>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</si>
  <si>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</si>
  <si>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</si>
  <si>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</si>
  <si>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</si>
  <si>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</si>
  <si>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</si>
  <si>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</si>
  <si>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</si>
  <si>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</si>
  <si>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</si>
  <si>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</si>
  <si>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</si>
  <si>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</si>
  <si>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</si>
  <si>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</si>
  <si>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</si>
  <si>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</si>
  <si>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</si>
  <si>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</si>
  <si>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</si>
  <si>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</si>
  <si>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</si>
  <si>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</si>
  <si>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</si>
  <si>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</si>
  <si>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</si>
  <si>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</si>
  <si>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</si>
  <si>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</si>
  <si>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</si>
  <si>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</si>
  <si>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</si>
  <si>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</si>
  <si>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</si>
  <si>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</si>
  <si>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</si>
  <si>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</si>
  <si>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</si>
  <si>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</si>
  <si>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</si>
  <si>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</si>
  <si>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</si>
  <si>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</si>
  <si>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</si>
  <si>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</si>
  <si>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</si>
  <si>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</si>
  <si>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</si>
  <si>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</si>
  <si>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</si>
  <si>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</si>
  <si>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</si>
  <si>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</si>
  <si>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</si>
  <si>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</si>
  <si>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</si>
  <si>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</si>
  <si>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</si>
  <si>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</si>
  <si>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</si>
  <si>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</si>
  <si>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</si>
  <si>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</si>
  <si>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</si>
  <si>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</si>
  <si>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</si>
  <si>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</si>
  <si>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</si>
  <si>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</si>
  <si>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</si>
  <si>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</si>
  <si>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</si>
  <si>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</si>
  <si>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</si>
  <si>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</si>
  <si>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</si>
  <si>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</si>
  <si>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</si>
  <si>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</si>
  <si>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</si>
  <si>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</si>
  <si>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</si>
  <si>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</si>
  <si>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</si>
  <si>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</si>
  <si>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</si>
  <si>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</si>
  <si>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</si>
  <si>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</si>
  <si>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</si>
  <si>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</si>
  <si>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</si>
  <si>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</si>
  <si>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</si>
  <si>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</si>
  <si>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</si>
  <si>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</si>
  <si>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</si>
  <si>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</si>
  <si>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</si>
  <si>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</si>
  <si>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</si>
  <si>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</si>
  <si>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</si>
  <si>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</si>
  <si>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</si>
  <si>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</si>
  <si>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</si>
  <si>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</si>
  <si>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</si>
  <si>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</si>
  <si>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</si>
  <si>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</si>
  <si>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</si>
  <si>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</si>
  <si>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</si>
  <si>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</si>
  <si>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</si>
  <si>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</si>
  <si>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</si>
  <si>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</si>
  <si>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</si>
  <si>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</si>
  <si>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</si>
  <si>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</si>
  <si>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</si>
  <si>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</si>
  <si>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</si>
  <si>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</si>
  <si>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</si>
  <si>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</si>
  <si>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</si>
  <si>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</si>
  <si>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</si>
  <si>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</si>
  <si>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</si>
  <si>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</si>
  <si>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</si>
  <si>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</si>
  <si>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</si>
  <si>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</si>
  <si>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</si>
  <si>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</si>
  <si>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</si>
  <si>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</si>
  <si>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</si>
  <si>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</si>
  <si>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</si>
  <si>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</si>
  <si>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</si>
  <si>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</si>
  <si>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</si>
  <si>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</si>
  <si>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</si>
  <si>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</si>
  <si>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</si>
  <si>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</si>
  <si>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</si>
  <si>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</si>
  <si>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</si>
  <si>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</si>
  <si>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</si>
  <si>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</si>
  <si>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</si>
  <si>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</si>
  <si>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</si>
  <si>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</si>
  <si>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</si>
  <si>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</si>
  <si>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</si>
  <si>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</si>
  <si>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</si>
  <si>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</si>
  <si>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</si>
  <si>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</si>
  <si>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</si>
  <si>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</si>
  <si>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</si>
  <si>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</si>
  <si>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</si>
  <si>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</si>
  <si>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</si>
  <si>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</si>
  <si>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</si>
  <si>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</si>
  <si>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</si>
  <si>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</si>
  <si>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</si>
  <si>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</si>
  <si>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</si>
  <si>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</si>
  <si>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</si>
  <si>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</si>
  <si>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</si>
  <si>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</si>
  <si>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</si>
  <si>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</si>
  <si>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</si>
  <si>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</si>
  <si>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</si>
  <si>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</si>
  <si>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</si>
  <si>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</si>
  <si>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</si>
  <si>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</si>
  <si>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</si>
  <si>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</si>
  <si>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</si>
  <si>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</si>
  <si>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</si>
  <si>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</si>
  <si>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</si>
  <si>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</si>
  <si>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</si>
  <si>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</si>
  <si>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</si>
  <si>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</si>
  <si>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</si>
  <si>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</si>
  <si>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</si>
  <si>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</si>
  <si>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</si>
  <si>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</si>
  <si>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</si>
  <si>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</si>
  <si>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</si>
  <si>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</si>
  <si>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</si>
  <si>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</si>
  <si>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</si>
  <si>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</si>
  <si>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</si>
  <si>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</si>
  <si>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</si>
  <si>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</si>
  <si>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</si>
  <si>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</si>
  <si>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</si>
  <si>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</si>
  <si>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</si>
  <si>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</si>
  <si>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</si>
  <si>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</si>
  <si>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</si>
  <si>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</si>
  <si>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</si>
  <si>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</si>
  <si>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</si>
  <si>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</si>
  <si>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</si>
  <si>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</si>
  <si>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</si>
  <si>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</si>
  <si>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</si>
  <si>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</si>
  <si>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</si>
  <si>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</si>
  <si>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</si>
  <si>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</si>
  <si>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</si>
  <si>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</si>
  <si>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</si>
  <si>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</si>
  <si>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</si>
  <si>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</si>
  <si>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</si>
  <si>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</si>
  <si>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</si>
  <si>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</si>
  <si>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</si>
  <si>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</si>
  <si>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</si>
  <si>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</si>
  <si>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</si>
  <si>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</si>
  <si>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</si>
  <si>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</si>
  <si>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</si>
  <si>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</si>
  <si>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</si>
  <si>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</si>
  <si>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</si>
  <si>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</si>
  <si>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</si>
  <si>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</si>
  <si>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</si>
  <si>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</si>
  <si>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</si>
  <si>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</si>
  <si>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</si>
  <si>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</si>
  <si>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</si>
  <si>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</si>
  <si>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</si>
  <si>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</si>
  <si>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</si>
  <si>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</si>
  <si>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</si>
  <si>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</si>
  <si>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</si>
  <si>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</si>
  <si>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</si>
  <si>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</si>
  <si>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</si>
  <si>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</si>
  <si>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</si>
  <si>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</si>
  <si>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</si>
  <si>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</si>
  <si>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</si>
  <si>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</si>
  <si>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</si>
  <si>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</si>
  <si>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</si>
  <si>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</si>
  <si>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</si>
  <si>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</si>
  <si>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</si>
  <si>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</si>
  <si>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</si>
  <si>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</si>
  <si>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</si>
  <si>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</si>
  <si>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</si>
  <si>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</si>
  <si>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</si>
  <si>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</si>
  <si>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</si>
  <si>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</si>
  <si>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</si>
  <si>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</si>
  <si>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</si>
  <si>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</si>
  <si>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</si>
  <si>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</si>
  <si>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</si>
  <si>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</si>
  <si>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</si>
  <si>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</si>
  <si>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</si>
  <si>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</si>
  <si>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</si>
  <si>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</si>
  <si>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</si>
  <si>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</si>
  <si>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</si>
  <si>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</si>
  <si>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</si>
  <si>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</si>
  <si>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</si>
  <si>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</si>
  <si>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</si>
  <si>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</si>
  <si>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</si>
  <si>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</si>
  <si>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</si>
  <si>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</si>
  <si>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</si>
  <si>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</si>
  <si>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</si>
  <si>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</si>
  <si>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</si>
  <si>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</si>
  <si>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</si>
  <si>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</si>
  <si>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</si>
  <si>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</si>
  <si>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</si>
  <si>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</si>
  <si>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</si>
  <si>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</si>
  <si>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</si>
  <si>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</si>
  <si>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</si>
  <si>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</si>
  <si>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</si>
  <si>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</si>
  <si>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</si>
  <si>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</si>
  <si>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</si>
  <si>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</si>
  <si>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</si>
  <si>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</si>
  <si>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</si>
  <si>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</si>
  <si>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</si>
  <si>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</si>
  <si>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</si>
  <si>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</si>
  <si>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</si>
  <si>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</si>
  <si>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</si>
  <si>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</si>
  <si>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</si>
  <si>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</si>
  <si>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</si>
  <si>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</si>
  <si>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</si>
  <si>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</si>
  <si>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</si>
  <si>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</si>
  <si>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</si>
  <si>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</si>
  <si>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</si>
  <si>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</si>
  <si>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</si>
  <si>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</si>
  <si>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</si>
  <si>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</si>
  <si>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</si>
  <si>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</si>
  <si>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</si>
  <si>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</si>
  <si>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</si>
  <si>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</si>
  <si>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</si>
  <si>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</si>
  <si>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</si>
  <si>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</si>
  <si>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</si>
  <si>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</si>
  <si>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</si>
  <si>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</si>
  <si>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</si>
  <si>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</si>
  <si>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</si>
  <si>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</si>
  <si>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</si>
  <si>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</si>
  <si>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</si>
  <si>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</si>
  <si>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</si>
  <si>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</si>
  <si>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</si>
  <si>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</si>
  <si>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</si>
  <si>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</si>
  <si>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</si>
  <si>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</si>
  <si>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</si>
  <si>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</si>
  <si>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</si>
  <si>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</si>
  <si>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</si>
  <si>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</si>
  <si>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</si>
  <si>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</si>
  <si>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</si>
  <si>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</si>
  <si>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</si>
  <si>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</si>
  <si>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</si>
  <si>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</si>
  <si>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</si>
  <si>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</si>
  <si>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</si>
  <si>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</si>
  <si>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</si>
  <si>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</si>
  <si>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</si>
  <si>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</si>
  <si>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</si>
  <si>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</si>
  <si>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</si>
  <si>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</si>
  <si>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</si>
  <si>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</si>
  <si>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</si>
  <si>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</si>
  <si>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</si>
  <si>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</si>
  <si>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</si>
  <si>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</si>
  <si>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</si>
  <si>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</si>
  <si>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</si>
  <si>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</si>
  <si>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</si>
  <si>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</si>
  <si>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</si>
  <si>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</si>
  <si>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</si>
  <si>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</si>
  <si>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</si>
  <si>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</si>
  <si>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</si>
  <si>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</si>
  <si>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</si>
  <si>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</si>
  <si>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</si>
  <si>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</si>
  <si>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</si>
  <si>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</si>
  <si>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</si>
  <si>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</si>
  <si>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</si>
  <si>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</si>
  <si>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</si>
  <si>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</si>
  <si>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</si>
  <si>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</si>
  <si>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</si>
  <si>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</si>
  <si>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</si>
  <si>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</si>
  <si>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</si>
  <si>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</si>
  <si>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</si>
  <si>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</si>
  <si>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</si>
  <si>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</si>
  <si>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</si>
  <si>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</si>
  <si>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</si>
  <si>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</si>
  <si>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</si>
  <si>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</si>
  <si>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</si>
  <si>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</si>
  <si>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</si>
  <si>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</si>
  <si>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</si>
  <si>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</si>
  <si>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</si>
  <si>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</si>
  <si>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</si>
  <si>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</si>
  <si>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</si>
  <si>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</si>
  <si>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</si>
  <si>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</si>
  <si>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</si>
  <si>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</si>
  <si>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</si>
  <si>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</si>
  <si>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</si>
  <si>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</si>
  <si>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</si>
  <si>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</si>
  <si>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</si>
  <si>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</si>
  <si>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</si>
  <si>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</si>
  <si>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</si>
  <si>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</si>
  <si>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</si>
  <si>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</si>
  <si>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</si>
  <si>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</si>
  <si>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</si>
  <si>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</si>
  <si>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</si>
  <si>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</si>
  <si>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</si>
  <si>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</si>
  <si>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</si>
  <si>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</si>
  <si>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</si>
  <si>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</si>
  <si>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</si>
  <si>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</si>
  <si>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</si>
  <si>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</si>
  <si>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</si>
  <si>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</si>
  <si>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</si>
  <si>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</si>
  <si>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</si>
  <si>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</si>
  <si>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</si>
  <si>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</si>
  <si>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</si>
  <si>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</si>
  <si>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</si>
  <si>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</si>
  <si>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</si>
  <si>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</si>
  <si>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</si>
  <si>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</si>
  <si>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</si>
  <si>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</si>
  <si>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</si>
  <si>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</si>
  <si>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</si>
  <si>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</si>
  <si>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</si>
  <si>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</si>
  <si>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</si>
  <si>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</si>
  <si>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</si>
  <si>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</si>
  <si>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</si>
  <si>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</si>
  <si>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</si>
  <si>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</si>
  <si>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</si>
  <si>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</si>
  <si>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</si>
  <si>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</si>
  <si>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</si>
  <si>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</si>
  <si>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</si>
  <si>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</si>
  <si>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</si>
  <si>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</si>
  <si>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</si>
  <si>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</si>
  <si>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</si>
  <si>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</si>
  <si>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</si>
  <si>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</si>
  <si>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</si>
  <si>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</si>
  <si>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</si>
  <si>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</si>
  <si>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</si>
  <si>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</si>
  <si>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</si>
  <si>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</si>
  <si>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</si>
  <si>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</si>
  <si>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</si>
  <si>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</si>
  <si>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</si>
  <si>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</si>
  <si>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</si>
  <si>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</si>
  <si>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</si>
  <si>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</si>
  <si>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</si>
  <si>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</si>
  <si>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</si>
  <si>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</si>
  <si>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</si>
  <si>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</si>
  <si>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</si>
  <si>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</si>
  <si>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</si>
  <si>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</si>
  <si>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</si>
  <si>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</si>
  <si>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</si>
  <si>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</si>
  <si>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</si>
  <si>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</si>
  <si>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</si>
  <si>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</si>
  <si>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</si>
  <si>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</si>
  <si>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</si>
  <si>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</si>
  <si>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</si>
  <si>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</si>
  <si>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</si>
  <si>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</si>
  <si>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</si>
  <si>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</si>
  <si>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</si>
  <si>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</si>
  <si>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</si>
  <si>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</si>
  <si>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</si>
  <si>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</si>
  <si>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</si>
  <si>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</si>
  <si>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</si>
  <si>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</si>
  <si>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</si>
  <si>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</si>
  <si>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</si>
  <si>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</si>
  <si>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</si>
  <si>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</si>
  <si>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</si>
  <si>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</si>
  <si>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</si>
  <si>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</si>
  <si>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</si>
  <si>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</si>
  <si>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</si>
  <si>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</si>
  <si>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</si>
  <si>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</si>
  <si>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</si>
  <si>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</si>
  <si>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</si>
  <si>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</si>
  <si>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</si>
  <si>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</si>
  <si>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</si>
  <si>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</si>
  <si>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</si>
  <si>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</si>
  <si>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</si>
  <si>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</si>
  <si>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</si>
  <si>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</si>
  <si>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</si>
  <si>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</si>
  <si>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</si>
  <si>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</si>
  <si>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</si>
  <si>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</si>
  <si>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</si>
  <si>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</si>
  <si>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</si>
  <si>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</si>
  <si>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</si>
  <si>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</si>
  <si>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</si>
  <si>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</si>
  <si>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</si>
  <si>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</si>
  <si>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</si>
  <si>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</si>
  <si>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</si>
  <si>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</si>
  <si>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</si>
  <si>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</si>
  <si>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</si>
  <si>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</si>
  <si>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</si>
  <si>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</si>
  <si>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</si>
  <si>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</si>
  <si>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</si>
  <si>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</si>
  <si>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</si>
  <si>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</si>
  <si>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</si>
  <si>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</si>
  <si>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</si>
  <si>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</si>
  <si>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</si>
  <si>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</si>
  <si>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</si>
  <si>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</si>
  <si>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</si>
  <si>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</si>
  <si>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</si>
  <si>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</si>
  <si>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</si>
  <si>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</si>
  <si>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</si>
  <si>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</si>
  <si>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</si>
  <si>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</si>
  <si>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</si>
  <si>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</si>
  <si>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</si>
  <si>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</si>
  <si>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</si>
  <si>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</si>
  <si>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</si>
  <si>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</si>
  <si>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</si>
  <si>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</si>
  <si>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</si>
  <si>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</si>
  <si>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</si>
  <si>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</si>
  <si>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</si>
  <si>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</si>
  <si>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</si>
  <si>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</si>
  <si>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</si>
  <si>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</si>
  <si>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</si>
  <si>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</si>
  <si>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</si>
  <si>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</si>
  <si>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</si>
  <si>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</si>
  <si>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</si>
  <si>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</si>
  <si>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</si>
  <si>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</si>
  <si>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</si>
  <si>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</si>
  <si>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</si>
  <si>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</si>
  <si>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</si>
  <si>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</si>
  <si>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</si>
  <si>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</si>
  <si>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</si>
  <si>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</si>
  <si>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</si>
  <si>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</si>
  <si>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</si>
  <si>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</si>
  <si>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</si>
  <si>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</si>
  <si>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</si>
  <si>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</si>
  <si>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</si>
  <si>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</si>
  <si>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</si>
  <si>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</si>
  <si>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</si>
  <si>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</si>
  <si>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</si>
  <si>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</si>
  <si>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</si>
  <si>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</si>
  <si>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</si>
  <si>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</si>
  <si>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</si>
  <si>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</si>
  <si>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</si>
  <si>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</si>
  <si>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</si>
  <si>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</si>
  <si>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</si>
  <si>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</si>
  <si>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</si>
  <si>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</si>
  <si>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</si>
  <si>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</si>
  <si>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</si>
  <si>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</si>
  <si>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</si>
  <si>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</si>
  <si>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</si>
  <si>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</si>
  <si>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</si>
  <si>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</si>
  <si>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</si>
  <si>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</si>
  <si>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</si>
  <si>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</si>
  <si>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</si>
  <si>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</si>
  <si>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</si>
  <si>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</si>
  <si>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</si>
  <si>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</si>
  <si>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</si>
  <si>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</si>
  <si>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</si>
  <si>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</si>
  <si>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</si>
  <si>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</si>
  <si>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</si>
  <si>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</si>
  <si>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</si>
  <si>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</si>
  <si>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</si>
  <si>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</si>
  <si>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</si>
  <si>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</si>
  <si>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</si>
  <si>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</si>
  <si>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</si>
  <si>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</si>
  <si>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</si>
  <si>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</si>
  <si>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</si>
  <si>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</si>
  <si>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</si>
  <si>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</si>
  <si>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</si>
  <si>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</si>
  <si>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</si>
  <si>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</si>
  <si>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</si>
  <si>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</si>
  <si>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</si>
  <si>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</si>
  <si>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</si>
  <si>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</si>
  <si>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</si>
  <si>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</si>
  <si>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</si>
  <si>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</si>
  <si>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</si>
  <si>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</si>
  <si>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</si>
  <si>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</si>
  <si>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</si>
  <si>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</si>
  <si>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</si>
  <si>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</si>
  <si>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</si>
  <si>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</si>
  <si>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</si>
  <si>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</si>
  <si>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</si>
  <si>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</si>
  <si>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</si>
  <si>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</si>
  <si>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</si>
  <si>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</si>
  <si>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</si>
  <si>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</si>
  <si>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</si>
  <si>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</si>
  <si>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</si>
  <si>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</si>
  <si>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</si>
  <si>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</si>
  <si>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</si>
  <si>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</si>
  <si>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</si>
  <si>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</si>
  <si>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</si>
  <si>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</si>
  <si>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</si>
  <si>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</si>
  <si>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</si>
  <si>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</si>
  <si>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</si>
  <si>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</si>
  <si>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</si>
  <si>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</si>
  <si>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</si>
  <si>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</si>
  <si>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</si>
  <si>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</si>
  <si>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</si>
  <si>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</si>
  <si>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</si>
  <si>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</si>
  <si>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</si>
  <si>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</si>
  <si>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</si>
  <si>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</si>
  <si>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</si>
  <si>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</si>
  <si>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</si>
  <si>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</si>
  <si>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</si>
  <si>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</si>
  <si>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</si>
  <si>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</si>
  <si>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</si>
  <si>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</si>
  <si>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</si>
  <si>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</si>
  <si>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</si>
  <si>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</si>
  <si>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</si>
  <si>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</si>
  <si>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</si>
  <si>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</si>
  <si>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</si>
  <si>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</si>
  <si>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</si>
  <si>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</si>
  <si>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</si>
  <si>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</si>
  <si>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</si>
  <si>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</si>
  <si>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</si>
  <si>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</si>
  <si>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</si>
  <si>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</si>
  <si>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</si>
  <si>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</si>
  <si>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</si>
  <si>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</si>
  <si>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</si>
  <si>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</si>
  <si>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</si>
  <si>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</si>
  <si>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</si>
  <si>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</si>
  <si>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</si>
  <si>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</si>
  <si>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</si>
  <si>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</si>
  <si>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</si>
  <si>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</si>
  <si>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Sign Final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</si>
</sst>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abSelected="1" topLeftCell="A31" zoomScale="90" zoomScaleNormal="90" workbookViewId="0">
      <selection activeCell="B48" sqref="B48"/>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-442</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c r="A58" s="124" t="s">
        <v>1755</v>
      </c>
      <c r="B58" s="192" t="str">
        <f>_xlfn.CONCAT("https://cmmiinstitute.com/appraisals-sys/appraisals/",'Agreement 3'!B5,"/sign-final-findings")</f>
        <v>https://cmmiinstitute.com/appraisals-sys/appraisals/53517/sign-final-findings</v>
      </c>
    </row>
    <row r="59" spans="1:3" s="124" customFormat="1"/>
    <row r="60" spans="1:3" s="50" customFormat="1" ht="15.6">
      <c r="A60" s="51" t="s">
        <v>1728</v>
      </c>
      <c r="B60" s="51" t="s">
        <v>1751</v>
      </c>
      <c r="C60" s="49"/>
    </row>
    <row r="61" spans="1:3" s="124" customFormat="1">
      <c r="A61" s="124" t="s">
        <v>1730</v>
      </c>
      <c r="B61" s="124" t="str">
        <f>_xlfn.CONCAT('P1PA-SS'!V92,"; ",'P1PA-SS'!V93)</f>
        <v>atm1.email@gmail.com; atm2.email@gmail.com</v>
      </c>
    </row>
    <row r="62" spans="1:3" s="124" customFormat="1">
      <c r="A62" s="124" t="s">
        <v>1708</v>
      </c>
      <c r="B62" s="124" t="str">
        <f>_xlfn.CONCAT('Agreement 3'!B16, " (CASID",'Agreement 3'!B5,") | CAS review before submission")</f>
        <v>Software for Mars (Pty) Ltd (CASID53517) | CAS review before submission</v>
      </c>
    </row>
    <row r="63" spans="1:3" s="124" customFormat="1">
      <c r="A63" s="124" t="s">
        <v>1731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1732</v>
      </c>
      <c r="B64" s="124" t="str">
        <f>Planning!B7</f>
        <v>2021-04-12to04-16 (A5) C53517 SoftMARS</v>
      </c>
    </row>
    <row r="65" spans="1:2" s="124" customFormat="1">
      <c r="A65" s="124" t="s">
        <v>1753</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459" t="s">
        <v>1754</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60" t="s">
        <v>1162</v>
      </c>
      <c r="AD1" s="460"/>
      <c r="AE1" s="460"/>
      <c r="AF1" s="460"/>
      <c r="AG1" s="460"/>
      <c r="AH1" s="460"/>
      <c r="AI1" s="460"/>
      <c r="AJ1" s="460"/>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1518</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1519</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1520</v>
      </c>
      <c r="D5" s="453" t="s">
        <v>1140</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1521</v>
      </c>
      <c r="D6" s="453" t="s">
        <v>1275</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1522</v>
      </c>
      <c r="D7" s="453" t="s">
        <v>1343</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1523</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1524</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1525</v>
      </c>
      <c r="D10" s="453" t="s">
        <v>1140</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1526</v>
      </c>
      <c r="D11" s="453" t="s">
        <v>1275</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1527</v>
      </c>
      <c r="D12" s="453" t="s">
        <v>1343</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1528</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1529</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1530</v>
      </c>
      <c r="D15" s="453" t="s">
        <v>1140</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1531</v>
      </c>
      <c r="D16" s="453" t="s">
        <v>1275</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1532</v>
      </c>
      <c r="D17" s="453" t="s">
        <v>1343</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1333</v>
      </c>
      <c r="B18" s="454" t="str">
        <f t="shared" si="1"/>
        <v>p4SupperHeavy</v>
      </c>
      <c r="C18" s="453" t="s">
        <v>1533</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1333</v>
      </c>
      <c r="B19" s="454" t="str">
        <f t="shared" si="1"/>
        <v>p4SupperHeavy</v>
      </c>
      <c r="C19" s="453" t="s">
        <v>1534</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1333</v>
      </c>
      <c r="B20" s="454" t="str">
        <f t="shared" si="1"/>
        <v>p4SupperHeavy</v>
      </c>
      <c r="C20" s="453" t="s">
        <v>1535</v>
      </c>
      <c r="D20" s="453" t="s">
        <v>1140</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1333</v>
      </c>
      <c r="B21" s="454" t="str">
        <f t="shared" si="1"/>
        <v>p4SupperHeavy</v>
      </c>
      <c r="C21" s="453" t="s">
        <v>1536</v>
      </c>
      <c r="D21" s="453" t="s">
        <v>1275</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1333</v>
      </c>
      <c r="B22" s="454" t="str">
        <f t="shared" si="1"/>
        <v>p4SupperHeavy</v>
      </c>
      <c r="C22" s="453" t="s">
        <v>1537</v>
      </c>
      <c r="D22" s="453" t="s">
        <v>1343</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1538</v>
      </c>
      <c r="D23" s="453" t="s">
        <v>1342</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1539</v>
      </c>
      <c r="D24" s="453" t="s">
        <v>1344</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1627</v>
      </c>
      <c r="D25" s="453" t="s">
        <v>1626</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1540</v>
      </c>
      <c r="D26" s="453" t="s">
        <v>1341</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1541</v>
      </c>
      <c r="D27" s="455" t="s">
        <v>1225</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61"/>
      <c r="Y87" s="461"/>
      <c r="Z87" s="461"/>
      <c r="AA87" s="461"/>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2" t="s">
        <v>1348</v>
      </c>
      <c r="B126" s="462"/>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3" t="s">
        <v>823</v>
      </c>
      <c r="B144" s="463"/>
    </row>
    <row r="146" spans="1:3">
      <c r="A146" s="248" t="s">
        <v>779</v>
      </c>
      <c r="B146" s="249"/>
      <c r="C146" s="250"/>
    </row>
    <row r="147" spans="1:3">
      <c r="A147" s="464" t="s">
        <v>780</v>
      </c>
      <c r="B147" s="466"/>
      <c r="C147" s="251" t="s">
        <v>1146</v>
      </c>
    </row>
    <row r="148" spans="1:3" ht="15" thickBot="1">
      <c r="A148" s="465"/>
      <c r="B148" s="467"/>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2" t="s">
        <v>1405</v>
      </c>
      <c r="B114" s="462"/>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8" t="str">
        <f>_xlfn.CONCAT("Week ",T8)</f>
        <v>Week 15</v>
      </c>
      <c r="B3" s="469"/>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8" t="str">
        <f>_xlfn.CONCAT("Week ",AJ8)</f>
        <v xml:space="preserve">Week </v>
      </c>
      <c r="R3" s="469"/>
    </row>
    <row r="4" spans="1:20" ht="19.95" customHeight="1">
      <c r="A4" s="470"/>
      <c r="B4" s="471"/>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0"/>
      <c r="R4" s="471"/>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501"/>
      <c r="D6" s="446"/>
      <c r="E6" s="501"/>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501"/>
      <c r="D7" s="447"/>
      <c r="E7" s="501"/>
      <c r="F7" s="447"/>
      <c r="G7" s="437" t="s">
        <v>1424</v>
      </c>
      <c r="H7" s="447"/>
      <c r="I7" s="507" t="s">
        <v>979</v>
      </c>
      <c r="J7" s="447"/>
      <c r="K7" s="487" t="s">
        <v>1656</v>
      </c>
      <c r="L7" s="447"/>
      <c r="M7" s="487" t="s">
        <v>983</v>
      </c>
      <c r="N7" s="447"/>
      <c r="O7" s="505" t="s">
        <v>1657</v>
      </c>
      <c r="P7" s="447"/>
      <c r="Q7" s="435">
        <v>0.4375</v>
      </c>
      <c r="R7" s="435">
        <v>0.1875</v>
      </c>
      <c r="T7" s="427">
        <f>T4-T6</f>
        <v>100</v>
      </c>
    </row>
    <row r="8" spans="1:20" ht="19.95" customHeight="1">
      <c r="A8" s="435">
        <v>0.45833333333333331</v>
      </c>
      <c r="B8" s="435">
        <v>0.20833333333333334</v>
      </c>
      <c r="C8" s="488" t="s">
        <v>1673</v>
      </c>
      <c r="D8" s="447"/>
      <c r="E8" s="488" t="s">
        <v>1673</v>
      </c>
      <c r="F8" s="447"/>
      <c r="G8" s="505" t="s">
        <v>1658</v>
      </c>
      <c r="H8" s="447"/>
      <c r="I8" s="507"/>
      <c r="J8" s="447"/>
      <c r="K8" s="487"/>
      <c r="L8" s="447"/>
      <c r="M8" s="487"/>
      <c r="N8" s="447"/>
      <c r="O8" s="505"/>
      <c r="P8" s="447"/>
      <c r="Q8" s="435">
        <v>0.45833333333333331</v>
      </c>
      <c r="R8" s="435">
        <v>0.20833333333333334</v>
      </c>
      <c r="T8" s="427">
        <f>ROUNDUP(T7/7,0)</f>
        <v>15</v>
      </c>
    </row>
    <row r="9" spans="1:20" ht="19.95" customHeight="1">
      <c r="A9" s="435">
        <v>0.47916666666666663</v>
      </c>
      <c r="B9" s="435">
        <v>0.22916666666666669</v>
      </c>
      <c r="C9" s="489"/>
      <c r="D9" s="447"/>
      <c r="E9" s="489"/>
      <c r="F9" s="447"/>
      <c r="G9" s="505"/>
      <c r="H9" s="447"/>
      <c r="I9" s="507"/>
      <c r="J9" s="447"/>
      <c r="K9" s="487"/>
      <c r="L9" s="447"/>
      <c r="M9" s="436" t="s">
        <v>601</v>
      </c>
      <c r="N9" s="447"/>
      <c r="O9" s="485" t="s">
        <v>1659</v>
      </c>
      <c r="P9" s="447"/>
      <c r="Q9" s="435">
        <v>0.47916666666666663</v>
      </c>
      <c r="R9" s="435">
        <v>0.22916666666666669</v>
      </c>
    </row>
    <row r="10" spans="1:20" ht="19.95" customHeight="1">
      <c r="A10" s="435">
        <v>0.49999999999999994</v>
      </c>
      <c r="B10" s="435">
        <v>0.25</v>
      </c>
      <c r="C10" s="489"/>
      <c r="D10" s="447"/>
      <c r="E10" s="489"/>
      <c r="F10" s="447"/>
      <c r="G10" s="508" t="s">
        <v>928</v>
      </c>
      <c r="H10" s="447"/>
      <c r="I10" s="506" t="s">
        <v>928</v>
      </c>
      <c r="J10" s="447"/>
      <c r="K10" s="506" t="s">
        <v>928</v>
      </c>
      <c r="L10" s="447"/>
      <c r="M10" s="506" t="s">
        <v>928</v>
      </c>
      <c r="N10" s="447"/>
      <c r="O10" s="485"/>
      <c r="P10" s="447"/>
      <c r="Q10" s="435">
        <v>0.49999999999999994</v>
      </c>
      <c r="R10" s="435">
        <v>0.25</v>
      </c>
    </row>
    <row r="11" spans="1:20" ht="19.95" customHeight="1">
      <c r="A11" s="435">
        <v>0.52083333333333326</v>
      </c>
      <c r="B11" s="435">
        <v>0.27083333333333331</v>
      </c>
      <c r="C11" s="489"/>
      <c r="D11" s="447"/>
      <c r="E11" s="489"/>
      <c r="F11" s="447"/>
      <c r="G11" s="509"/>
      <c r="H11" s="447"/>
      <c r="I11" s="506"/>
      <c r="J11" s="447"/>
      <c r="K11" s="506"/>
      <c r="L11" s="447"/>
      <c r="M11" s="506"/>
      <c r="N11" s="447"/>
      <c r="O11" s="506" t="s">
        <v>928</v>
      </c>
      <c r="P11" s="447"/>
      <c r="Q11" s="435">
        <v>0.52083333333333326</v>
      </c>
      <c r="R11" s="435">
        <v>0.27083333333333331</v>
      </c>
    </row>
    <row r="12" spans="1:20" ht="19.95" customHeight="1">
      <c r="A12" s="435">
        <v>0.54166666666666663</v>
      </c>
      <c r="B12" s="435">
        <v>0.29166666666666663</v>
      </c>
      <c r="C12" s="489"/>
      <c r="D12" s="447"/>
      <c r="E12" s="489"/>
      <c r="F12" s="447"/>
      <c r="G12" s="488" t="s">
        <v>1661</v>
      </c>
      <c r="H12" s="447"/>
      <c r="I12" s="487" t="s">
        <v>979</v>
      </c>
      <c r="J12" s="447"/>
      <c r="K12" s="487" t="s">
        <v>1656</v>
      </c>
      <c r="L12" s="447"/>
      <c r="M12" s="486" t="s">
        <v>1678</v>
      </c>
      <c r="N12" s="447"/>
      <c r="O12" s="506"/>
      <c r="P12" s="447"/>
      <c r="Q12" s="435">
        <v>0.54166666666666663</v>
      </c>
      <c r="R12" s="435">
        <v>0.29166666666666663</v>
      </c>
    </row>
    <row r="13" spans="1:20" ht="19.95" customHeight="1">
      <c r="A13" s="435">
        <v>0.5625</v>
      </c>
      <c r="B13" s="435">
        <v>0.31249999999999994</v>
      </c>
      <c r="C13" s="489"/>
      <c r="D13" s="447"/>
      <c r="E13" s="489"/>
      <c r="F13" s="447"/>
      <c r="G13" s="489"/>
      <c r="H13" s="447"/>
      <c r="I13" s="487"/>
      <c r="J13" s="447"/>
      <c r="K13" s="487"/>
      <c r="L13" s="447"/>
      <c r="M13" s="486"/>
      <c r="N13" s="447"/>
      <c r="O13" s="486" t="s">
        <v>1660</v>
      </c>
      <c r="P13" s="447"/>
      <c r="Q13" s="435">
        <v>0.5625</v>
      </c>
      <c r="R13" s="435">
        <v>0.31249999999999994</v>
      </c>
    </row>
    <row r="14" spans="1:20" ht="19.95" customHeight="1">
      <c r="A14" s="435">
        <v>0.58333333333333337</v>
      </c>
      <c r="B14" s="435">
        <v>0.33333333333333326</v>
      </c>
      <c r="C14" s="489"/>
      <c r="D14" s="447"/>
      <c r="E14" s="489"/>
      <c r="F14" s="447"/>
      <c r="G14" s="489"/>
      <c r="H14" s="447"/>
      <c r="I14" s="487"/>
      <c r="J14" s="447"/>
      <c r="K14" s="487"/>
      <c r="L14" s="447"/>
      <c r="M14" s="486"/>
      <c r="N14" s="447"/>
      <c r="O14" s="486"/>
      <c r="P14" s="447"/>
      <c r="Q14" s="435">
        <v>0.58333333333333337</v>
      </c>
      <c r="R14" s="435">
        <v>0.33333333333333326</v>
      </c>
    </row>
    <row r="15" spans="1:20" ht="19.95" customHeight="1">
      <c r="A15" s="435">
        <v>0.60416666666666674</v>
      </c>
      <c r="B15" s="435">
        <v>0.35416666666666657</v>
      </c>
      <c r="C15" s="489"/>
      <c r="D15" s="447"/>
      <c r="E15" s="489"/>
      <c r="F15" s="447"/>
      <c r="G15" s="489"/>
      <c r="H15" s="447"/>
      <c r="I15" s="487"/>
      <c r="J15" s="447"/>
      <c r="K15" s="487"/>
      <c r="L15" s="447"/>
      <c r="M15" s="486"/>
      <c r="N15" s="447"/>
      <c r="O15" s="486"/>
      <c r="P15" s="447"/>
      <c r="Q15" s="435">
        <v>0.60416666666666674</v>
      </c>
      <c r="R15" s="435">
        <v>0.35416666666666657</v>
      </c>
    </row>
    <row r="16" spans="1:20" ht="19.95" customHeight="1">
      <c r="A16" s="435">
        <v>0.62500000000000011</v>
      </c>
      <c r="B16" s="435">
        <v>0.37499999999999989</v>
      </c>
      <c r="C16" s="489"/>
      <c r="D16" s="447"/>
      <c r="E16" s="489"/>
      <c r="F16" s="447"/>
      <c r="G16" s="490"/>
      <c r="H16" s="447"/>
      <c r="I16" s="487"/>
      <c r="J16" s="447"/>
      <c r="K16" s="487"/>
      <c r="L16" s="447"/>
      <c r="M16" s="487" t="s">
        <v>1662</v>
      </c>
      <c r="N16" s="447"/>
      <c r="O16" s="485" t="s">
        <v>1681</v>
      </c>
      <c r="P16" s="447"/>
      <c r="Q16" s="435">
        <v>0.62500000000000011</v>
      </c>
      <c r="R16" s="435">
        <v>0.37499999999999989</v>
      </c>
    </row>
    <row r="17" spans="1:18" ht="19.95" customHeight="1">
      <c r="A17" s="435">
        <v>0.64583333333333348</v>
      </c>
      <c r="B17" s="435">
        <v>0.3958333333333332</v>
      </c>
      <c r="C17" s="489"/>
      <c r="D17" s="447"/>
      <c r="E17" s="489"/>
      <c r="F17" s="447"/>
      <c r="G17" s="436" t="s">
        <v>601</v>
      </c>
      <c r="H17" s="447"/>
      <c r="I17" s="486" t="s">
        <v>601</v>
      </c>
      <c r="J17" s="447"/>
      <c r="K17" s="487"/>
      <c r="L17" s="447"/>
      <c r="M17" s="487"/>
      <c r="N17" s="447"/>
      <c r="O17" s="485"/>
      <c r="P17" s="447"/>
      <c r="Q17" s="435">
        <v>0.64583333333333348</v>
      </c>
      <c r="R17" s="435">
        <v>0.3958333333333332</v>
      </c>
    </row>
    <row r="18" spans="1:18" ht="19.95" customHeight="1">
      <c r="A18" s="435">
        <v>0.66666666666666685</v>
      </c>
      <c r="B18" s="435">
        <v>0.41666666666666652</v>
      </c>
      <c r="C18" s="489"/>
      <c r="D18" s="447"/>
      <c r="E18" s="489"/>
      <c r="F18" s="447"/>
      <c r="G18" s="487" t="s">
        <v>1661</v>
      </c>
      <c r="H18" s="447"/>
      <c r="I18" s="486"/>
      <c r="J18" s="447"/>
      <c r="K18" s="436" t="s">
        <v>601</v>
      </c>
      <c r="L18" s="447"/>
      <c r="M18" s="486" t="s">
        <v>1680</v>
      </c>
      <c r="N18" s="447"/>
      <c r="O18" s="504" t="s">
        <v>1664</v>
      </c>
      <c r="P18" s="447"/>
      <c r="Q18" s="435">
        <v>0.66666666666666685</v>
      </c>
      <c r="R18" s="435">
        <v>0.41666666666666652</v>
      </c>
    </row>
    <row r="19" spans="1:18" ht="19.95" customHeight="1">
      <c r="A19" s="435">
        <v>0.68750000000000022</v>
      </c>
      <c r="B19" s="435">
        <v>0.43749999999999983</v>
      </c>
      <c r="C19" s="489"/>
      <c r="D19" s="447"/>
      <c r="E19" s="489"/>
      <c r="F19" s="447"/>
      <c r="G19" s="487"/>
      <c r="H19" s="447"/>
      <c r="I19" s="487" t="s">
        <v>1663</v>
      </c>
      <c r="J19" s="447"/>
      <c r="K19" s="487" t="s">
        <v>982</v>
      </c>
      <c r="L19" s="447"/>
      <c r="M19" s="486"/>
      <c r="N19" s="447"/>
      <c r="O19" s="504"/>
      <c r="P19" s="447"/>
      <c r="Q19" s="435">
        <v>0.68750000000000022</v>
      </c>
      <c r="R19" s="435">
        <v>0.43749999999999983</v>
      </c>
    </row>
    <row r="20" spans="1:18" ht="19.95" customHeight="1">
      <c r="A20" s="435">
        <v>0.70833333333333359</v>
      </c>
      <c r="B20" s="435">
        <v>0.45833333333333315</v>
      </c>
      <c r="C20" s="489"/>
      <c r="D20" s="447"/>
      <c r="E20" s="489"/>
      <c r="F20" s="447"/>
      <c r="G20" s="487"/>
      <c r="H20" s="447"/>
      <c r="I20" s="487"/>
      <c r="J20" s="447"/>
      <c r="K20" s="487"/>
      <c r="L20" s="447"/>
      <c r="M20" s="486"/>
      <c r="N20" s="447"/>
      <c r="O20" s="504"/>
      <c r="P20" s="447"/>
      <c r="Q20" s="435">
        <v>0.70833333333333359</v>
      </c>
      <c r="R20" s="435">
        <v>0.45833333333333315</v>
      </c>
    </row>
    <row r="21" spans="1:18" ht="19.95" customHeight="1">
      <c r="A21" s="435">
        <v>0.72916666666666696</v>
      </c>
      <c r="B21" s="435">
        <v>0.47916666666666646</v>
      </c>
      <c r="C21" s="490"/>
      <c r="D21" s="447"/>
      <c r="E21" s="490"/>
      <c r="F21" s="447"/>
      <c r="G21" s="502" t="s">
        <v>1676</v>
      </c>
      <c r="H21" s="447"/>
      <c r="I21" s="486" t="s">
        <v>1676</v>
      </c>
      <c r="J21" s="447"/>
      <c r="K21" s="486" t="s">
        <v>1676</v>
      </c>
      <c r="L21" s="447"/>
      <c r="M21" s="486"/>
      <c r="N21" s="447"/>
      <c r="O21" s="504"/>
      <c r="P21" s="447"/>
      <c r="Q21" s="435">
        <v>0.72916666666666696</v>
      </c>
      <c r="R21" s="435">
        <v>0.47916666666666646</v>
      </c>
    </row>
    <row r="22" spans="1:18" ht="19.95" customHeight="1">
      <c r="A22" s="435">
        <v>0.75000000000000033</v>
      </c>
      <c r="B22" s="435">
        <v>0.49999999999999978</v>
      </c>
      <c r="C22" s="502" t="s">
        <v>1679</v>
      </c>
      <c r="D22" s="447"/>
      <c r="E22" s="502" t="s">
        <v>1679</v>
      </c>
      <c r="F22" s="447"/>
      <c r="G22" s="503"/>
      <c r="H22" s="447"/>
      <c r="I22" s="486"/>
      <c r="J22" s="447"/>
      <c r="K22" s="486"/>
      <c r="L22" s="447"/>
      <c r="M22" s="486"/>
      <c r="N22" s="447"/>
      <c r="O22" s="491" t="s">
        <v>1677</v>
      </c>
      <c r="P22" s="447"/>
      <c r="Q22" s="435">
        <v>0.75000000000000033</v>
      </c>
      <c r="R22" s="435">
        <v>0.49999999999999978</v>
      </c>
    </row>
    <row r="23" spans="1:18" ht="19.95" customHeight="1">
      <c r="A23" s="435">
        <v>0.7708333333333337</v>
      </c>
      <c r="B23" s="435">
        <v>0.52083333333333315</v>
      </c>
      <c r="C23" s="503"/>
      <c r="D23" s="447"/>
      <c r="E23" s="503"/>
      <c r="F23" s="447"/>
      <c r="G23" s="498" t="s">
        <v>1677</v>
      </c>
      <c r="H23" s="447"/>
      <c r="I23" s="501" t="s">
        <v>1677</v>
      </c>
      <c r="J23" s="447"/>
      <c r="K23" s="501" t="s">
        <v>1677</v>
      </c>
      <c r="L23" s="447"/>
      <c r="M23" s="501" t="s">
        <v>1677</v>
      </c>
      <c r="N23" s="447"/>
      <c r="O23" s="491"/>
      <c r="P23" s="447"/>
      <c r="Q23" s="435">
        <v>0.7708333333333337</v>
      </c>
      <c r="R23" s="435">
        <v>0.52083333333333315</v>
      </c>
    </row>
    <row r="24" spans="1:18" ht="19.95" customHeight="1">
      <c r="A24" s="438">
        <v>0.79166666666666707</v>
      </c>
      <c r="B24" s="438">
        <v>0.54166666666666652</v>
      </c>
      <c r="C24" s="491" t="s">
        <v>1677</v>
      </c>
      <c r="D24" s="447"/>
      <c r="E24" s="491" t="s">
        <v>1677</v>
      </c>
      <c r="F24" s="447"/>
      <c r="G24" s="499"/>
      <c r="H24" s="447"/>
      <c r="I24" s="501"/>
      <c r="J24" s="447"/>
      <c r="K24" s="501"/>
      <c r="L24" s="447"/>
      <c r="M24" s="501"/>
      <c r="N24" s="447"/>
      <c r="O24" s="491"/>
      <c r="P24" s="447"/>
      <c r="Q24" s="438">
        <v>0.79166666666666707</v>
      </c>
      <c r="R24" s="438">
        <v>0.54166666666666652</v>
      </c>
    </row>
    <row r="25" spans="1:18" ht="19.95" customHeight="1">
      <c r="A25" s="438">
        <v>0.81250000000000044</v>
      </c>
      <c r="B25" s="438">
        <v>0.56249999999999989</v>
      </c>
      <c r="C25" s="491"/>
      <c r="D25" s="448"/>
      <c r="E25" s="491"/>
      <c r="F25" s="448"/>
      <c r="G25" s="500"/>
      <c r="H25" s="448"/>
      <c r="I25" s="501"/>
      <c r="J25" s="448"/>
      <c r="K25" s="501"/>
      <c r="L25" s="448"/>
      <c r="M25" s="501"/>
      <c r="N25" s="448"/>
      <c r="O25" s="491"/>
      <c r="P25" s="448"/>
      <c r="Q25" s="438">
        <v>0.81250000000000044</v>
      </c>
      <c r="R25" s="438">
        <v>0.56249999999999989</v>
      </c>
    </row>
    <row r="33" spans="2:15" ht="16.05" customHeight="1">
      <c r="B33" s="439" t="s">
        <v>838</v>
      </c>
      <c r="C33" s="439" t="s">
        <v>839</v>
      </c>
      <c r="D33" s="492" t="s">
        <v>1665</v>
      </c>
      <c r="E33" s="493"/>
      <c r="F33" s="493"/>
      <c r="G33" s="494"/>
      <c r="H33" s="439" t="s">
        <v>1666</v>
      </c>
      <c r="L33" s="495" t="s">
        <v>1675</v>
      </c>
      <c r="M33" s="496"/>
      <c r="N33" s="496"/>
      <c r="O33" s="497"/>
    </row>
    <row r="34" spans="2:15" ht="16.05" customHeight="1">
      <c r="B34" s="440">
        <v>1</v>
      </c>
      <c r="C34" s="441">
        <f>Planning!B24</f>
        <v>44282</v>
      </c>
      <c r="D34" s="472" t="s">
        <v>1667</v>
      </c>
      <c r="E34" s="472"/>
      <c r="F34" s="472"/>
      <c r="G34" s="472"/>
      <c r="H34" s="442" t="s">
        <v>592</v>
      </c>
      <c r="L34" s="476" t="s">
        <v>1674</v>
      </c>
      <c r="M34" s="477"/>
      <c r="N34" s="477"/>
      <c r="O34" s="478"/>
    </row>
    <row r="35" spans="2:15" ht="16.05" customHeight="1">
      <c r="B35" s="440" t="s">
        <v>1668</v>
      </c>
      <c r="C35" s="441">
        <f>G5</f>
        <v>44298</v>
      </c>
      <c r="D35" s="472" t="s">
        <v>1669</v>
      </c>
      <c r="E35" s="472"/>
      <c r="F35" s="472"/>
      <c r="G35" s="472"/>
      <c r="H35" s="442" t="s">
        <v>617</v>
      </c>
      <c r="L35" s="479" t="s">
        <v>1670</v>
      </c>
      <c r="M35" s="480"/>
      <c r="N35" s="480"/>
      <c r="O35" s="481"/>
    </row>
    <row r="36" spans="2:15" ht="16.05" customHeight="1">
      <c r="B36" s="440"/>
      <c r="C36" s="441"/>
      <c r="D36" s="472"/>
      <c r="E36" s="472"/>
      <c r="F36" s="472"/>
      <c r="G36" s="472"/>
      <c r="H36" s="442"/>
      <c r="L36" s="482" t="s">
        <v>1671</v>
      </c>
      <c r="M36" s="483"/>
      <c r="N36" s="483"/>
      <c r="O36" s="484"/>
    </row>
    <row r="37" spans="2:15" ht="16.05" customHeight="1">
      <c r="B37" s="440"/>
      <c r="C37" s="441"/>
      <c r="D37" s="472"/>
      <c r="E37" s="472"/>
      <c r="F37" s="472"/>
      <c r="G37" s="472"/>
      <c r="H37" s="442"/>
      <c r="L37" s="473" t="s">
        <v>1672</v>
      </c>
      <c r="M37" s="474"/>
      <c r="N37" s="474"/>
      <c r="O37" s="47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1182</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28.8">
      <c r="A4" s="510" t="s">
        <v>921</v>
      </c>
      <c r="B4" s="510"/>
      <c r="C4" s="68" t="str">
        <f>J11</f>
        <v>Mini team 1:ATM-5 / ATM-6 / ATM-7</v>
      </c>
      <c r="D4" s="68" t="str">
        <f>M11</f>
        <v>Full team: ATM-1 / ATM-2 / ATM-3 / ATM-4 /ATM-5 / ATM-6 / ATM-7 / ATM-8</v>
      </c>
      <c r="E4" s="68" t="str">
        <f>CONCATENATE("LA team: ",'Agreement 3'!B7," and ATMs if applicable")</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I15" s="134"/>
      <c r="K15" s="138"/>
      <c r="L15" s="134" t="str">
        <f>'P1PA-SS'!B96</f>
        <v>ATM-5</v>
      </c>
      <c r="M15" s="135"/>
      <c r="N15" s="67"/>
      <c r="O15" s="67"/>
      <c r="P15" s="67"/>
    </row>
    <row r="16" spans="1:16">
      <c r="A16" s="517" t="str">
        <f>J4</f>
        <v>Day 3</v>
      </c>
      <c r="B16" s="517"/>
      <c r="C16" s="518">
        <f>I4</f>
        <v>44298</v>
      </c>
      <c r="D16" s="518"/>
      <c r="E16" s="518"/>
      <c r="F16" s="517" t="str">
        <f>A16</f>
        <v>Day 3</v>
      </c>
      <c r="G16" s="517"/>
      <c r="H16" s="65"/>
      <c r="I16" s="134"/>
      <c r="K16" s="138"/>
      <c r="L16" s="134" t="str">
        <f>'P1PA-SS'!B97</f>
        <v>ATM-6</v>
      </c>
      <c r="M16" s="135"/>
      <c r="N16" s="67"/>
      <c r="O16" s="67"/>
      <c r="P16" s="67"/>
    </row>
    <row r="17" spans="1:18" ht="28.8">
      <c r="A17" s="517" t="s">
        <v>921</v>
      </c>
      <c r="B17" s="517"/>
      <c r="C17" s="71" t="str">
        <f>C4</f>
        <v>Mini team 1:ATM-5 / ATM-6 / ATM-7</v>
      </c>
      <c r="D17" s="71" t="str">
        <f>D4</f>
        <v>Full team: ATM-1 / ATM-2 / ATM-3 / ATM-4 /ATM-5 / ATM-6 / ATM-7 / ATM-8</v>
      </c>
      <c r="E17" s="7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9" t="s">
        <v>976</v>
      </c>
      <c r="D19" s="520"/>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1635</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929</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71" t="str">
        <f>C17</f>
        <v>Mini team 1:ATM-5 / ATM-6 / ATM-7</v>
      </c>
      <c r="D36" s="71" t="str">
        <f>D17</f>
        <v>Full team: ATM-1 / ATM-2 / ATM-3 / ATM-4 /ATM-5 / ATM-6 / ATM-7 / ATM-8</v>
      </c>
      <c r="E36" s="71" t="str">
        <f>E17</f>
        <v>LA team: van Zyl, Pieter and ATMs if applicable</v>
      </c>
      <c r="F36" s="517" t="s">
        <v>922</v>
      </c>
      <c r="G36" s="517"/>
      <c r="H36" s="74"/>
    </row>
    <row r="37" spans="1:16" ht="18" customHeight="1">
      <c r="A37" s="70">
        <v>0.41666666666666669</v>
      </c>
      <c r="B37" s="70">
        <v>0.4375</v>
      </c>
      <c r="C37" s="515" t="s">
        <v>929</v>
      </c>
      <c r="D37" s="515"/>
      <c r="E37" s="72"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1636</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929</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68" t="str">
        <f>C36</f>
        <v>Mini team 1:ATM-5 / ATM-6 / ATM-7</v>
      </c>
      <c r="D55" s="68" t="str">
        <f>D36</f>
        <v>Full team: ATM-1 / ATM-2 / ATM-3 / ATM-4 /ATM-5 / ATM-6 / ATM-7 / ATM-8</v>
      </c>
      <c r="E55" s="68" t="str">
        <f>E36</f>
        <v>LA team: van Zyl, Pieter and ATMs if applicable</v>
      </c>
      <c r="F55" s="510" t="s">
        <v>922</v>
      </c>
      <c r="G55" s="510"/>
      <c r="H55" s="74"/>
    </row>
    <row r="56" spans="1:8" ht="18" customHeight="1">
      <c r="A56" s="70">
        <v>0.41666666666666669</v>
      </c>
      <c r="B56" s="70">
        <v>0.4375</v>
      </c>
      <c r="C56" s="515" t="s">
        <v>931</v>
      </c>
      <c r="D56" s="515"/>
      <c r="E56" s="72"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1637</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15" t="s">
        <v>929</v>
      </c>
      <c r="D71" s="515"/>
      <c r="E71" s="515"/>
      <c r="F71" s="70">
        <v>0.47916666666666669</v>
      </c>
      <c r="G71" s="70">
        <v>0.5</v>
      </c>
      <c r="H71" s="74"/>
    </row>
    <row r="72" spans="1:8" ht="18" customHeight="1">
      <c r="A72" s="70">
        <v>0.75</v>
      </c>
      <c r="B72" s="70">
        <v>0.83333333333333337</v>
      </c>
      <c r="C72" s="515" t="s">
        <v>930</v>
      </c>
      <c r="D72" s="515"/>
      <c r="E72" s="515"/>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68" t="str">
        <f>C55</f>
        <v>Mini team 1:ATM-5 / ATM-6 / ATM-7</v>
      </c>
      <c r="D74" s="68" t="str">
        <f>D55</f>
        <v>Full team: ATM-1 / ATM-2 / ATM-3 / ATM-4 /ATM-5 / ATM-6 / ATM-7 / ATM-8</v>
      </c>
      <c r="E74" s="68"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3" t="s">
        <v>932</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68" t="str">
        <f>C74</f>
        <v>Mini team 1:ATM-5 / ATM-6 / ATM-7</v>
      </c>
      <c r="D93" s="68" t="str">
        <f>D74</f>
        <v>Full team: ATM-1 / ATM-2 / ATM-3 / ATM-4 /ATM-5 / ATM-6 / ATM-7 / ATM-8</v>
      </c>
      <c r="E93" s="68"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1644</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1643</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1183</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49.5" customHeight="1">
      <c r="A4" s="510" t="s">
        <v>921</v>
      </c>
      <c r="B4" s="510"/>
      <c r="C4" s="229" t="str">
        <f>'Schedule4-1P'!C4</f>
        <v>Mini team 1:ATM-5 / ATM-6 / ATM-7</v>
      </c>
      <c r="D4" s="229" t="str">
        <f>'Schedule4-1P'!D4</f>
        <v>Full team: ATM-1 / ATM-2 / ATM-3 / ATM-4 /ATM-5 / ATM-6 / ATM-7 / ATM-8</v>
      </c>
      <c r="E4" s="229" t="str">
        <f>'Schedule4-1P'!E4</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K15" s="138"/>
      <c r="L15" s="134" t="str">
        <f>'P1PA-SS'!B96</f>
        <v>ATM-5</v>
      </c>
      <c r="M15" s="135"/>
      <c r="N15" s="67"/>
      <c r="O15" s="67"/>
      <c r="P15" s="67"/>
    </row>
    <row r="16" spans="1:16">
      <c r="A16" s="517" t="str">
        <f>J4</f>
        <v>Day 3</v>
      </c>
      <c r="B16" s="517"/>
      <c r="C16" s="518">
        <f>I4</f>
        <v>44298</v>
      </c>
      <c r="D16" s="518"/>
      <c r="E16" s="518"/>
      <c r="F16" s="517" t="str">
        <f>A16</f>
        <v>Day 3</v>
      </c>
      <c r="G16" s="517"/>
      <c r="H16" s="65"/>
      <c r="K16" s="138"/>
      <c r="L16" s="134" t="str">
        <f>'P1PA-SS'!B97</f>
        <v>ATM-6</v>
      </c>
      <c r="M16" s="135"/>
      <c r="N16" s="67"/>
      <c r="O16" s="67"/>
      <c r="P16" s="67"/>
    </row>
    <row r="17" spans="1:18" ht="28.8">
      <c r="A17" s="517" t="s">
        <v>921</v>
      </c>
      <c r="B17" s="517"/>
      <c r="C17" s="231" t="str">
        <f>C4</f>
        <v>Mini team 1:ATM-5 / ATM-6 / ATM-7</v>
      </c>
      <c r="D17" s="231" t="str">
        <f>D4</f>
        <v>Full team: ATM-1 / ATM-2 / ATM-3 / ATM-4 /ATM-5 / ATM-6 / ATM-7 / ATM-8</v>
      </c>
      <c r="E17" s="23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4"/>
      <c r="E19" s="514"/>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978</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1113</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231" t="str">
        <f>C17</f>
        <v>Mini team 1:ATM-5 / ATM-6 / ATM-7</v>
      </c>
      <c r="D36" s="231" t="str">
        <f>D17</f>
        <v>Full team: ATM-1 / ATM-2 / ATM-3 / ATM-4 /ATM-5 / ATM-6 / ATM-7 / ATM-8</v>
      </c>
      <c r="E36" s="231" t="str">
        <f>E17</f>
        <v>LA team: van Zyl, Pieter and ATMs if applicable</v>
      </c>
      <c r="F36" s="517" t="s">
        <v>922</v>
      </c>
      <c r="G36" s="517"/>
      <c r="H36" s="74"/>
    </row>
    <row r="37" spans="1:16" ht="18" customHeight="1">
      <c r="A37" s="70">
        <v>0.41666666666666669</v>
      </c>
      <c r="B37" s="70">
        <v>0.4375</v>
      </c>
      <c r="C37" s="515" t="s">
        <v>929</v>
      </c>
      <c r="D37" s="515"/>
      <c r="E37" s="230"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979</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1113</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229" t="str">
        <f>C36</f>
        <v>Mini team 1:ATM-5 / ATM-6 / ATM-7</v>
      </c>
      <c r="D55" s="229" t="str">
        <f>D36</f>
        <v>Full team: ATM-1 / ATM-2 / ATM-3 / ATM-4 /ATM-5 / ATM-6 / ATM-7 / ATM-8</v>
      </c>
      <c r="E55" s="229" t="str">
        <f>E36</f>
        <v>LA team: van Zyl, Pieter and ATMs if applicable</v>
      </c>
      <c r="F55" s="510" t="s">
        <v>922</v>
      </c>
      <c r="G55" s="510"/>
      <c r="H55" s="74"/>
    </row>
    <row r="56" spans="1:8" ht="18" customHeight="1">
      <c r="A56" s="70">
        <v>0.41666666666666669</v>
      </c>
      <c r="B56" s="70">
        <v>0.4375</v>
      </c>
      <c r="C56" s="515" t="s">
        <v>931</v>
      </c>
      <c r="D56" s="515"/>
      <c r="E56" s="230"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981</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45" t="s">
        <v>1112</v>
      </c>
      <c r="D71" s="546"/>
      <c r="E71" s="547"/>
      <c r="F71" s="70">
        <v>0.47916666666666669</v>
      </c>
      <c r="G71" s="70">
        <v>0.5</v>
      </c>
      <c r="H71" s="74"/>
    </row>
    <row r="72" spans="1:8" ht="18" customHeight="1">
      <c r="A72" s="70">
        <v>0.75</v>
      </c>
      <c r="B72" s="70">
        <v>0.83333333333333337</v>
      </c>
      <c r="C72" s="548"/>
      <c r="D72" s="549"/>
      <c r="E72" s="550"/>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229" t="str">
        <f>C55</f>
        <v>Mini team 1:ATM-5 / ATM-6 / ATM-7</v>
      </c>
      <c r="D74" s="229" t="str">
        <f>D55</f>
        <v>Full team: ATM-1 / ATM-2 / ATM-3 / ATM-4 /ATM-5 / ATM-6 / ATM-7 / ATM-8</v>
      </c>
      <c r="E74" s="229"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45" t="s">
        <v>1112</v>
      </c>
      <c r="D81" s="546"/>
      <c r="E81" s="547"/>
      <c r="F81" s="70">
        <v>0.29166666666666669</v>
      </c>
      <c r="G81" s="70">
        <v>0.3125</v>
      </c>
      <c r="H81" s="74"/>
    </row>
    <row r="82" spans="1:8" ht="18" customHeight="1">
      <c r="A82" s="70">
        <v>0.5625</v>
      </c>
      <c r="B82" s="70">
        <v>0.58333333333333337</v>
      </c>
      <c r="C82" s="548"/>
      <c r="D82" s="549"/>
      <c r="E82" s="550"/>
      <c r="F82" s="70">
        <v>0.3125</v>
      </c>
      <c r="G82" s="70">
        <v>0.33333333333333331</v>
      </c>
      <c r="H82" s="74"/>
    </row>
    <row r="83" spans="1:8" ht="18" customHeight="1">
      <c r="A83" s="70">
        <v>0.58333333333333337</v>
      </c>
      <c r="B83" s="70">
        <v>0.60416666666666663</v>
      </c>
      <c r="C83" s="539" t="s">
        <v>932</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229" t="str">
        <f>C74</f>
        <v>Mini team 1:ATM-5 / ATM-6 / ATM-7</v>
      </c>
      <c r="D93" s="229" t="str">
        <f>D74</f>
        <v>Full team: ATM-1 / ATM-2 / ATM-3 / ATM-4 /ATM-5 / ATM-6 / ATM-7 / ATM-8</v>
      </c>
      <c r="E93" s="229"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1644</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1643</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1" t="s">
        <v>1423</v>
      </c>
      <c r="C3" s="332" t="s">
        <v>1424</v>
      </c>
      <c r="D3" s="333" t="s">
        <v>1425</v>
      </c>
      <c r="E3" s="333" t="s">
        <v>1425</v>
      </c>
      <c r="F3" s="552" t="s">
        <v>1426</v>
      </c>
      <c r="G3" s="552" t="s">
        <v>1427</v>
      </c>
      <c r="H3" s="334">
        <f t="shared" ref="H3:H19" si="1">+A3-0.25</f>
        <v>0.16666666666666702</v>
      </c>
    </row>
    <row r="4" spans="1:8">
      <c r="A4" s="331">
        <v>0.4375</v>
      </c>
      <c r="B4" s="551"/>
      <c r="C4" s="335" t="s">
        <v>1428</v>
      </c>
      <c r="D4" s="553" t="s">
        <v>1429</v>
      </c>
      <c r="E4" s="553" t="s">
        <v>1430</v>
      </c>
      <c r="F4" s="552"/>
      <c r="G4" s="552"/>
      <c r="H4" s="334">
        <f t="shared" si="1"/>
        <v>0.1875</v>
      </c>
    </row>
    <row r="5" spans="1:8">
      <c r="A5" s="331">
        <v>0.45833333333333398</v>
      </c>
      <c r="B5" s="554" t="s">
        <v>1431</v>
      </c>
      <c r="C5" s="555" t="s">
        <v>1432</v>
      </c>
      <c r="D5" s="553"/>
      <c r="E5" s="553"/>
      <c r="F5" s="552"/>
      <c r="G5" s="552"/>
      <c r="H5" s="334">
        <f t="shared" si="1"/>
        <v>0.20833333333333398</v>
      </c>
    </row>
    <row r="6" spans="1:8">
      <c r="A6" s="331">
        <v>0.47916666666666702</v>
      </c>
      <c r="B6" s="554"/>
      <c r="C6" s="555"/>
      <c r="D6" s="553"/>
      <c r="E6" s="553"/>
      <c r="F6" s="552"/>
      <c r="G6" s="332" t="s">
        <v>1428</v>
      </c>
      <c r="H6" s="334">
        <f t="shared" si="1"/>
        <v>0.22916666666666702</v>
      </c>
    </row>
    <row r="7" spans="1:8">
      <c r="A7" s="331">
        <v>0.5</v>
      </c>
      <c r="B7" s="554"/>
      <c r="C7" s="553" t="s">
        <v>1433</v>
      </c>
      <c r="D7" s="553"/>
      <c r="E7" s="553"/>
      <c r="F7" s="556" t="s">
        <v>928</v>
      </c>
      <c r="G7" s="556" t="s">
        <v>928</v>
      </c>
      <c r="H7" s="334">
        <f t="shared" si="1"/>
        <v>0.25</v>
      </c>
    </row>
    <row r="8" spans="1:8" ht="28.8">
      <c r="A8" s="331">
        <v>0.52083333333333404</v>
      </c>
      <c r="B8" s="336" t="s">
        <v>1423</v>
      </c>
      <c r="C8" s="553"/>
      <c r="D8" s="553"/>
      <c r="E8" s="553"/>
      <c r="F8" s="556"/>
      <c r="G8" s="556"/>
      <c r="H8" s="334">
        <f t="shared" si="1"/>
        <v>0.27083333333333404</v>
      </c>
    </row>
    <row r="9" spans="1:8">
      <c r="A9" s="331">
        <v>0.54166666666666696</v>
      </c>
      <c r="B9" s="557" t="s">
        <v>928</v>
      </c>
      <c r="C9" s="556" t="s">
        <v>928</v>
      </c>
      <c r="D9" s="556" t="s">
        <v>928</v>
      </c>
      <c r="E9" s="556" t="s">
        <v>928</v>
      </c>
      <c r="F9" s="332" t="s">
        <v>1428</v>
      </c>
      <c r="G9" s="555" t="s">
        <v>786</v>
      </c>
      <c r="H9" s="334">
        <f t="shared" si="1"/>
        <v>0.29166666666666696</v>
      </c>
    </row>
    <row r="10" spans="1:8">
      <c r="A10" s="331">
        <v>0.5625</v>
      </c>
      <c r="B10" s="557"/>
      <c r="C10" s="556"/>
      <c r="D10" s="556"/>
      <c r="E10" s="556"/>
      <c r="F10" s="555" t="s">
        <v>1434</v>
      </c>
      <c r="G10" s="555"/>
      <c r="H10" s="334">
        <f t="shared" si="1"/>
        <v>0.3125</v>
      </c>
    </row>
    <row r="11" spans="1:8">
      <c r="A11" s="331">
        <v>0.58333333333333304</v>
      </c>
      <c r="B11" s="551" t="s">
        <v>1435</v>
      </c>
      <c r="C11" s="553" t="s">
        <v>1436</v>
      </c>
      <c r="D11" s="553" t="s">
        <v>1437</v>
      </c>
      <c r="E11" s="553" t="s">
        <v>1438</v>
      </c>
      <c r="F11" s="555"/>
      <c r="G11" s="552" t="s">
        <v>1439</v>
      </c>
      <c r="H11" s="334">
        <f t="shared" si="1"/>
        <v>0.33333333333333304</v>
      </c>
    </row>
    <row r="12" spans="1:8">
      <c r="A12" s="331">
        <v>0.60416666666666696</v>
      </c>
      <c r="B12" s="551"/>
      <c r="C12" s="553"/>
      <c r="D12" s="553"/>
      <c r="E12" s="553"/>
      <c r="F12" s="555" t="s">
        <v>1440</v>
      </c>
      <c r="G12" s="552"/>
      <c r="H12" s="334">
        <f t="shared" si="1"/>
        <v>0.35416666666666696</v>
      </c>
    </row>
    <row r="13" spans="1:8">
      <c r="A13" s="331">
        <v>0.625</v>
      </c>
      <c r="B13" s="551"/>
      <c r="C13" s="553"/>
      <c r="D13" s="553" t="s">
        <v>1441</v>
      </c>
      <c r="E13" s="553"/>
      <c r="F13" s="555"/>
      <c r="G13" s="552"/>
      <c r="H13" s="334">
        <f t="shared" si="1"/>
        <v>0.375</v>
      </c>
    </row>
    <row r="14" spans="1:8">
      <c r="A14" s="331">
        <v>0.64583333333333304</v>
      </c>
      <c r="B14" s="551"/>
      <c r="C14" s="553"/>
      <c r="D14" s="553"/>
      <c r="E14" s="553"/>
      <c r="F14" s="552" t="s">
        <v>1427</v>
      </c>
      <c r="G14" s="558" t="s">
        <v>1442</v>
      </c>
      <c r="H14" s="334">
        <f t="shared" si="1"/>
        <v>0.39583333333333304</v>
      </c>
    </row>
    <row r="15" spans="1:8">
      <c r="A15" s="331">
        <v>0.66666666666666696</v>
      </c>
      <c r="B15" s="551"/>
      <c r="C15" s="335" t="s">
        <v>1428</v>
      </c>
      <c r="D15" s="553"/>
      <c r="E15" s="552" t="s">
        <v>1426</v>
      </c>
      <c r="F15" s="552"/>
      <c r="G15" s="558"/>
      <c r="H15" s="334">
        <f t="shared" si="1"/>
        <v>0.41666666666666696</v>
      </c>
    </row>
    <row r="16" spans="1:8">
      <c r="A16" s="331">
        <v>0.6875</v>
      </c>
      <c r="B16" s="551"/>
      <c r="C16" s="553" t="s">
        <v>1443</v>
      </c>
      <c r="D16" s="553" t="s">
        <v>1444</v>
      </c>
      <c r="E16" s="552"/>
      <c r="F16" s="552"/>
      <c r="G16" s="558"/>
      <c r="H16" s="334">
        <f t="shared" si="1"/>
        <v>0.4375</v>
      </c>
    </row>
    <row r="17" spans="1:8">
      <c r="A17" s="331">
        <v>0.70833333333333304</v>
      </c>
      <c r="B17" s="337" t="s">
        <v>1445</v>
      </c>
      <c r="C17" s="553"/>
      <c r="D17" s="553"/>
      <c r="E17" s="552"/>
      <c r="F17" s="552"/>
      <c r="G17" s="558"/>
      <c r="H17" s="334">
        <f t="shared" si="1"/>
        <v>0.45833333333333304</v>
      </c>
    </row>
    <row r="18" spans="1:8">
      <c r="A18" s="331">
        <v>0.72916666666666663</v>
      </c>
      <c r="B18" s="338" t="s">
        <v>1425</v>
      </c>
      <c r="C18" s="333" t="s">
        <v>1425</v>
      </c>
      <c r="D18" s="333" t="s">
        <v>1425</v>
      </c>
      <c r="E18" s="333" t="s">
        <v>1425</v>
      </c>
      <c r="F18" s="333" t="s">
        <v>1425</v>
      </c>
      <c r="G18" s="558"/>
      <c r="H18" s="334">
        <f t="shared" si="1"/>
        <v>0.47916666666666663</v>
      </c>
    </row>
    <row r="19" spans="1:8" ht="15" thickBot="1">
      <c r="A19" s="339">
        <v>0.75</v>
      </c>
      <c r="B19" s="559" t="s">
        <v>930</v>
      </c>
      <c r="C19" s="560"/>
      <c r="D19" s="560"/>
      <c r="E19" s="560"/>
      <c r="F19" s="560"/>
      <c r="G19" s="560"/>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1" t="s">
        <v>1423</v>
      </c>
      <c r="C23" s="332" t="s">
        <v>1424</v>
      </c>
      <c r="D23" s="333" t="s">
        <v>1425</v>
      </c>
      <c r="E23" s="333" t="s">
        <v>1425</v>
      </c>
      <c r="F23" s="561" t="s">
        <v>1426</v>
      </c>
      <c r="G23" s="561" t="s">
        <v>1427</v>
      </c>
      <c r="H23" s="334">
        <f t="shared" ref="H23:H39" si="3">+A23-0.25</f>
        <v>0.16666666666666702</v>
      </c>
    </row>
    <row r="24" spans="1:8">
      <c r="A24" s="331">
        <v>0.4375</v>
      </c>
      <c r="B24" s="551"/>
      <c r="C24" s="335" t="s">
        <v>1428</v>
      </c>
      <c r="D24" s="553" t="s">
        <v>1429</v>
      </c>
      <c r="E24" s="553" t="s">
        <v>1430</v>
      </c>
      <c r="F24" s="562"/>
      <c r="G24" s="562"/>
      <c r="H24" s="334">
        <f t="shared" si="3"/>
        <v>0.1875</v>
      </c>
    </row>
    <row r="25" spans="1:8">
      <c r="A25" s="331">
        <v>0.45833333333333398</v>
      </c>
      <c r="B25" s="554" t="s">
        <v>1431</v>
      </c>
      <c r="C25" s="555" t="s">
        <v>1432</v>
      </c>
      <c r="D25" s="553"/>
      <c r="E25" s="553"/>
      <c r="F25" s="562"/>
      <c r="G25" s="562"/>
      <c r="H25" s="334">
        <f t="shared" si="3"/>
        <v>0.20833333333333398</v>
      </c>
    </row>
    <row r="26" spans="1:8">
      <c r="A26" s="331">
        <v>0.47916666666666702</v>
      </c>
      <c r="B26" s="554"/>
      <c r="C26" s="555"/>
      <c r="D26" s="553"/>
      <c r="E26" s="553"/>
      <c r="F26" s="562"/>
      <c r="G26" s="562"/>
      <c r="H26" s="334">
        <f t="shared" si="3"/>
        <v>0.22916666666666702</v>
      </c>
    </row>
    <row r="27" spans="1:8">
      <c r="A27" s="331">
        <v>0.5</v>
      </c>
      <c r="B27" s="554"/>
      <c r="C27" s="553" t="s">
        <v>1433</v>
      </c>
      <c r="D27" s="553"/>
      <c r="E27" s="553"/>
      <c r="F27" s="562"/>
      <c r="G27" s="562"/>
      <c r="H27" s="334">
        <f t="shared" si="3"/>
        <v>0.25</v>
      </c>
    </row>
    <row r="28" spans="1:8" ht="28.8">
      <c r="A28" s="331">
        <v>0.52083333333333404</v>
      </c>
      <c r="B28" s="336" t="s">
        <v>1423</v>
      </c>
      <c r="C28" s="553"/>
      <c r="D28" s="553"/>
      <c r="E28" s="553"/>
      <c r="F28" s="563"/>
      <c r="G28" s="563"/>
      <c r="H28" s="334">
        <f t="shared" si="3"/>
        <v>0.27083333333333404</v>
      </c>
    </row>
    <row r="29" spans="1:8">
      <c r="A29" s="331">
        <v>0.54166666666666696</v>
      </c>
      <c r="B29" s="557" t="s">
        <v>928</v>
      </c>
      <c r="C29" s="556" t="s">
        <v>928</v>
      </c>
      <c r="D29" s="556" t="s">
        <v>928</v>
      </c>
      <c r="E29" s="556" t="s">
        <v>928</v>
      </c>
      <c r="F29" s="556" t="s">
        <v>928</v>
      </c>
      <c r="G29" s="556" t="s">
        <v>928</v>
      </c>
      <c r="H29" s="334">
        <f t="shared" si="3"/>
        <v>0.29166666666666696</v>
      </c>
    </row>
    <row r="30" spans="1:8">
      <c r="A30" s="331">
        <v>0.5625</v>
      </c>
      <c r="B30" s="557"/>
      <c r="C30" s="556"/>
      <c r="D30" s="556"/>
      <c r="E30" s="556"/>
      <c r="F30" s="556"/>
      <c r="G30" s="556"/>
      <c r="H30" s="334">
        <f t="shared" si="3"/>
        <v>0.3125</v>
      </c>
    </row>
    <row r="31" spans="1:8">
      <c r="A31" s="331">
        <v>0.58333333333333304</v>
      </c>
      <c r="B31" s="561" t="s">
        <v>1435</v>
      </c>
      <c r="C31" s="553" t="s">
        <v>1436</v>
      </c>
      <c r="D31" s="553" t="s">
        <v>1437</v>
      </c>
      <c r="E31" s="553" t="s">
        <v>1438</v>
      </c>
      <c r="F31" s="333" t="s">
        <v>1428</v>
      </c>
      <c r="G31" s="333" t="s">
        <v>1428</v>
      </c>
      <c r="H31" s="334">
        <f t="shared" si="3"/>
        <v>0.33333333333333304</v>
      </c>
    </row>
    <row r="32" spans="1:8">
      <c r="A32" s="331">
        <v>0.60416666666666696</v>
      </c>
      <c r="B32" s="562"/>
      <c r="C32" s="553"/>
      <c r="D32" s="553"/>
      <c r="E32" s="553"/>
      <c r="F32" s="555" t="s">
        <v>1434</v>
      </c>
      <c r="G32" s="555" t="s">
        <v>1642</v>
      </c>
      <c r="H32" s="334">
        <f t="shared" si="3"/>
        <v>0.35416666666666696</v>
      </c>
    </row>
    <row r="33" spans="1:8">
      <c r="A33" s="331">
        <v>0.625</v>
      </c>
      <c r="B33" s="562"/>
      <c r="C33" s="553"/>
      <c r="D33" s="553" t="s">
        <v>1441</v>
      </c>
      <c r="E33" s="553"/>
      <c r="F33" s="555"/>
      <c r="G33" s="555"/>
      <c r="H33" s="334">
        <f t="shared" si="3"/>
        <v>0.375</v>
      </c>
    </row>
    <row r="34" spans="1:8">
      <c r="A34" s="331">
        <v>0.64583333333333304</v>
      </c>
      <c r="B34" s="562"/>
      <c r="C34" s="553"/>
      <c r="D34" s="553"/>
      <c r="E34" s="553"/>
      <c r="F34" s="555" t="s">
        <v>1440</v>
      </c>
      <c r="G34" s="564" t="s">
        <v>1447</v>
      </c>
      <c r="H34" s="334">
        <f t="shared" si="3"/>
        <v>0.39583333333333304</v>
      </c>
    </row>
    <row r="35" spans="1:8">
      <c r="A35" s="331">
        <v>0.66666666666666696</v>
      </c>
      <c r="B35" s="563"/>
      <c r="C35" s="335" t="s">
        <v>1428</v>
      </c>
      <c r="D35" s="553"/>
      <c r="E35" s="552" t="s">
        <v>1426</v>
      </c>
      <c r="F35" s="555"/>
      <c r="G35" s="565"/>
      <c r="H35" s="334">
        <f t="shared" si="3"/>
        <v>0.41666666666666696</v>
      </c>
    </row>
    <row r="36" spans="1:8">
      <c r="A36" s="331">
        <v>0.6875</v>
      </c>
      <c r="B36" s="341" t="s">
        <v>1448</v>
      </c>
      <c r="C36" s="553" t="s">
        <v>1443</v>
      </c>
      <c r="D36" s="553" t="s">
        <v>1444</v>
      </c>
      <c r="E36" s="552"/>
      <c r="F36" s="561" t="s">
        <v>1427</v>
      </c>
      <c r="G36" s="564" t="s">
        <v>1449</v>
      </c>
      <c r="H36" s="334">
        <f t="shared" si="3"/>
        <v>0.4375</v>
      </c>
    </row>
    <row r="37" spans="1:8">
      <c r="A37" s="331">
        <v>0.70833333333333304</v>
      </c>
      <c r="B37" s="337" t="s">
        <v>1445</v>
      </c>
      <c r="C37" s="553"/>
      <c r="D37" s="553"/>
      <c r="E37" s="552"/>
      <c r="F37" s="563"/>
      <c r="G37" s="565"/>
      <c r="H37" s="334">
        <f t="shared" si="3"/>
        <v>0.45833333333333304</v>
      </c>
    </row>
    <row r="38" spans="1:8">
      <c r="A38" s="331">
        <v>0.72916666666666663</v>
      </c>
      <c r="B38" s="338" t="s">
        <v>1425</v>
      </c>
      <c r="C38" s="333" t="s">
        <v>1425</v>
      </c>
      <c r="D38" s="333" t="s">
        <v>1425</v>
      </c>
      <c r="E38" s="333" t="s">
        <v>1425</v>
      </c>
      <c r="F38" s="333" t="s">
        <v>1425</v>
      </c>
      <c r="G38" s="566"/>
      <c r="H38" s="334">
        <f t="shared" si="3"/>
        <v>0.47916666666666663</v>
      </c>
    </row>
    <row r="39" spans="1:8" ht="15" thickBot="1">
      <c r="A39" s="339">
        <v>0.75</v>
      </c>
      <c r="B39" s="559" t="s">
        <v>930</v>
      </c>
      <c r="C39" s="560"/>
      <c r="D39" s="560"/>
      <c r="E39" s="560"/>
      <c r="F39" s="560"/>
      <c r="G39" s="560"/>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0" t="s">
        <v>1071</v>
      </c>
      <c r="C2" s="580" t="s">
        <v>1072</v>
      </c>
      <c r="D2" s="574" t="s">
        <v>1073</v>
      </c>
      <c r="E2" s="576"/>
      <c r="F2" s="577" t="s">
        <v>1074</v>
      </c>
      <c r="G2" s="579"/>
      <c r="H2" s="574" t="s">
        <v>1075</v>
      </c>
      <c r="I2" s="575"/>
      <c r="J2" s="575"/>
      <c r="K2" s="576"/>
      <c r="L2" s="577" t="s">
        <v>1076</v>
      </c>
      <c r="M2" s="578"/>
      <c r="N2" s="579"/>
      <c r="O2" s="208" t="s">
        <v>1077</v>
      </c>
      <c r="P2" s="209" t="s">
        <v>1078</v>
      </c>
      <c r="Q2" s="574" t="s">
        <v>1079</v>
      </c>
      <c r="R2" s="575"/>
      <c r="S2" s="576"/>
      <c r="T2" s="577" t="s">
        <v>1080</v>
      </c>
      <c r="U2" s="578"/>
      <c r="V2" s="579"/>
      <c r="W2" s="205" t="s">
        <v>1081</v>
      </c>
    </row>
    <row r="3" spans="2:28" ht="15.6">
      <c r="B3" s="581"/>
      <c r="C3" s="581"/>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1"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72"/>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72"/>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73"/>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71"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72"/>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72"/>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72"/>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72"/>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72"/>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72"/>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72"/>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3"/>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1"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2"/>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2"/>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72"/>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72"/>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2"/>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2"/>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3"/>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1"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2"/>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2"/>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72"/>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2"/>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3"/>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7"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7"/>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7"/>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7"/>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70" t="s">
        <v>1071</v>
      </c>
      <c r="C49" s="570" t="s">
        <v>1072</v>
      </c>
      <c r="D49" s="568" t="s">
        <v>1073</v>
      </c>
      <c r="E49" s="568"/>
      <c r="F49" s="569" t="s">
        <v>1074</v>
      </c>
      <c r="G49" s="569"/>
      <c r="H49" s="568" t="s">
        <v>1075</v>
      </c>
      <c r="I49" s="568"/>
      <c r="J49" s="568"/>
      <c r="K49" s="568"/>
      <c r="L49" s="569" t="s">
        <v>1076</v>
      </c>
      <c r="M49" s="569"/>
      <c r="N49" s="569"/>
      <c r="O49" s="208" t="s">
        <v>1077</v>
      </c>
      <c r="P49" s="209" t="s">
        <v>1078</v>
      </c>
      <c r="Q49" s="568" t="s">
        <v>1079</v>
      </c>
      <c r="R49" s="568"/>
      <c r="S49" s="568"/>
      <c r="T49" s="569" t="s">
        <v>1080</v>
      </c>
      <c r="U49" s="569"/>
      <c r="V49" s="569"/>
    </row>
    <row r="50" spans="2:28" ht="93.6">
      <c r="B50" s="570"/>
      <c r="C50" s="57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1"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72"/>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72"/>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73"/>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7"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7"/>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7"/>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7"/>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7"/>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7"/>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7"/>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7"/>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7"/>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7"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7"/>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7"/>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7"/>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7"/>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7"/>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7"/>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7"/>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7"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7"/>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7"/>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7"/>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7"/>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7"/>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7"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7"/>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7"/>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7"/>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3" t="str">
        <f>StartupInfo!B3</f>
        <v>Software for Mars (Pty) Ltd</v>
      </c>
      <c r="C2" s="583"/>
      <c r="D2" s="583"/>
      <c r="E2" s="583"/>
      <c r="F2" s="583"/>
      <c r="G2" s="583"/>
      <c r="H2" s="583"/>
      <c r="I2" s="583"/>
      <c r="J2" s="414"/>
      <c r="K2" s="414"/>
    </row>
    <row r="3" spans="1:11" ht="19.5" customHeight="1">
      <c r="B3" s="583" t="str">
        <f>StartupInfo!B4</f>
        <v>Mars</v>
      </c>
      <c r="C3" s="583"/>
      <c r="D3" s="583"/>
      <c r="E3" s="583"/>
      <c r="F3" s="583"/>
      <c r="G3" s="583"/>
      <c r="H3" s="583"/>
      <c r="I3" s="583"/>
      <c r="J3" s="415"/>
      <c r="K3" s="234"/>
    </row>
    <row r="4" spans="1:11" ht="24" customHeight="1">
      <c r="A4" s="235"/>
      <c r="B4" s="584" t="str">
        <f>IF(StartupInfo!B18="","",StartupInfo!B18)</f>
        <v>R&amp;D Department</v>
      </c>
      <c r="C4" s="584"/>
      <c r="D4" s="584"/>
      <c r="E4" s="584"/>
      <c r="F4" s="584"/>
      <c r="G4" s="584"/>
      <c r="H4" s="584"/>
      <c r="I4" s="584"/>
    </row>
    <row r="5" spans="1:11">
      <c r="A5" s="235"/>
      <c r="B5" s="585" t="str">
        <f>IF(StartupInfo!B19="","",StartupInfo!B19)</f>
        <v/>
      </c>
      <c r="C5" s="585"/>
      <c r="D5" s="585"/>
      <c r="E5" s="585"/>
      <c r="F5" s="585"/>
      <c r="G5" s="585"/>
      <c r="H5" s="585"/>
      <c r="I5" s="585"/>
      <c r="J5" s="235"/>
      <c r="K5" s="235"/>
    </row>
    <row r="6" spans="1:11">
      <c r="A6" s="234"/>
      <c r="B6" s="415"/>
      <c r="C6" s="415"/>
      <c r="D6" s="415"/>
      <c r="E6" s="415"/>
      <c r="F6" s="415"/>
      <c r="G6" s="415"/>
      <c r="H6" s="415"/>
      <c r="I6" s="415"/>
      <c r="J6" s="415"/>
      <c r="K6" s="234"/>
    </row>
    <row r="7" spans="1:11" s="418" customFormat="1">
      <c r="A7" s="416"/>
      <c r="B7" s="586" t="str">
        <f>CONCATENATE("was rated on ",TEXT(Planning!B33,"dd mmmm yyyy")," at ",Planning!B10)</f>
        <v>was rated on 16 April 2021 at Maturity Level 5</v>
      </c>
      <c r="C7" s="586"/>
      <c r="D7" s="586"/>
      <c r="E7" s="586"/>
      <c r="F7" s="586"/>
      <c r="G7" s="586"/>
      <c r="H7" s="586"/>
      <c r="I7" s="586"/>
      <c r="J7" s="417"/>
      <c r="K7" s="416"/>
    </row>
    <row r="8" spans="1:11">
      <c r="A8" s="235"/>
      <c r="B8" s="235"/>
      <c r="C8" s="235"/>
      <c r="E8" s="587"/>
      <c r="F8" s="587"/>
      <c r="G8" s="587"/>
      <c r="H8" s="235"/>
      <c r="I8" s="235"/>
      <c r="J8" s="235"/>
      <c r="K8" s="235"/>
    </row>
    <row r="9" spans="1:11">
      <c r="A9" s="235"/>
      <c r="B9" s="235"/>
      <c r="C9" s="235"/>
      <c r="D9" s="235"/>
      <c r="E9" s="587"/>
      <c r="F9" s="587"/>
      <c r="G9" s="587"/>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8" t="str">
        <f>_xlfn.CONCAT("CAS ID",'Agreement 3'!B5)</f>
        <v>CAS ID53517</v>
      </c>
      <c r="G11" s="588"/>
      <c r="H11" s="588"/>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2" t="str">
        <f>'Agreement 3'!B7</f>
        <v>van Zyl, Pieter</v>
      </c>
      <c r="H13" s="582"/>
      <c r="I13" s="582"/>
      <c r="J13" s="235"/>
      <c r="K13" s="235"/>
    </row>
    <row r="14" spans="1:11">
      <c r="A14" s="235"/>
      <c r="B14" s="235"/>
      <c r="C14" s="235"/>
      <c r="D14" s="235"/>
      <c r="E14" s="235"/>
      <c r="F14" s="235"/>
      <c r="G14" s="582" t="str">
        <f>'Agreement 3'!B9</f>
        <v>CMMI V2.0 High Maturity Lead Appraiser</v>
      </c>
      <c r="H14" s="582"/>
      <c r="I14" s="582"/>
      <c r="J14" s="235"/>
      <c r="K14" s="235"/>
    </row>
    <row r="15" spans="1:11">
      <c r="A15" s="235"/>
      <c r="B15" s="235"/>
      <c r="C15" s="235"/>
      <c r="D15" s="235"/>
      <c r="E15" s="235"/>
      <c r="F15" s="235"/>
      <c r="G15" s="582" t="str">
        <f>'Agreement 3'!B11</f>
        <v>0500535-01</v>
      </c>
      <c r="H15" s="582"/>
      <c r="I15" s="582"/>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9" t="s">
        <v>1648</v>
      </c>
      <c r="C31" s="589"/>
      <c r="D31" s="589"/>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2" t="str">
        <f>'P1PA-SS'!B76</f>
        <v>CMMI Development V2.0 (CMMI-DEV) without SAM</v>
      </c>
      <c r="B2" s="593"/>
      <c r="C2" s="593"/>
      <c r="D2" s="592"/>
      <c r="E2" s="593"/>
      <c r="F2" s="593"/>
      <c r="G2" s="593"/>
      <c r="H2" s="593"/>
      <c r="I2" s="593"/>
      <c r="L2" s="355" t="s">
        <v>1280</v>
      </c>
      <c r="M2" s="355">
        <f>VALUE(RIGHT(Planning!B10,1))</f>
        <v>5</v>
      </c>
      <c r="N2" s="343" t="s">
        <v>1281</v>
      </c>
    </row>
    <row r="3" spans="1:16" s="342" customFormat="1">
      <c r="A3" s="594" t="str">
        <f>'P1PA-SS'!B75</f>
        <v>Maturity Level 5</v>
      </c>
      <c r="B3" s="595"/>
      <c r="C3" s="595"/>
      <c r="D3" s="594"/>
      <c r="E3" s="595"/>
      <c r="F3" s="595"/>
      <c r="G3" s="595"/>
      <c r="H3" s="595"/>
      <c r="I3" s="595"/>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6"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6"/>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6"/>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6"/>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97"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98"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8"/>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9"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90"/>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1"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603" t="str">
        <f>_xlfn.CONCAT('P1PA-SS'!B139,"(",'P1PA-SS'!B140,")")</f>
        <v>All projects(AP)</v>
      </c>
      <c r="B2" s="226" t="str">
        <f>'Project&amp;Support'!B3</f>
        <v>p1Falcon9</v>
      </c>
      <c r="C2" s="227" t="str">
        <f>'Project&amp;Support'!AB3</f>
        <v>xx</v>
      </c>
      <c r="D2" s="226" t="str">
        <f>'Project&amp;Support'!C3</f>
        <v>Falcon project description</v>
      </c>
      <c r="E2" s="603" t="str">
        <f>_xlfn.CONCAT(StartupInfo!B5,", ",StartupInfo!B6,", ",StartupInfo!B7,CHAR(13),CHAR(10),StartupInfo!B8,", ",StartupInfo!B9)</f>
        <v>Room 1, Dome 1, No. 1 First Street, Base Alpha City_x000D_
Tharsis, Planet04</v>
      </c>
    </row>
    <row r="3" spans="1:5" ht="63" customHeight="1">
      <c r="A3" s="603"/>
      <c r="B3" s="226" t="str">
        <f>'Project&amp;Support'!B4</f>
        <v>p2Raptor</v>
      </c>
      <c r="C3" s="227" t="str">
        <f>'Project&amp;Support'!AB4</f>
        <v>xx</v>
      </c>
      <c r="D3" s="226" t="str">
        <f>'Project&amp;Support'!C4</f>
        <v>Raptor project description</v>
      </c>
      <c r="E3" s="603"/>
    </row>
    <row r="4" spans="1:5" ht="63" customHeight="1">
      <c r="A4" s="603"/>
      <c r="B4" s="226" t="str">
        <f>'Project&amp;Support'!B5</f>
        <v>p3Starship</v>
      </c>
      <c r="C4" s="227" t="str">
        <f>'Project&amp;Support'!AB5</f>
        <v>xx</v>
      </c>
      <c r="D4" s="226" t="str">
        <f>'Project&amp;Support'!C5</f>
        <v>Startship project description</v>
      </c>
      <c r="E4" s="603"/>
    </row>
    <row r="5" spans="1:5" ht="63" customHeight="1">
      <c r="A5" s="603"/>
      <c r="B5" s="226" t="str">
        <f>'Project&amp;Support'!B6</f>
        <v>p4SupperHeavy</v>
      </c>
      <c r="C5" s="227" t="str">
        <f>'Project&amp;Support'!AB6</f>
        <v>xx</v>
      </c>
      <c r="D5" s="226" t="str">
        <f>'Project&amp;Support'!C6</f>
        <v>Super Heavy description</v>
      </c>
      <c r="E5" s="603"/>
    </row>
    <row r="6" spans="1:5" ht="42" hidden="1">
      <c r="A6" s="603"/>
      <c r="B6" s="226" t="s">
        <v>1641</v>
      </c>
      <c r="C6" s="227">
        <f>'Project&amp;Support'!AB7</f>
        <v>1</v>
      </c>
      <c r="D6" s="226" t="str">
        <f>'Project&amp;Support'!C7</f>
        <v>The Configuration Management (CM) function, manages baselines for projects and the organisation.</v>
      </c>
      <c r="E6" s="603"/>
    </row>
    <row r="7" spans="1:5" ht="105" hidden="1">
      <c r="A7" s="603"/>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3"/>
    </row>
    <row r="8" spans="1:5" ht="63" hidden="1">
      <c r="A8" s="603"/>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3"/>
    </row>
    <row r="9" spans="1:5" ht="42" hidden="1">
      <c r="A9" s="603"/>
      <c r="B9" s="226" t="str">
        <f>'Project&amp;Support'!B10</f>
        <v>s4PPQA</v>
      </c>
      <c r="C9" s="227">
        <f>'Project&amp;Support'!AB10</f>
        <v>1</v>
      </c>
      <c r="D9" s="226" t="str">
        <f>'Project&amp;Support'!C10</f>
        <v xml:space="preserve">The Process and Product Quality Assurance (PPQA) team manage and performs process quality assurance. </v>
      </c>
      <c r="E9" s="603"/>
    </row>
    <row r="10" spans="1:5" ht="21" hidden="1">
      <c r="A10" s="603"/>
      <c r="B10" s="226">
        <f>'Project&amp;Support'!B11</f>
        <v>0</v>
      </c>
      <c r="C10" s="227">
        <f>'Project&amp;Support'!AB11</f>
        <v>0</v>
      </c>
      <c r="D10" s="226">
        <f>'Project&amp;Support'!C11</f>
        <v>0</v>
      </c>
      <c r="E10" s="603"/>
    </row>
    <row r="11" spans="1:5" ht="21" hidden="1">
      <c r="A11" s="603"/>
      <c r="B11" s="226">
        <f>'Project&amp;Support'!B12</f>
        <v>0</v>
      </c>
      <c r="C11" s="227">
        <f>'Project&amp;Support'!AB12</f>
        <v>0</v>
      </c>
      <c r="D11" s="226">
        <f>'Project&amp;Support'!C12</f>
        <v>0</v>
      </c>
      <c r="E11" s="603"/>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600" t="s">
        <v>1110</v>
      </c>
      <c r="B16" s="226" t="str">
        <f>'Project&amp;Support'!B7</f>
        <v>s1CM</v>
      </c>
      <c r="C16" s="228">
        <f>'Project&amp;Support'!AB7</f>
        <v>1</v>
      </c>
      <c r="D16" s="226" t="str">
        <f>'Project&amp;Support'!C7</f>
        <v>The Configuration Management (CM) function, manages baselines for projects and the organisation.</v>
      </c>
      <c r="E16" s="604" t="str">
        <f>StartupInfo!B11</f>
        <v>Room 1, Dome 1, No. 1 First Street, Base Alpha City, Tharsis, Planet04, China</v>
      </c>
    </row>
    <row r="17" spans="1:5" ht="105">
      <c r="A17" s="601"/>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5"/>
    </row>
    <row r="18" spans="1:5" ht="63">
      <c r="A18" s="601"/>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5"/>
    </row>
    <row r="19" spans="1:5" ht="42">
      <c r="A19" s="601"/>
      <c r="B19" s="226" t="str">
        <f>'Project&amp;Support'!B10</f>
        <v>s4PPQA</v>
      </c>
      <c r="C19" s="228">
        <f>'Project&amp;Support'!AB10</f>
        <v>1</v>
      </c>
      <c r="D19" s="226" t="str">
        <f>'Project&amp;Support'!C10</f>
        <v xml:space="preserve">The Process and Product Quality Assurance (PPQA) team manage and performs process quality assurance. </v>
      </c>
      <c r="E19" s="605"/>
    </row>
    <row r="20" spans="1:5" ht="126" hidden="1" customHeight="1">
      <c r="A20" s="601"/>
      <c r="B20" s="226">
        <f>'Project&amp;Support'!B11</f>
        <v>0</v>
      </c>
      <c r="C20" s="228">
        <f>'Project&amp;Support'!AB11</f>
        <v>0</v>
      </c>
      <c r="D20" s="226">
        <f>'Project&amp;Support'!C11</f>
        <v>0</v>
      </c>
      <c r="E20" s="605"/>
    </row>
    <row r="21" spans="1:5" ht="126" hidden="1" customHeight="1">
      <c r="A21" s="602"/>
      <c r="B21" s="226">
        <f>'Project&amp;Support'!B12</f>
        <v>0</v>
      </c>
      <c r="C21" s="228">
        <f>'Project&amp;Support'!AB12</f>
        <v>0</v>
      </c>
      <c r="D21" s="226">
        <f>'Project&amp;Support'!C12</f>
        <v>0</v>
      </c>
      <c r="E21" s="606"/>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7" t="s">
        <v>1103</v>
      </c>
      <c r="C2" s="608"/>
      <c r="D2" s="608"/>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7" t="s">
        <v>1102</v>
      </c>
      <c r="C18" s="608"/>
      <c r="D18" s="608"/>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2022-06-26T09:42:57Z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