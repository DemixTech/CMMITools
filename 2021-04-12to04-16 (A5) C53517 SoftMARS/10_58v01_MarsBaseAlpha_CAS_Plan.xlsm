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B:\2021-04-12to04-16 (A5) C53517 SoftMARS\"/>
    </mc:Choice>
  </mc:AlternateContent>
  <xr:revisionPtr revIDLastSave="0" documentId="8_{B004F3A6-8080-40EF-96F2-EAB85FC34E63}" xr6:coauthVersionLast="47" xr6:coauthVersionMax="47" xr10:uidLastSave="{00000000-0000-0000-0000-000000000000}"/>
  <bookViews>
    <workbookView xWindow="-108" yWindow="-108" windowWidth="23256" windowHeight="12456" tabRatio="859" firstSheet="32" activeTab="39"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3" i="47" l="1"/>
  <c r="G32" i="47"/>
  <c r="C33" i="47"/>
  <c r="B29" i="47"/>
  <c r="E32" i="27"/>
  <c r="B11" i="47"/>
  <c r="A12" i="75"/>
  <c r="A2" i="74"/>
  <c r="B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B20" i="47"/>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<sst xmlns="http://schemas.openxmlformats.org/spreadsheetml/2006/main" count="4257" uniqueCount="1681">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</sst>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54"/>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50" customWidth="1"/>
    <col min="2" max="16384" width="8.664062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3" customWidth="1"/>
    <col min="5" max="16384" width="8.664062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28.8">
      <c r="A11" s="44">
        <v>24</v>
      </c>
      <c r="B11" s="45">
        <v>44153</v>
      </c>
      <c r="C11" s="44" t="s">
        <v>844</v>
      </c>
      <c r="D11" s="56" t="s">
        <v>1047</v>
      </c>
      <c r="G11" s="150"/>
      <c r="H11" s="150"/>
      <c r="I11" s="150"/>
      <c r="J11" s="150"/>
      <c r="K11" s="150"/>
      <c r="L11" s="150"/>
      <c r="M11" s="150"/>
      <c r="N11" s="150"/>
      <c r="O11" s="150"/>
      <c r="P11" s="8"/>
      <c r="Q11" s="8"/>
      <c r="R11" s="8"/>
      <c r="S11" s="8"/>
    </row>
    <row r="12" spans="1:32">
      <c r="A12" s="44">
        <v>25</v>
      </c>
      <c r="B12" s="45">
        <v>44153</v>
      </c>
      <c r="C12" s="44" t="s">
        <v>844</v>
      </c>
      <c r="D12" s="56" t="s">
        <v>1073</v>
      </c>
      <c r="G12" s="150"/>
      <c r="H12" s="150"/>
      <c r="I12" s="150"/>
      <c r="J12" s="150"/>
      <c r="K12" s="150"/>
      <c r="L12" s="150"/>
      <c r="M12" s="150"/>
      <c r="N12" s="150"/>
      <c r="O12" s="150"/>
      <c r="P12" s="8"/>
      <c r="Q12" s="8"/>
      <c r="R12" s="8"/>
      <c r="S12" s="8"/>
    </row>
    <row r="13" spans="1:32" ht="28.8">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28.8">
      <c r="A16" s="44">
        <v>43</v>
      </c>
      <c r="B16" s="45">
        <v>44231</v>
      </c>
      <c r="C16" s="44" t="s">
        <v>1340</v>
      </c>
      <c r="D16" s="56" t="s">
        <v>1655</v>
      </c>
      <c r="G16" s="150"/>
      <c r="H16" s="150"/>
      <c r="I16" s="150"/>
      <c r="J16" s="150"/>
      <c r="K16" s="150"/>
      <c r="L16" s="150"/>
      <c r="M16" s="150"/>
      <c r="N16" s="150"/>
      <c r="O16" s="150"/>
      <c r="P16" s="8"/>
      <c r="Q16" s="8"/>
      <c r="R16" s="8"/>
      <c r="S16" s="8"/>
    </row>
    <row r="17" spans="1:19" ht="28.8">
      <c r="A17" s="44">
        <v>50</v>
      </c>
      <c r="B17" s="45">
        <v>44314</v>
      </c>
      <c r="C17" s="44" t="s">
        <v>844</v>
      </c>
      <c r="D17" s="56" t="s">
        <v>1654</v>
      </c>
      <c r="G17" s="150"/>
      <c r="H17" s="150"/>
      <c r="I17" s="150"/>
      <c r="J17" s="150"/>
      <c r="K17" s="150"/>
      <c r="L17" s="150"/>
      <c r="M17" s="150"/>
      <c r="N17" s="150"/>
      <c r="O17" s="150"/>
      <c r="P17" s="8"/>
      <c r="Q17" s="8"/>
      <c r="R17" s="8"/>
      <c r="S17" s="8"/>
    </row>
    <row r="18" spans="1:19" ht="28.8">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7" customWidth="1"/>
    <col min="2" max="2" width="90.33203125" style="117" customWidth="1"/>
    <col min="3" max="16384" width="8.6640625" style="117"/>
  </cols>
  <sheetData>
    <row r="1" spans="1:2">
      <c r="A1" s="294" t="s">
        <v>1254</v>
      </c>
      <c r="B1" s="294"/>
    </row>
    <row r="2" spans="1:2" ht="43.2">
      <c r="A2" s="117" t="s">
        <v>1255</v>
      </c>
      <c r="B2" s="117" t="s">
        <v>1256</v>
      </c>
    </row>
    <row r="3" spans="1:2">
      <c r="B3" s="295" t="s">
        <v>1257</v>
      </c>
    </row>
    <row r="4" spans="1:2">
      <c r="B4" s="296" t="s">
        <v>1258</v>
      </c>
    </row>
    <row r="5" spans="1:2" ht="28.8">
      <c r="B5" s="297" t="s">
        <v>1259</v>
      </c>
    </row>
    <row r="7" spans="1:2" ht="72">
      <c r="A7" s="117" t="s">
        <v>1260</v>
      </c>
      <c r="B7" s="117" t="s">
        <v>1261</v>
      </c>
    </row>
    <row r="9" spans="1:2" ht="28.8">
      <c r="A9" s="117" t="s">
        <v>1262</v>
      </c>
      <c r="B9" s="117" t="s">
        <v>1263</v>
      </c>
    </row>
    <row r="11" spans="1:2">
      <c r="A11" s="294" t="s">
        <v>1264</v>
      </c>
      <c r="B11" s="294"/>
    </row>
    <row r="12" spans="1:2">
      <c r="A12" s="117" t="s">
        <v>1228</v>
      </c>
      <c r="B12" s="117" t="s">
        <v>1265</v>
      </c>
    </row>
    <row r="13" spans="1:2" ht="43.2">
      <c r="A13" s="117" t="s">
        <v>1199</v>
      </c>
      <c r="B13" s="117" t="s">
        <v>1266</v>
      </c>
    </row>
    <row r="14" spans="1:2">
      <c r="A14" s="117" t="s">
        <v>1267</v>
      </c>
      <c r="B14" s="117" t="s">
        <v>1268</v>
      </c>
    </row>
    <row r="15" spans="1:2" ht="57.6">
      <c r="A15" s="117" t="s">
        <v>946</v>
      </c>
      <c r="B15" s="117" t="s">
        <v>1269</v>
      </c>
    </row>
    <row r="16" spans="1:2" ht="43.2">
      <c r="A16" s="125" t="s">
        <v>947</v>
      </c>
      <c r="B16" s="117" t="s">
        <v>1270</v>
      </c>
    </row>
    <row r="17" spans="1:2">
      <c r="A17" s="125" t="s">
        <v>959</v>
      </c>
      <c r="B17" s="117" t="s">
        <v>1271</v>
      </c>
    </row>
    <row r="18" spans="1:2" ht="28.8">
      <c r="A18" s="125" t="s">
        <v>948</v>
      </c>
      <c r="B18" s="117" t="s">
        <v>1272</v>
      </c>
    </row>
    <row r="19" spans="1:2" ht="43.2">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2"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4" customFormat="1" ht="28.8">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6">
      <c r="A18" s="51" t="s">
        <v>958</v>
      </c>
      <c r="B18" s="51"/>
      <c r="C18" s="49"/>
    </row>
    <row r="19" spans="1:3" s="50" customFormat="1" ht="15.6">
      <c r="A19" s="50" t="s">
        <v>873</v>
      </c>
      <c r="B19" s="413" t="s">
        <v>1342</v>
      </c>
      <c r="C19" s="49"/>
    </row>
    <row r="20" spans="1:3" s="50" customFormat="1" ht="15.6">
      <c r="A20" s="50" t="s">
        <v>960</v>
      </c>
      <c r="B20" s="94">
        <f>B21-1</f>
        <v>44267</v>
      </c>
      <c r="C20" s="49"/>
    </row>
    <row r="21" spans="1:3" s="50" customFormat="1" ht="15.6">
      <c r="A21" s="50" t="s">
        <v>1002</v>
      </c>
      <c r="B21" s="146">
        <f>B24-14</f>
        <v>44268</v>
      </c>
      <c r="C21" s="49" t="s">
        <v>999</v>
      </c>
    </row>
    <row r="22" spans="1:3" s="50" customFormat="1" ht="15.6">
      <c r="B22" s="94"/>
      <c r="C22" s="49"/>
    </row>
    <row r="23" spans="1:3" s="50" customFormat="1" ht="15.6">
      <c r="A23" s="50" t="s">
        <v>961</v>
      </c>
      <c r="B23" s="94">
        <f>B24-1</f>
        <v>44281</v>
      </c>
      <c r="C23" s="49"/>
    </row>
    <row r="24" spans="1:3" s="50" customFormat="1" ht="15.6">
      <c r="A24" s="50" t="s">
        <v>1003</v>
      </c>
      <c r="B24" s="146">
        <f>B27-14</f>
        <v>44282</v>
      </c>
      <c r="C24" s="49" t="s">
        <v>999</v>
      </c>
    </row>
    <row r="25" spans="1:3" s="50" customFormat="1" ht="15.6">
      <c r="B25" s="94"/>
      <c r="C25" s="49"/>
    </row>
    <row r="26" spans="1:3" s="50" customFormat="1" ht="15.6">
      <c r="A26" s="50" t="s">
        <v>874</v>
      </c>
      <c r="B26" s="94">
        <f>B27-2</f>
        <v>44294</v>
      </c>
      <c r="C26" s="49"/>
    </row>
    <row r="27" spans="1:3" s="50" customFormat="1" ht="15.6">
      <c r="A27" s="50" t="s">
        <v>875</v>
      </c>
      <c r="B27" s="146">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3">
        <f>'Agreement 3'!B25</f>
        <v>44298</v>
      </c>
      <c r="C30" s="127"/>
    </row>
    <row r="31" spans="1:3" s="50" customFormat="1" ht="15.6">
      <c r="A31" s="50" t="s">
        <v>1123</v>
      </c>
      <c r="B31" s="50">
        <v>0</v>
      </c>
      <c r="C31" s="127"/>
    </row>
    <row r="32" spans="1:3" s="50" customFormat="1" ht="15.6">
      <c r="A32" s="50" t="s">
        <v>755</v>
      </c>
      <c r="B32" s="93">
        <f>B33-B31</f>
        <v>44302</v>
      </c>
      <c r="C32" s="127" t="s">
        <v>999</v>
      </c>
    </row>
    <row r="33" spans="1:4" s="50" customFormat="1" ht="15.6">
      <c r="A33" s="50" t="s">
        <v>878</v>
      </c>
      <c r="B33" s="93">
        <f>'Agreement 3'!B26</f>
        <v>44302</v>
      </c>
      <c r="C33" s="49" t="s">
        <v>998</v>
      </c>
    </row>
    <row r="34" spans="1:4" s="117" customFormat="1" ht="15.6">
      <c r="A34" s="50" t="s">
        <v>400</v>
      </c>
      <c r="B34" s="39">
        <f>B33-B27+1-B28</f>
        <v>7</v>
      </c>
      <c r="C34" s="117" t="s">
        <v>999</v>
      </c>
    </row>
    <row r="35" spans="1:4" s="117" customFormat="1" ht="15.6">
      <c r="A35" s="117" t="s">
        <v>1125</v>
      </c>
      <c r="B35" s="50">
        <v>0</v>
      </c>
    </row>
    <row r="36" spans="1:4" s="117" customFormat="1">
      <c r="A36" s="117" t="s">
        <v>1124</v>
      </c>
      <c r="B36" s="239">
        <f>B35+B32</f>
        <v>44302</v>
      </c>
      <c r="C36" s="117" t="s">
        <v>999</v>
      </c>
    </row>
    <row r="37" spans="1:4" s="117" customFormat="1" ht="15.6">
      <c r="A37" s="117" t="s">
        <v>1343</v>
      </c>
      <c r="B37" s="50">
        <v>14</v>
      </c>
    </row>
    <row r="38" spans="1:4" s="117" customFormat="1">
      <c r="A38" s="117" t="s">
        <v>1126</v>
      </c>
      <c r="B38" s="239">
        <f>B36+B37-1</f>
        <v>44315</v>
      </c>
      <c r="C38" s="117"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3.2">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7"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4.4">
      <c r="A5" s="84" t="s">
        <v>31</v>
      </c>
      <c r="B5" s="117" t="s">
        <v>1593</v>
      </c>
    </row>
    <row r="6" spans="1:3" s="84" customFormat="1" ht="14.4">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4.4">
      <c r="A9" s="84" t="s">
        <v>35</v>
      </c>
      <c r="B9" s="86" t="s">
        <v>1597</v>
      </c>
    </row>
    <row r="10" spans="1:3" s="84" customFormat="1" ht="14.4">
      <c r="A10" s="84" t="s">
        <v>17</v>
      </c>
      <c r="B10" s="85" t="s">
        <v>18</v>
      </c>
      <c r="C10" s="84" t="s">
        <v>384</v>
      </c>
    </row>
    <row r="11" spans="1:3" ht="31.2">
      <c r="A11" s="50" t="s">
        <v>853</v>
      </c>
      <c r="B11" s="87" t="str">
        <f>_xlfn.CONCAT(B5,", ",B6,", ",B7,", ",B8,", ",B9,", ",B10)</f>
        <v>Room 1, Dome 1, No. 1 First Street, Base Alpha City, Tharsis, Planet04, China</v>
      </c>
      <c r="C11" s="49" t="s">
        <v>999</v>
      </c>
    </row>
    <row r="12" spans="1:3">
      <c r="A12" s="50" t="s">
        <v>854</v>
      </c>
      <c r="B12" s="301"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86.4">
      <c r="A23" s="50" t="s">
        <v>860</v>
      </c>
      <c r="B23" s="411" t="s">
        <v>1596</v>
      </c>
      <c r="C23" s="306"/>
    </row>
    <row r="24" spans="1:3" ht="31.2">
      <c r="A24" s="50" t="s">
        <v>861</v>
      </c>
      <c r="B24" s="54" t="s">
        <v>347</v>
      </c>
      <c r="C24" s="49" t="s">
        <v>384</v>
      </c>
    </row>
    <row r="25" spans="1:3">
      <c r="A25" s="50" t="s">
        <v>862</v>
      </c>
      <c r="B25" s="50">
        <v>2481632</v>
      </c>
    </row>
    <row r="26" spans="1:3" ht="46.8">
      <c r="A26" s="50" t="s">
        <v>974</v>
      </c>
      <c r="B26" s="328" t="s">
        <v>1500</v>
      </c>
      <c r="C26" s="49" t="s">
        <v>999</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8" customWidth="1"/>
    <col min="2" max="2" width="20.44140625" style="98" customWidth="1"/>
    <col min="3" max="3" width="60.44140625" style="98" customWidth="1"/>
    <col min="4" max="4" width="15.33203125" style="98" customWidth="1"/>
    <col min="5" max="5" width="20.44140625" style="98" customWidth="1"/>
    <col min="6" max="7" width="15.44140625" style="107" customWidth="1"/>
    <col min="8" max="8" width="11.6640625" style="98" customWidth="1"/>
    <col min="9" max="9" width="9.6640625" style="104" customWidth="1"/>
    <col min="10" max="27" width="6.44140625" style="104" customWidth="1"/>
    <col min="28" max="28" width="8.6640625" style="104" customWidth="1"/>
    <col min="29" max="31" width="7.44140625" style="98" customWidth="1"/>
    <col min="32" max="32" width="7.44140625" style="117" customWidth="1"/>
    <col min="33" max="35" width="7.44140625" style="98" customWidth="1"/>
    <col min="36" max="36" width="5.33203125" style="98" customWidth="1"/>
    <col min="37" max="16384" width="8.664062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32" t="s">
        <v>1175</v>
      </c>
      <c r="AD1" s="432"/>
      <c r="AE1" s="432"/>
      <c r="AF1" s="432"/>
      <c r="AG1" s="432"/>
      <c r="AH1" s="432"/>
      <c r="AI1" s="432"/>
      <c r="AJ1" s="432"/>
    </row>
    <row r="2" spans="1:36" s="400" customFormat="1" ht="68.400000000000006">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3.8">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3.8">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3.8">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3.8">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9">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41.4">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7.6">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row r="31" spans="1:26">
      <c r="E31" s="62" t="s">
        <v>1348</v>
      </c>
    </row>
    <row r="32" spans="1:26">
      <c r="E32" s="62" t="str">
        <f>VLOOKUP(E31,B3:D27,2,FALSE)</f>
        <v>Surname, Process manager2</v>
      </c>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6640625" defaultRowHeight="15.6"/>
  <cols>
    <col min="1" max="1" width="32.44140625" style="62" customWidth="1"/>
    <col min="2" max="2" width="29.6640625" style="62" customWidth="1"/>
    <col min="3" max="22" width="6.44140625" style="63" customWidth="1"/>
    <col min="23" max="16384" width="10.6640625" style="62"/>
  </cols>
  <sheetData>
    <row r="1" spans="1:22" s="50" customFormat="1" ht="18">
      <c r="A1" s="113" t="s">
        <v>1182</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2">
      <c r="A3" s="62" t="s">
        <v>910</v>
      </c>
      <c r="B3" s="112" t="s">
        <v>987</v>
      </c>
      <c r="C3" s="61"/>
      <c r="D3" s="61"/>
      <c r="E3" s="61"/>
      <c r="F3" s="61"/>
      <c r="G3" s="61"/>
      <c r="H3" s="61"/>
      <c r="I3" s="61"/>
      <c r="J3" s="61"/>
      <c r="K3" s="61"/>
      <c r="L3" s="61" t="s">
        <v>411</v>
      </c>
      <c r="M3" s="61"/>
      <c r="N3" s="61"/>
      <c r="O3" s="61"/>
      <c r="P3" s="61"/>
      <c r="Q3" s="61"/>
      <c r="R3" s="61" t="s">
        <v>411</v>
      </c>
      <c r="S3" s="61"/>
      <c r="T3" s="61"/>
      <c r="U3" s="61"/>
      <c r="V3" s="61"/>
    </row>
    <row r="4" spans="1:22">
      <c r="A4" s="62" t="s">
        <v>1147</v>
      </c>
      <c r="B4" s="112" t="s">
        <v>988</v>
      </c>
      <c r="C4" s="61"/>
      <c r="D4" s="61" t="s">
        <v>411</v>
      </c>
      <c r="E4" s="61"/>
      <c r="F4" s="61"/>
      <c r="G4" s="61"/>
      <c r="H4" s="61"/>
      <c r="I4" s="61"/>
      <c r="J4" s="61"/>
      <c r="K4" s="61"/>
      <c r="L4" s="61"/>
      <c r="M4" s="61"/>
      <c r="N4" s="61"/>
      <c r="O4" s="61"/>
      <c r="P4" s="61"/>
      <c r="Q4" s="61"/>
      <c r="R4" s="61"/>
      <c r="S4" s="61"/>
      <c r="T4" s="61"/>
      <c r="U4" s="61"/>
      <c r="V4" s="61"/>
    </row>
    <row r="5" spans="1:22">
      <c r="A5" s="62" t="s">
        <v>911</v>
      </c>
      <c r="B5" s="112" t="s">
        <v>987</v>
      </c>
      <c r="C5" s="61"/>
      <c r="D5" s="61"/>
      <c r="E5" s="61"/>
      <c r="F5" s="61"/>
      <c r="G5" s="61"/>
      <c r="H5" s="61"/>
      <c r="I5" s="61"/>
      <c r="J5" s="61"/>
      <c r="K5" s="61"/>
      <c r="L5" s="61" t="s">
        <v>411</v>
      </c>
      <c r="M5" s="61"/>
      <c r="N5" s="61"/>
      <c r="O5" s="61"/>
      <c r="P5" s="61"/>
      <c r="Q5" s="61"/>
      <c r="R5" s="61"/>
      <c r="S5" s="61"/>
      <c r="T5" s="61" t="s">
        <v>411</v>
      </c>
      <c r="U5" s="61"/>
      <c r="V5" s="61"/>
    </row>
    <row r="6" spans="1:22">
      <c r="A6" s="62" t="s">
        <v>1149</v>
      </c>
      <c r="B6" s="112" t="s">
        <v>987</v>
      </c>
      <c r="C6" s="61"/>
      <c r="D6" s="61"/>
      <c r="E6" s="61"/>
      <c r="F6" s="61"/>
      <c r="G6" s="61"/>
      <c r="H6" s="61"/>
      <c r="I6" s="61"/>
      <c r="J6" s="61"/>
      <c r="K6" s="61"/>
      <c r="L6" s="61" t="s">
        <v>411</v>
      </c>
      <c r="M6" s="61"/>
      <c r="N6" s="61"/>
      <c r="O6" s="61"/>
      <c r="P6" s="61"/>
      <c r="Q6" s="61" t="s">
        <v>411</v>
      </c>
      <c r="R6" s="61"/>
      <c r="S6" s="61"/>
      <c r="T6" s="61"/>
      <c r="U6" s="61"/>
      <c r="V6" s="61"/>
    </row>
    <row r="7" spans="1:22">
      <c r="A7" s="62" t="s">
        <v>1146</v>
      </c>
      <c r="B7" s="62" t="s">
        <v>992</v>
      </c>
      <c r="C7" s="61"/>
      <c r="D7" s="61"/>
      <c r="E7" s="61"/>
      <c r="F7" s="61"/>
      <c r="G7" s="61" t="s">
        <v>411</v>
      </c>
      <c r="H7" s="61" t="s">
        <v>411</v>
      </c>
      <c r="I7" s="61"/>
      <c r="J7" s="61"/>
      <c r="K7" s="61"/>
      <c r="L7" s="61"/>
      <c r="M7" s="61"/>
      <c r="N7" s="61"/>
      <c r="O7" s="61"/>
      <c r="P7" s="61"/>
      <c r="Q7" s="61"/>
      <c r="R7" s="61"/>
      <c r="S7" s="61"/>
      <c r="T7" s="61"/>
      <c r="U7" s="61"/>
      <c r="V7" s="61"/>
    </row>
    <row r="8" spans="1:22">
      <c r="A8" s="62" t="s">
        <v>1656</v>
      </c>
      <c r="B8" s="112" t="s">
        <v>989</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1238</v>
      </c>
      <c r="B9" s="112" t="s">
        <v>995</v>
      </c>
      <c r="C9" s="61"/>
      <c r="D9" s="61"/>
      <c r="E9" s="61"/>
      <c r="F9" s="61"/>
      <c r="G9" s="61"/>
      <c r="H9" s="61"/>
      <c r="I9" s="61"/>
      <c r="J9" s="61"/>
      <c r="K9" s="61"/>
      <c r="L9" s="61"/>
      <c r="M9" s="61"/>
      <c r="N9" s="61"/>
      <c r="O9" s="61"/>
      <c r="P9" s="61" t="s">
        <v>411</v>
      </c>
      <c r="Q9" s="61"/>
      <c r="R9" s="61"/>
      <c r="S9" s="61"/>
      <c r="T9" s="61"/>
      <c r="U9" s="61"/>
      <c r="V9" s="61"/>
    </row>
    <row r="10" spans="1:22">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1287</v>
      </c>
      <c r="B13" s="112" t="s">
        <v>990</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6640625" defaultRowHeight="14.4"/>
  <cols>
    <col min="1" max="1" width="40.44140625" style="11" customWidth="1"/>
    <col min="2" max="2" width="64.44140625" style="11" customWidth="1"/>
    <col min="3" max="7" width="25.6640625" style="125" customWidth="1"/>
    <col min="8" max="8" width="12.6640625" style="125" customWidth="1"/>
    <col min="9" max="9" width="36" style="125" customWidth="1"/>
    <col min="10" max="10" width="13.44140625" style="125" customWidth="1"/>
    <col min="11" max="12" width="8.6640625" style="125"/>
    <col min="13" max="13" width="14.6640625" style="125" customWidth="1"/>
    <col min="14" max="21" width="8.6640625" style="125"/>
    <col min="22" max="23" width="12.33203125" style="125"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1604</v>
      </c>
    </row>
    <row r="11" spans="1:3">
      <c r="A11" s="11" t="s">
        <v>822</v>
      </c>
    </row>
    <row r="12" spans="1:3" ht="28.8">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28.8">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86.4">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28.8">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3.2">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4" t="s">
        <v>1361</v>
      </c>
      <c r="B126" s="434"/>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5" t="s">
        <v>831</v>
      </c>
      <c r="B144" s="435"/>
    </row>
    <row r="146" spans="1:3">
      <c r="A146" s="251" t="s">
        <v>787</v>
      </c>
      <c r="B146" s="252"/>
      <c r="C146" s="253"/>
    </row>
    <row r="147" spans="1:3">
      <c r="A147" s="436" t="s">
        <v>788</v>
      </c>
      <c r="B147" s="438"/>
      <c r="C147" s="254" t="s">
        <v>1156</v>
      </c>
    </row>
    <row r="148" spans="1:3" ht="15" thickBot="1">
      <c r="A148" s="437"/>
      <c r="B148" s="439"/>
      <c r="C148" s="254" t="s">
        <v>1159</v>
      </c>
    </row>
    <row r="149" spans="1:3">
      <c r="A149" s="255" t="s">
        <v>751</v>
      </c>
      <c r="B149" s="255" t="s">
        <v>1157</v>
      </c>
      <c r="C149" s="253"/>
    </row>
    <row r="150" spans="1:3" ht="15" thickBot="1">
      <c r="A150" s="256" t="s">
        <v>832</v>
      </c>
      <c r="B150" s="256" t="s">
        <v>833</v>
      </c>
      <c r="C150" s="253"/>
    </row>
    <row r="151" spans="1:3">
      <c r="A151" s="257" t="s">
        <v>750</v>
      </c>
      <c r="B151" s="257" t="s">
        <v>1160</v>
      </c>
      <c r="C151" s="253"/>
    </row>
    <row r="152" spans="1:3" ht="15" thickBot="1">
      <c r="A152" s="256" t="s">
        <v>832</v>
      </c>
      <c r="B152" s="256" t="s">
        <v>833</v>
      </c>
      <c r="C152" s="253"/>
    </row>
    <row r="153" spans="1:3">
      <c r="A153" s="257" t="s">
        <v>834</v>
      </c>
      <c r="B153" s="257" t="s">
        <v>1161</v>
      </c>
      <c r="C153" s="253"/>
    </row>
    <row r="154" spans="1:3" ht="15" thickBot="1">
      <c r="A154" s="256" t="s">
        <v>832</v>
      </c>
      <c r="B154" s="256" t="s">
        <v>833</v>
      </c>
      <c r="C154" s="253"/>
    </row>
    <row r="155" spans="1:3">
      <c r="A155" s="257" t="s">
        <v>752</v>
      </c>
      <c r="B155" s="257" t="s">
        <v>1158</v>
      </c>
      <c r="C155" s="258" t="s">
        <v>1368</v>
      </c>
    </row>
    <row r="157" spans="1:3">
      <c r="A157" s="28" t="s">
        <v>789</v>
      </c>
      <c r="B157" s="29"/>
      <c r="C157" s="30"/>
    </row>
    <row r="158" spans="1:3" ht="28.8">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5" customWidth="1"/>
    <col min="2" max="2" width="40.6640625" style="125" customWidth="1"/>
    <col min="3" max="16384" width="8.664062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28.8">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1373</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1374</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28.8">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3.2">
      <c r="A81" s="117" t="s">
        <v>744</v>
      </c>
      <c r="B81" s="117" t="s">
        <v>1377</v>
      </c>
    </row>
    <row r="82" spans="1:3" ht="43.2">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3.2">
      <c r="A91" s="117" t="s">
        <v>744</v>
      </c>
      <c r="B91" s="117" t="s">
        <v>1377</v>
      </c>
    </row>
    <row r="92" spans="1:3" ht="57.6">
      <c r="A92" s="117" t="s">
        <v>745</v>
      </c>
      <c r="B92" s="119" t="s">
        <v>967</v>
      </c>
    </row>
    <row r="93" spans="1:3">
      <c r="A93" s="117" t="s">
        <v>746</v>
      </c>
      <c r="B93" s="117" t="s">
        <v>1379</v>
      </c>
    </row>
    <row r="94" spans="1:3" ht="86.4">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34" t="s">
        <v>1424</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1425</v>
      </c>
    </row>
    <row r="132" spans="1:3" ht="100.8">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28.8">
      <c r="A156" s="117" t="s">
        <v>676</v>
      </c>
      <c r="B156" s="117" t="s">
        <v>1612</v>
      </c>
    </row>
    <row r="157" spans="1:3">
      <c r="A157" s="117" t="s">
        <v>677</v>
      </c>
      <c r="B157" s="121" t="s">
        <v>684</v>
      </c>
      <c r="C157" s="117" t="s">
        <v>384</v>
      </c>
    </row>
    <row r="158" spans="1:3" ht="100.8">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3.2">
      <c r="A164" s="117" t="s">
        <v>676</v>
      </c>
      <c r="B164" s="117" t="s">
        <v>1432</v>
      </c>
    </row>
    <row r="165" spans="1:3">
      <c r="A165" s="117" t="s">
        <v>677</v>
      </c>
      <c r="B165" s="121" t="s">
        <v>684</v>
      </c>
      <c r="C165" s="117" t="s">
        <v>384</v>
      </c>
    </row>
    <row r="166" spans="1:3" ht="115.2">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28.8">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3.2">
      <c r="A180" s="117" t="s">
        <v>676</v>
      </c>
      <c r="B180" s="117" t="s">
        <v>1438</v>
      </c>
    </row>
    <row r="181" spans="1:3">
      <c r="A181" s="117" t="s">
        <v>677</v>
      </c>
      <c r="B181" s="121" t="s">
        <v>1436</v>
      </c>
      <c r="C181" s="117" t="s">
        <v>384</v>
      </c>
    </row>
    <row r="182" spans="1:3" ht="144">
      <c r="A182" s="117" t="s">
        <v>678</v>
      </c>
      <c r="B182" s="117" t="s">
        <v>1650</v>
      </c>
    </row>
    <row r="183" spans="1:3">
      <c r="A183" s="117" t="s">
        <v>679</v>
      </c>
      <c r="B183" s="121" t="s">
        <v>1433</v>
      </c>
      <c r="C183" s="117" t="s">
        <v>384</v>
      </c>
    </row>
    <row r="185" spans="1:3" ht="28.8">
      <c r="A185" s="14" t="s">
        <v>1617</v>
      </c>
      <c r="B185" s="14" t="s">
        <v>1618</v>
      </c>
    </row>
    <row r="186" spans="1:3">
      <c r="A186" s="117" t="s">
        <v>669</v>
      </c>
      <c r="B186" s="121" t="s">
        <v>434</v>
      </c>
      <c r="C186" s="117" t="s">
        <v>384</v>
      </c>
    </row>
    <row r="187" spans="1:3">
      <c r="A187" s="117" t="s">
        <v>675</v>
      </c>
      <c r="B187" s="117" t="s">
        <v>1611</v>
      </c>
    </row>
    <row r="188" spans="1:3" ht="43.2">
      <c r="A188" s="117" t="s">
        <v>676</v>
      </c>
      <c r="B188" s="117" t="s">
        <v>1619</v>
      </c>
    </row>
    <row r="189" spans="1:3">
      <c r="A189" s="117" t="s">
        <v>677</v>
      </c>
      <c r="B189" s="121" t="s">
        <v>684</v>
      </c>
      <c r="C189" s="117" t="s">
        <v>384</v>
      </c>
    </row>
    <row r="190" spans="1:3" ht="115.2">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28.8">
      <c r="A197" s="117" t="s">
        <v>676</v>
      </c>
      <c r="B197" s="117" t="s">
        <v>1623</v>
      </c>
    </row>
    <row r="198" spans="1:3">
      <c r="A198" s="117" t="s">
        <v>677</v>
      </c>
      <c r="B198" s="121" t="s">
        <v>1436</v>
      </c>
      <c r="C198" s="117" t="s">
        <v>384</v>
      </c>
    </row>
    <row r="199" spans="1:3" ht="43.2">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28.8">
      <c r="A205" s="117" t="s">
        <v>676</v>
      </c>
      <c r="B205" s="117" t="s">
        <v>1627</v>
      </c>
    </row>
    <row r="206" spans="1:3">
      <c r="A206" s="117" t="s">
        <v>677</v>
      </c>
      <c r="B206" s="121" t="s">
        <v>684</v>
      </c>
      <c r="C206" s="117" t="s">
        <v>384</v>
      </c>
    </row>
    <row r="207" spans="1:3" ht="43.2">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28.8">
      <c r="A213" s="117" t="s">
        <v>676</v>
      </c>
      <c r="B213" s="117" t="s">
        <v>1612</v>
      </c>
    </row>
    <row r="214" spans="1:3">
      <c r="A214" s="117" t="s">
        <v>677</v>
      </c>
      <c r="B214" s="121" t="s">
        <v>684</v>
      </c>
      <c r="C214" s="117" t="s">
        <v>384</v>
      </c>
    </row>
    <row r="215" spans="1:3" ht="100.8">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28.8">
      <c r="A221" s="117" t="s">
        <v>676</v>
      </c>
      <c r="B221" s="117" t="s">
        <v>1633</v>
      </c>
    </row>
    <row r="222" spans="1:3">
      <c r="A222" s="117" t="s">
        <v>677</v>
      </c>
      <c r="B222" s="121" t="s">
        <v>684</v>
      </c>
      <c r="C222" s="117" t="s">
        <v>384</v>
      </c>
    </row>
    <row r="223" spans="1:3" ht="129.6">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c r="A229" s="117" t="s">
        <v>676</v>
      </c>
      <c r="B229" s="117" t="s">
        <v>1637</v>
      </c>
    </row>
    <row r="230" spans="1:3">
      <c r="A230" s="117" t="s">
        <v>677</v>
      </c>
      <c r="B230" s="121" t="s">
        <v>684</v>
      </c>
      <c r="C230" s="117" t="s">
        <v>384</v>
      </c>
    </row>
    <row r="231" spans="1:3" ht="43.2">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0.8">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57.6">
      <c r="A262" s="259" t="s">
        <v>1171</v>
      </c>
      <c r="B262" s="121" t="s">
        <v>1170</v>
      </c>
      <c r="C262" s="117" t="s">
        <v>384</v>
      </c>
    </row>
    <row r="264" spans="1:3">
      <c r="A264" s="100" t="s">
        <v>817</v>
      </c>
      <c r="B264" s="100"/>
    </row>
    <row r="265" spans="1:3">
      <c r="A265" s="28" t="s">
        <v>818</v>
      </c>
      <c r="B265" s="29"/>
      <c r="C265" s="30"/>
    </row>
    <row r="266" spans="1:3" ht="72">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5" customWidth="1"/>
    <col min="2" max="2" width="37" style="125" customWidth="1"/>
    <col min="3" max="3" width="5.44140625" style="128" bestFit="1" customWidth="1"/>
    <col min="4" max="4" width="30.44140625" style="125" customWidth="1"/>
    <col min="5" max="5" width="27.33203125" style="125" customWidth="1"/>
    <col min="6" max="6" width="8.6640625" style="128"/>
    <col min="7" max="7" width="8.33203125" style="64" bestFit="1" customWidth="1"/>
    <col min="8" max="8" width="34.33203125" style="125" bestFit="1" customWidth="1"/>
    <col min="9" max="9" width="8.44140625" style="125" bestFit="1" customWidth="1"/>
    <col min="10" max="16" width="9.44140625" style="125" customWidth="1"/>
    <col min="17" max="16384" width="8.6640625" style="125"/>
  </cols>
  <sheetData>
    <row r="1" spans="1:13" s="117" customFormat="1">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6" t="s">
        <v>1293</v>
      </c>
      <c r="E1" s="316">
        <f>VALUE(RIGHT(Planning!B10,1))</f>
        <v>5</v>
      </c>
      <c r="F1" s="125" t="s">
        <v>1294</v>
      </c>
    </row>
    <row r="3" spans="1:10" ht="28.8">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441" t="s">
        <v>1195</v>
      </c>
      <c r="B1" s="441"/>
      <c r="C1" s="441"/>
      <c r="D1" s="441"/>
      <c r="E1" s="441"/>
      <c r="F1" s="441"/>
      <c r="G1" s="441"/>
      <c r="H1" s="65"/>
      <c r="I1" s="140" t="s">
        <v>925</v>
      </c>
      <c r="J1" s="141" t="s">
        <v>926</v>
      </c>
      <c r="K1" s="135" t="s">
        <v>927</v>
      </c>
      <c r="L1" s="135" t="s">
        <v>928</v>
      </c>
      <c r="M1" s="136"/>
      <c r="N1" s="67"/>
      <c r="O1" s="67"/>
      <c r="P1" s="67"/>
    </row>
    <row r="2" spans="1:16" ht="14.7" customHeight="1">
      <c r="A2" s="442" t="str">
        <f>CONCATENATE(TEXT(Planning!B26,"[$-x-sysdate]dddd, mmmm dd, yyyy")," (Technology test)")</f>
        <v>Thursday, 08 April 2021 (Technology test)</v>
      </c>
      <c r="B2" s="442"/>
      <c r="C2" s="442"/>
      <c r="D2" s="442"/>
      <c r="E2" s="442"/>
      <c r="F2" s="442"/>
      <c r="G2" s="442"/>
      <c r="H2" s="65"/>
      <c r="I2" s="135"/>
      <c r="J2" s="135"/>
      <c r="K2" s="135"/>
      <c r="L2" s="136"/>
      <c r="M2" s="136"/>
      <c r="N2" s="67"/>
      <c r="O2" s="67"/>
      <c r="P2" s="67"/>
    </row>
    <row r="3" spans="1:16">
      <c r="A3" s="440" t="str">
        <f>J3</f>
        <v>Day 1-2</v>
      </c>
      <c r="B3" s="440"/>
      <c r="C3" s="443" t="str">
        <f>CONCATENATE(TEXT(I3,"[$-x-sysdate]dddd, mmmm dd, yyyy")," to ",TEXT(K3,"[$-x-sysdate]dddd, mmmm dd, yyyy"))</f>
        <v>Saturday, 10 April 2021 to Sunday, 11 April 2021</v>
      </c>
      <c r="D3" s="443"/>
      <c r="E3" s="443"/>
      <c r="F3" s="440" t="str">
        <f>A3</f>
        <v>Day 1-2</v>
      </c>
      <c r="G3" s="440"/>
      <c r="H3" s="65"/>
      <c r="I3" s="142">
        <f>Planning!B27</f>
        <v>44296</v>
      </c>
      <c r="J3" s="143" t="str">
        <f>_xlfn.CONCAT("Day 1-",L3)</f>
        <v>Day 1-2</v>
      </c>
      <c r="K3" s="144">
        <f>Planning!B27+Planning!B29-1</f>
        <v>44297</v>
      </c>
      <c r="L3" s="135">
        <f>K3-I3+1</f>
        <v>2</v>
      </c>
      <c r="M3" s="136"/>
      <c r="N3" s="67"/>
      <c r="O3" s="67"/>
      <c r="P3" s="67"/>
    </row>
    <row r="4" spans="1:16" ht="28.8">
      <c r="A4" s="440" t="s">
        <v>929</v>
      </c>
      <c r="B4" s="440"/>
      <c r="C4" s="68" t="str">
        <f>J11</f>
        <v>Mini team 1:ATM-5 / ATM-6 / ATM-7</v>
      </c>
      <c r="D4" s="68" t="str">
        <f>M11</f>
        <v>Full team: ATM-1 / ATM-2 / ATM-3 / ATM-4 /ATM-5 / ATM-6 / ATM-7 / ATM-8</v>
      </c>
      <c r="E4" s="68" t="str">
        <f>CONCATENATE("LA team: ",'Agreement 3'!B7," and ATMs if applicable")</f>
        <v>LA team: van Zyl, Pieter and ATMs if applicable</v>
      </c>
      <c r="F4" s="440" t="s">
        <v>930</v>
      </c>
      <c r="G4" s="440"/>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5" t="s">
        <v>931</v>
      </c>
      <c r="D5" s="445" t="s">
        <v>931</v>
      </c>
      <c r="E5" s="445"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5"/>
      <c r="D12" s="445"/>
      <c r="E12" s="445"/>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5"/>
      <c r="D13" s="445"/>
      <c r="E13" s="445"/>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46" t="str">
        <f>CONCATENATE("Schedule above includes ",Planning!B28," non-working day(s).")</f>
        <v>Schedule above includes 0 non-working day(s).</v>
      </c>
      <c r="B15" s="446"/>
      <c r="C15" s="446"/>
      <c r="D15" s="446"/>
      <c r="E15" s="446"/>
      <c r="F15" s="446"/>
      <c r="G15" s="446"/>
      <c r="H15" s="65"/>
      <c r="I15" s="135"/>
      <c r="K15" s="139"/>
      <c r="L15" s="135" t="str">
        <f>'P1PA-SS'!B96</f>
        <v>ATM-5</v>
      </c>
      <c r="M15" s="136"/>
      <c r="N15" s="67"/>
      <c r="O15" s="67"/>
      <c r="P15" s="67"/>
    </row>
    <row r="16" spans="1:16">
      <c r="A16" s="447" t="str">
        <f>J4</f>
        <v>Day 3</v>
      </c>
      <c r="B16" s="447"/>
      <c r="C16" s="448">
        <f>I4</f>
        <v>44298</v>
      </c>
      <c r="D16" s="448"/>
      <c r="E16" s="448"/>
      <c r="F16" s="447" t="str">
        <f>A16</f>
        <v>Day 3</v>
      </c>
      <c r="G16" s="447"/>
      <c r="H16" s="65"/>
      <c r="I16" s="135"/>
      <c r="K16" s="139"/>
      <c r="L16" s="135" t="str">
        <f>'P1PA-SS'!B97</f>
        <v>ATM-6</v>
      </c>
      <c r="M16" s="136"/>
      <c r="N16" s="67"/>
      <c r="O16" s="67"/>
      <c r="P16" s="67"/>
    </row>
    <row r="17" spans="1:18" ht="28.8">
      <c r="A17" s="447" t="s">
        <v>929</v>
      </c>
      <c r="B17" s="447"/>
      <c r="C17" s="71" t="str">
        <f>C4</f>
        <v>Mini team 1:ATM-5 / ATM-6 / ATM-7</v>
      </c>
      <c r="D17" s="71" t="str">
        <f>D4</f>
        <v>Full team: ATM-1 / ATM-2 / ATM-3 / ATM-4 /ATM-5 / ATM-6 / ATM-7 / ATM-8</v>
      </c>
      <c r="E17" s="71" t="str">
        <f>E4</f>
        <v>LA team: van Zyl, Pieter and ATMs if applicable</v>
      </c>
      <c r="F17" s="447" t="s">
        <v>930</v>
      </c>
      <c r="G17" s="447"/>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49" t="s">
        <v>984</v>
      </c>
      <c r="D19" s="450"/>
      <c r="E19" s="451"/>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2" t="s">
        <v>985</v>
      </c>
      <c r="D20" s="452"/>
      <c r="E20" s="452"/>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00000000000001" customHeight="1">
      <c r="A22" s="70">
        <v>0.5</v>
      </c>
      <c r="B22" s="70">
        <v>0.52083333333333337</v>
      </c>
      <c r="C22" s="445" t="s">
        <v>936</v>
      </c>
      <c r="D22" s="445"/>
      <c r="E22" s="445"/>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4" t="s">
        <v>986</v>
      </c>
      <c r="D24" s="444"/>
      <c r="E24" s="444"/>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00000000000001" customHeight="1">
      <c r="A28" s="70">
        <v>0.625</v>
      </c>
      <c r="B28" s="70">
        <v>0.64583333333333337</v>
      </c>
      <c r="C28" s="445" t="s">
        <v>937</v>
      </c>
      <c r="D28" s="445"/>
      <c r="E28" s="445"/>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4" t="s">
        <v>1665</v>
      </c>
      <c r="D29" s="444"/>
      <c r="E29" s="444"/>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5" t="s">
        <v>937</v>
      </c>
      <c r="D33" s="445"/>
      <c r="E33" s="445"/>
      <c r="F33" s="70">
        <v>0.47916666666666669</v>
      </c>
      <c r="G33" s="70">
        <v>0.5</v>
      </c>
      <c r="H33" s="65"/>
      <c r="I33" s="136"/>
      <c r="J33" s="136"/>
      <c r="K33" s="136"/>
      <c r="L33" s="136"/>
      <c r="M33" s="136"/>
      <c r="N33" s="67"/>
      <c r="O33" s="67"/>
      <c r="P33" s="67"/>
    </row>
    <row r="34" spans="1:16" ht="18.600000000000001" customHeight="1">
      <c r="A34" s="70">
        <v>0.75</v>
      </c>
      <c r="B34" s="70">
        <v>0.83333333333333337</v>
      </c>
      <c r="C34" s="445" t="s">
        <v>938</v>
      </c>
      <c r="D34" s="445"/>
      <c r="E34" s="445"/>
      <c r="F34" s="70">
        <v>0.5</v>
      </c>
      <c r="G34" s="70">
        <v>0.58333333333333337</v>
      </c>
      <c r="H34" s="65"/>
      <c r="I34" s="136"/>
      <c r="J34" s="136"/>
      <c r="K34" s="136"/>
      <c r="L34" s="136"/>
      <c r="M34" s="136"/>
      <c r="N34" s="67"/>
      <c r="O34" s="67"/>
      <c r="P34" s="67"/>
    </row>
    <row r="35" spans="1:16">
      <c r="A35" s="447" t="str">
        <f>J5</f>
        <v>Day 4</v>
      </c>
      <c r="B35" s="447"/>
      <c r="C35" s="448">
        <f>I5</f>
        <v>44299</v>
      </c>
      <c r="D35" s="448"/>
      <c r="E35" s="448"/>
      <c r="F35" s="447" t="str">
        <f>A35</f>
        <v>Day 4</v>
      </c>
      <c r="G35" s="447"/>
      <c r="H35" s="74"/>
    </row>
    <row r="36" spans="1:16" ht="28.8">
      <c r="A36" s="447" t="s">
        <v>929</v>
      </c>
      <c r="B36" s="447"/>
      <c r="C36" s="71" t="str">
        <f>C17</f>
        <v>Mini team 1:ATM-5 / ATM-6 / ATM-7</v>
      </c>
      <c r="D36" s="71" t="str">
        <f>D17</f>
        <v>Full team: ATM-1 / ATM-2 / ATM-3 / ATM-4 /ATM-5 / ATM-6 / ATM-7 / ATM-8</v>
      </c>
      <c r="E36" s="71" t="str">
        <f>E17</f>
        <v>LA team: van Zyl, Pieter and ATMs if applicable</v>
      </c>
      <c r="F36" s="447" t="s">
        <v>930</v>
      </c>
      <c r="G36" s="447"/>
      <c r="H36" s="74"/>
    </row>
    <row r="37" spans="1:16" ht="18" customHeight="1">
      <c r="A37" s="70">
        <v>0.41666666666666669</v>
      </c>
      <c r="B37" s="70">
        <v>0.4375</v>
      </c>
      <c r="C37" s="445" t="s">
        <v>937</v>
      </c>
      <c r="D37" s="445"/>
      <c r="E37" s="72" t="s">
        <v>935</v>
      </c>
      <c r="F37" s="70">
        <v>0.16666666666666666</v>
      </c>
      <c r="G37" s="70">
        <v>0.1875</v>
      </c>
      <c r="H37" s="74"/>
    </row>
    <row r="38" spans="1:16" ht="18" customHeight="1">
      <c r="A38" s="70">
        <v>0.4375</v>
      </c>
      <c r="B38" s="70">
        <v>0.45833333333333331</v>
      </c>
      <c r="C38" s="444" t="s">
        <v>987</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936</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1666</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937</v>
      </c>
      <c r="D48" s="445"/>
      <c r="E48" s="445" t="s">
        <v>935</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988</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937</v>
      </c>
      <c r="D52" s="445"/>
      <c r="E52" s="445"/>
      <c r="F52" s="70">
        <v>0.47916666666666669</v>
      </c>
      <c r="G52" s="70">
        <v>0.5</v>
      </c>
      <c r="H52" s="74"/>
    </row>
    <row r="53" spans="1:8" ht="18" customHeight="1">
      <c r="A53" s="70">
        <v>0.75</v>
      </c>
      <c r="B53" s="70">
        <v>0.83333333333333337</v>
      </c>
      <c r="C53" s="445" t="s">
        <v>938</v>
      </c>
      <c r="D53" s="445"/>
      <c r="E53" s="445"/>
      <c r="F53" s="70">
        <v>0.5</v>
      </c>
      <c r="G53" s="70">
        <v>0.58333333333333337</v>
      </c>
      <c r="H53" s="74"/>
    </row>
    <row r="54" spans="1:8">
      <c r="A54" s="440" t="str">
        <f>J6</f>
        <v>Day 5</v>
      </c>
      <c r="B54" s="440"/>
      <c r="C54" s="443">
        <f>I6</f>
        <v>44300</v>
      </c>
      <c r="D54" s="443"/>
      <c r="E54" s="443"/>
      <c r="F54" s="440" t="str">
        <f>A54</f>
        <v>Day 5</v>
      </c>
      <c r="G54" s="440"/>
      <c r="H54" s="74"/>
    </row>
    <row r="55" spans="1:8" ht="28.8">
      <c r="A55" s="440" t="s">
        <v>929</v>
      </c>
      <c r="B55" s="440"/>
      <c r="C55" s="68" t="str">
        <f>C36</f>
        <v>Mini team 1:ATM-5 / ATM-6 / ATM-7</v>
      </c>
      <c r="D55" s="68" t="str">
        <f>D36</f>
        <v>Full team: ATM-1 / ATM-2 / ATM-3 / ATM-4 /ATM-5 / ATM-6 / ATM-7 / ATM-8</v>
      </c>
      <c r="E55" s="68" t="str">
        <f>E36</f>
        <v>LA team: van Zyl, Pieter and ATMs if applicable</v>
      </c>
      <c r="F55" s="440" t="s">
        <v>930</v>
      </c>
      <c r="G55" s="440"/>
      <c r="H55" s="74"/>
    </row>
    <row r="56" spans="1:8" ht="18" customHeight="1">
      <c r="A56" s="70">
        <v>0.41666666666666669</v>
      </c>
      <c r="B56" s="70">
        <v>0.4375</v>
      </c>
      <c r="C56" s="445" t="s">
        <v>939</v>
      </c>
      <c r="D56" s="445"/>
      <c r="E56" s="72" t="s">
        <v>935</v>
      </c>
      <c r="F56" s="70">
        <v>0.16666666666666666</v>
      </c>
      <c r="G56" s="70">
        <v>0.1875</v>
      </c>
      <c r="H56" s="74"/>
    </row>
    <row r="57" spans="1:8" ht="18" customHeight="1">
      <c r="A57" s="70">
        <v>0.4375</v>
      </c>
      <c r="B57" s="70">
        <v>0.45833333333333331</v>
      </c>
      <c r="C57" s="444" t="s">
        <v>989</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936</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1667</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937</v>
      </c>
      <c r="D68" s="445"/>
      <c r="E68" s="445"/>
      <c r="F68" s="70">
        <v>0.41666666666666669</v>
      </c>
      <c r="G68" s="70">
        <v>0.4375</v>
      </c>
      <c r="H68" s="74"/>
    </row>
    <row r="69" spans="1:8" ht="18" customHeight="1">
      <c r="A69" s="70">
        <v>0.6875</v>
      </c>
      <c r="B69" s="70">
        <v>0.70833333333333337</v>
      </c>
      <c r="C69" s="444" t="s">
        <v>990</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45" t="s">
        <v>937</v>
      </c>
      <c r="D71" s="445"/>
      <c r="E71" s="445"/>
      <c r="F71" s="70">
        <v>0.47916666666666669</v>
      </c>
      <c r="G71" s="70">
        <v>0.5</v>
      </c>
      <c r="H71" s="74"/>
    </row>
    <row r="72" spans="1:8" ht="18" customHeight="1">
      <c r="A72" s="70">
        <v>0.75</v>
      </c>
      <c r="B72" s="70">
        <v>0.83333333333333337</v>
      </c>
      <c r="C72" s="445" t="s">
        <v>938</v>
      </c>
      <c r="D72" s="445"/>
      <c r="E72" s="445"/>
      <c r="F72" s="70">
        <v>0.5</v>
      </c>
      <c r="G72" s="70">
        <v>0.58333333333333337</v>
      </c>
      <c r="H72" s="74"/>
    </row>
    <row r="73" spans="1:8">
      <c r="A73" s="440" t="str">
        <f>J7</f>
        <v>Day 6</v>
      </c>
      <c r="B73" s="440"/>
      <c r="C73" s="443">
        <f>I7</f>
        <v>44301</v>
      </c>
      <c r="D73" s="443"/>
      <c r="E73" s="443"/>
      <c r="F73" s="440" t="str">
        <f>A73</f>
        <v>Day 6</v>
      </c>
      <c r="G73" s="440"/>
      <c r="H73" s="74"/>
    </row>
    <row r="74" spans="1:8" ht="28.8">
      <c r="A74" s="440" t="s">
        <v>929</v>
      </c>
      <c r="B74" s="440"/>
      <c r="C74" s="68" t="str">
        <f>C55</f>
        <v>Mini team 1:ATM-5 / ATM-6 / ATM-7</v>
      </c>
      <c r="D74" s="68" t="str">
        <f>D55</f>
        <v>Full team: ATM-1 / ATM-2 / ATM-3 / ATM-4 /ATM-5 / ATM-6 / ATM-7 / ATM-8</v>
      </c>
      <c r="E74" s="68" t="str">
        <f>E55</f>
        <v>LA team: van Zyl, Pieter and ATMs if applicable</v>
      </c>
      <c r="F74" s="440" t="s">
        <v>930</v>
      </c>
      <c r="G74" s="440"/>
      <c r="H74" s="74"/>
    </row>
    <row r="75" spans="1:8" ht="18" customHeight="1">
      <c r="A75" s="70">
        <v>0.41666666666666669</v>
      </c>
      <c r="B75" s="70">
        <v>0.4375</v>
      </c>
      <c r="C75" s="445" t="s">
        <v>937</v>
      </c>
      <c r="D75" s="445"/>
      <c r="E75" s="445"/>
      <c r="F75" s="70">
        <v>0.16666666666666666</v>
      </c>
      <c r="G75" s="70">
        <v>0.1875</v>
      </c>
      <c r="H75" s="74"/>
    </row>
    <row r="76" spans="1:8" ht="18" customHeight="1">
      <c r="A76" s="70">
        <v>0.4375</v>
      </c>
      <c r="B76" s="70">
        <v>0.45833333333333331</v>
      </c>
      <c r="C76" s="444" t="s">
        <v>991</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937</v>
      </c>
      <c r="D78" s="445"/>
      <c r="E78" s="445"/>
      <c r="F78" s="70">
        <v>0.22916666666666666</v>
      </c>
      <c r="G78" s="70">
        <v>0.25</v>
      </c>
      <c r="H78" s="74"/>
    </row>
    <row r="79" spans="1:8" ht="18" customHeight="1">
      <c r="A79" s="70">
        <v>0.5</v>
      </c>
      <c r="B79" s="70">
        <v>0.52083333333333337</v>
      </c>
      <c r="C79" s="445" t="s">
        <v>936</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53" t="s">
        <v>940</v>
      </c>
      <c r="D81" s="453"/>
      <c r="E81" s="453"/>
      <c r="F81" s="70">
        <v>0.29166666666666669</v>
      </c>
      <c r="G81" s="70">
        <v>0.3125</v>
      </c>
      <c r="H81" s="74"/>
    </row>
    <row r="82" spans="1:8" ht="18" customHeight="1">
      <c r="A82" s="70">
        <v>0.5625</v>
      </c>
      <c r="B82" s="70">
        <v>0.58333333333333337</v>
      </c>
      <c r="C82" s="453"/>
      <c r="D82" s="453"/>
      <c r="E82" s="453"/>
      <c r="F82" s="70">
        <v>0.3125</v>
      </c>
      <c r="G82" s="70">
        <v>0.33333333333333331</v>
      </c>
      <c r="H82" s="74"/>
    </row>
    <row r="83" spans="1:8" ht="18" customHeight="1">
      <c r="A83" s="70">
        <v>0.58333333333333337</v>
      </c>
      <c r="B83" s="70">
        <v>0.60416666666666663</v>
      </c>
      <c r="C83" s="453"/>
      <c r="D83" s="453"/>
      <c r="E83" s="453"/>
      <c r="F83" s="70">
        <v>0.33333333333333331</v>
      </c>
      <c r="G83" s="70">
        <v>0.35416666666666669</v>
      </c>
      <c r="H83" s="74"/>
    </row>
    <row r="84" spans="1:8" ht="18" customHeight="1">
      <c r="A84" s="70">
        <v>0.60416666666666663</v>
      </c>
      <c r="B84" s="70">
        <v>0.625</v>
      </c>
      <c r="C84" s="453"/>
      <c r="D84" s="453"/>
      <c r="E84" s="453"/>
      <c r="F84" s="70">
        <v>0.35416666666666669</v>
      </c>
      <c r="G84" s="70">
        <v>0.375</v>
      </c>
      <c r="H84" s="74"/>
    </row>
    <row r="85" spans="1:8" ht="18" customHeight="1">
      <c r="A85" s="70">
        <v>0.625</v>
      </c>
      <c r="B85" s="70">
        <v>0.64583333333333337</v>
      </c>
      <c r="C85" s="444" t="s">
        <v>992</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937</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938</v>
      </c>
      <c r="D91" s="445"/>
      <c r="E91" s="445"/>
      <c r="F91" s="70">
        <v>0.5</v>
      </c>
      <c r="G91" s="70">
        <v>0.58333333333333337</v>
      </c>
      <c r="H91" s="74"/>
    </row>
    <row r="92" spans="1:8">
      <c r="A92" s="440" t="str">
        <f>J8</f>
        <v>Day 7</v>
      </c>
      <c r="B92" s="440"/>
      <c r="C92" s="443">
        <f>I8</f>
        <v>44302</v>
      </c>
      <c r="D92" s="443"/>
      <c r="E92" s="443"/>
      <c r="F92" s="440" t="str">
        <f>A92</f>
        <v>Day 7</v>
      </c>
      <c r="G92" s="440"/>
      <c r="H92" s="74"/>
    </row>
    <row r="93" spans="1:8" ht="28.8">
      <c r="A93" s="440" t="s">
        <v>929</v>
      </c>
      <c r="B93" s="440"/>
      <c r="C93" s="68" t="str">
        <f>C74</f>
        <v>Mini team 1:ATM-5 / ATM-6 / ATM-7</v>
      </c>
      <c r="D93" s="68" t="str">
        <f>D74</f>
        <v>Full team: ATM-1 / ATM-2 / ATM-3 / ATM-4 /ATM-5 / ATM-6 / ATM-7 / ATM-8</v>
      </c>
      <c r="E93" s="68" t="str">
        <f>E74</f>
        <v>LA team: van Zyl, Pieter and ATMs if applicable</v>
      </c>
      <c r="F93" s="440" t="s">
        <v>930</v>
      </c>
      <c r="G93" s="440"/>
      <c r="H93" s="74"/>
    </row>
    <row r="94" spans="1:8" ht="18" customHeight="1">
      <c r="A94" s="70">
        <v>0.41666666666666669</v>
      </c>
      <c r="B94" s="70">
        <v>0.4375</v>
      </c>
      <c r="C94" s="445" t="s">
        <v>937</v>
      </c>
      <c r="D94" s="445"/>
      <c r="E94" s="445"/>
      <c r="F94" s="70">
        <v>0.16666666666666666</v>
      </c>
      <c r="G94" s="70">
        <v>0.1875</v>
      </c>
      <c r="H94" s="74"/>
    </row>
    <row r="95" spans="1:8" ht="18" customHeight="1">
      <c r="A95" s="70">
        <v>0.4375</v>
      </c>
      <c r="B95" s="70">
        <v>0.45833333333333331</v>
      </c>
      <c r="C95" s="454" t="s">
        <v>993</v>
      </c>
      <c r="D95" s="455"/>
      <c r="E95" s="456"/>
      <c r="F95" s="70">
        <v>0.1875</v>
      </c>
      <c r="G95" s="70">
        <v>0.20833333333333334</v>
      </c>
      <c r="H95" s="74"/>
    </row>
    <row r="96" spans="1:8" ht="18" customHeight="1">
      <c r="A96" s="70">
        <v>0.45833333333333331</v>
      </c>
      <c r="B96" s="70">
        <v>0.47916666666666669</v>
      </c>
      <c r="C96" s="457"/>
      <c r="D96" s="458"/>
      <c r="E96" s="459"/>
      <c r="F96" s="70">
        <v>0.20833333333333334</v>
      </c>
      <c r="G96" s="70">
        <v>0.22916666666666666</v>
      </c>
      <c r="H96" s="74"/>
    </row>
    <row r="97" spans="1:8" ht="18" customHeight="1">
      <c r="A97" s="70">
        <v>0.47916666666666669</v>
      </c>
      <c r="B97" s="70">
        <v>0.5</v>
      </c>
      <c r="C97" s="454" t="s">
        <v>994</v>
      </c>
      <c r="D97" s="455"/>
      <c r="E97" s="456"/>
      <c r="F97" s="70">
        <v>0.22916666666666666</v>
      </c>
      <c r="G97" s="70">
        <v>0.25</v>
      </c>
      <c r="H97" s="74"/>
    </row>
    <row r="98" spans="1:8" ht="18" customHeight="1">
      <c r="A98" s="70">
        <v>0.5</v>
      </c>
      <c r="B98" s="70">
        <v>0.52083333333333337</v>
      </c>
      <c r="C98" s="457"/>
      <c r="D98" s="458"/>
      <c r="E98" s="459"/>
      <c r="F98" s="70">
        <v>0.25</v>
      </c>
      <c r="G98" s="70">
        <v>0.27083333333333331</v>
      </c>
      <c r="H98" s="74"/>
    </row>
    <row r="99" spans="1:8" ht="18" customHeight="1">
      <c r="A99" s="70">
        <v>0.52083333333333337</v>
      </c>
      <c r="B99" s="70">
        <v>0.54166666666666663</v>
      </c>
      <c r="C99" s="460" t="s">
        <v>936</v>
      </c>
      <c r="D99" s="461"/>
      <c r="E99" s="462"/>
      <c r="F99" s="70">
        <v>0.27083333333333331</v>
      </c>
      <c r="G99" s="70">
        <v>0.29166666666666669</v>
      </c>
      <c r="H99" s="74"/>
    </row>
    <row r="100" spans="1:8" ht="18" customHeight="1">
      <c r="A100" s="70">
        <v>0.54166666666666663</v>
      </c>
      <c r="B100" s="70">
        <v>0.5625</v>
      </c>
      <c r="C100" s="466"/>
      <c r="D100" s="467"/>
      <c r="E100" s="468"/>
      <c r="F100" s="70">
        <v>0.29166666666666669</v>
      </c>
      <c r="G100" s="70">
        <v>0.3125</v>
      </c>
      <c r="H100" s="74"/>
    </row>
    <row r="101" spans="1:8" ht="18" customHeight="1">
      <c r="A101" s="70">
        <v>0.5625</v>
      </c>
      <c r="B101" s="70">
        <v>0.58333333333333337</v>
      </c>
      <c r="C101" s="460" t="s">
        <v>1674</v>
      </c>
      <c r="D101" s="461"/>
      <c r="E101" s="462"/>
      <c r="F101" s="70">
        <v>0.3125</v>
      </c>
      <c r="G101" s="70">
        <v>0.33333333333333331</v>
      </c>
      <c r="H101" s="74"/>
    </row>
    <row r="102" spans="1:8" ht="18" customHeight="1">
      <c r="A102" s="70">
        <v>0.58333333333333337</v>
      </c>
      <c r="B102" s="70">
        <v>0.60416666666666663</v>
      </c>
      <c r="C102" s="463"/>
      <c r="D102" s="464"/>
      <c r="E102" s="465"/>
      <c r="F102" s="70">
        <v>0.33333333333333331</v>
      </c>
      <c r="G102" s="70">
        <v>0.35416666666666669</v>
      </c>
      <c r="H102" s="74"/>
    </row>
    <row r="103" spans="1:8" ht="18" customHeight="1">
      <c r="A103" s="70">
        <v>0.60416666666666663</v>
      </c>
      <c r="B103" s="70">
        <v>0.625</v>
      </c>
      <c r="C103" s="466"/>
      <c r="D103" s="467"/>
      <c r="E103" s="468"/>
      <c r="F103" s="70">
        <v>0.35416666666666669</v>
      </c>
      <c r="G103" s="70">
        <v>0.375</v>
      </c>
      <c r="H103" s="74"/>
    </row>
    <row r="104" spans="1:8" ht="18" customHeight="1">
      <c r="A104" s="70">
        <v>0.625</v>
      </c>
      <c r="B104" s="70">
        <v>0.64583333333333337</v>
      </c>
      <c r="C104" s="452" t="s">
        <v>1673</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941</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942</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441" t="s">
        <v>1196</v>
      </c>
      <c r="B1" s="441"/>
      <c r="C1" s="441"/>
      <c r="D1" s="441"/>
      <c r="E1" s="441"/>
      <c r="F1" s="441"/>
      <c r="G1" s="441"/>
      <c r="H1" s="65"/>
      <c r="I1" s="140" t="s">
        <v>925</v>
      </c>
      <c r="J1" s="141" t="s">
        <v>926</v>
      </c>
      <c r="K1" s="135" t="s">
        <v>927</v>
      </c>
      <c r="L1" s="135" t="s">
        <v>928</v>
      </c>
      <c r="M1" s="136"/>
      <c r="N1" s="67"/>
      <c r="O1" s="67"/>
      <c r="P1" s="67"/>
    </row>
    <row r="2" spans="1:16" ht="14.7" customHeight="1">
      <c r="A2" s="442" t="str">
        <f>CONCATENATE(TEXT(Planning!B26,"[$-x-sysdate]dddd, mmmm dd, yyyy")," (Technology test)")</f>
        <v>Thursday, 08 April 2021 (Technology test)</v>
      </c>
      <c r="B2" s="442"/>
      <c r="C2" s="442"/>
      <c r="D2" s="442"/>
      <c r="E2" s="442"/>
      <c r="F2" s="442"/>
      <c r="G2" s="442"/>
      <c r="H2" s="65"/>
      <c r="I2" s="135"/>
      <c r="J2" s="135"/>
      <c r="K2" s="135"/>
      <c r="L2" s="136"/>
      <c r="M2" s="136"/>
      <c r="N2" s="67"/>
      <c r="O2" s="67"/>
      <c r="P2" s="67"/>
    </row>
    <row r="3" spans="1:16">
      <c r="A3" s="440" t="str">
        <f>J3</f>
        <v>Day 1-2</v>
      </c>
      <c r="B3" s="440"/>
      <c r="C3" s="443" t="str">
        <f>CONCATENATE(TEXT(I3,"[$-x-sysdate]dddd, mmmm dd, yyyy")," to ",TEXT(K3,"[$-x-sysdate]dddd, mmmm dd, yyyy"))</f>
        <v>Saturday, 10 April 2021 to Sunday, 11 April 2021</v>
      </c>
      <c r="D3" s="443"/>
      <c r="E3" s="443"/>
      <c r="F3" s="440" t="str">
        <f>A3</f>
        <v>Day 1-2</v>
      </c>
      <c r="G3" s="440"/>
      <c r="H3" s="65"/>
      <c r="I3" s="142">
        <f>Planning!B27</f>
        <v>44296</v>
      </c>
      <c r="J3" s="143" t="str">
        <f>_xlfn.CONCAT("Day 1-",L3)</f>
        <v>Day 1-2</v>
      </c>
      <c r="K3" s="144">
        <f>Planning!B27+Planning!B29-1</f>
        <v>44297</v>
      </c>
      <c r="L3" s="135">
        <f>K3-I3+1</f>
        <v>2</v>
      </c>
      <c r="M3" s="136"/>
      <c r="N3" s="67"/>
      <c r="O3" s="67"/>
      <c r="P3" s="67"/>
    </row>
    <row r="4" spans="1:16" ht="49.5" customHeight="1">
      <c r="A4" s="440" t="s">
        <v>929</v>
      </c>
      <c r="B4" s="440"/>
      <c r="C4" s="231" t="str">
        <f>'Schedule4-1P'!C4</f>
        <v>Mini team 1:ATM-5 / ATM-6 / ATM-7</v>
      </c>
      <c r="D4" s="231" t="str">
        <f>'Schedule4-1P'!D4</f>
        <v>Full team: ATM-1 / ATM-2 / ATM-3 / ATM-4 /ATM-5 / ATM-6 / ATM-7 / ATM-8</v>
      </c>
      <c r="E4" s="231" t="str">
        <f>'Schedule4-1P'!E4</f>
        <v>LA team: van Zyl, Pieter and ATMs if applicable</v>
      </c>
      <c r="F4" s="440" t="s">
        <v>930</v>
      </c>
      <c r="G4" s="440"/>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5" t="s">
        <v>931</v>
      </c>
      <c r="D5" s="445" t="s">
        <v>931</v>
      </c>
      <c r="E5" s="445"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5"/>
      <c r="D12" s="445"/>
      <c r="E12" s="445"/>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5"/>
      <c r="D13" s="445"/>
      <c r="E13" s="445"/>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46" t="str">
        <f>CONCATENATE("Schedule above includes ",Planning!B28," non-working day(s).")</f>
        <v>Schedule above includes 0 non-working day(s).</v>
      </c>
      <c r="B15" s="446"/>
      <c r="C15" s="446"/>
      <c r="D15" s="446"/>
      <c r="E15" s="446"/>
      <c r="F15" s="446"/>
      <c r="G15" s="446"/>
      <c r="H15" s="65"/>
      <c r="K15" s="139"/>
      <c r="L15" s="135" t="str">
        <f>'P1PA-SS'!B96</f>
        <v>ATM-5</v>
      </c>
      <c r="M15" s="136"/>
      <c r="N15" s="67"/>
      <c r="O15" s="67"/>
      <c r="P15" s="67"/>
    </row>
    <row r="16" spans="1:16">
      <c r="A16" s="447" t="str">
        <f>J4</f>
        <v>Day 3</v>
      </c>
      <c r="B16" s="447"/>
      <c r="C16" s="448">
        <f>I4</f>
        <v>44298</v>
      </c>
      <c r="D16" s="448"/>
      <c r="E16" s="448"/>
      <c r="F16" s="447" t="str">
        <f>A16</f>
        <v>Day 3</v>
      </c>
      <c r="G16" s="447"/>
      <c r="H16" s="65"/>
      <c r="K16" s="139"/>
      <c r="L16" s="135" t="str">
        <f>'P1PA-SS'!B97</f>
        <v>ATM-6</v>
      </c>
      <c r="M16" s="136"/>
      <c r="N16" s="67"/>
      <c r="O16" s="67"/>
      <c r="P16" s="67"/>
    </row>
    <row r="17" spans="1:18" ht="28.8">
      <c r="A17" s="447" t="s">
        <v>929</v>
      </c>
      <c r="B17" s="447"/>
      <c r="C17" s="233" t="str">
        <f>C4</f>
        <v>Mini team 1:ATM-5 / ATM-6 / ATM-7</v>
      </c>
      <c r="D17" s="233" t="str">
        <f>D4</f>
        <v>Full team: ATM-1 / ATM-2 / ATM-3 / ATM-4 /ATM-5 / ATM-6 / ATM-7 / ATM-8</v>
      </c>
      <c r="E17" s="233" t="str">
        <f>E4</f>
        <v>LA team: van Zyl, Pieter and ATMs if applicable</v>
      </c>
      <c r="F17" s="447" t="s">
        <v>930</v>
      </c>
      <c r="G17" s="447"/>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44" t="s">
        <v>984</v>
      </c>
      <c r="D19" s="444"/>
      <c r="E19" s="444"/>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2" t="s">
        <v>985</v>
      </c>
      <c r="D20" s="452"/>
      <c r="E20" s="452"/>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00000000000001" customHeight="1">
      <c r="A22" s="70">
        <v>0.5</v>
      </c>
      <c r="B22" s="70">
        <v>0.52083333333333337</v>
      </c>
      <c r="C22" s="445" t="s">
        <v>936</v>
      </c>
      <c r="D22" s="445"/>
      <c r="E22" s="445"/>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4" t="s">
        <v>986</v>
      </c>
      <c r="D24" s="444"/>
      <c r="E24" s="444"/>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00000000000001" customHeight="1">
      <c r="A28" s="70">
        <v>0.625</v>
      </c>
      <c r="B28" s="70">
        <v>0.64583333333333337</v>
      </c>
      <c r="C28" s="445" t="s">
        <v>937</v>
      </c>
      <c r="D28" s="445"/>
      <c r="E28" s="445"/>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4" t="s">
        <v>986</v>
      </c>
      <c r="D29" s="444"/>
      <c r="E29" s="444"/>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5" t="s">
        <v>1122</v>
      </c>
      <c r="D33" s="445"/>
      <c r="E33" s="445"/>
      <c r="F33" s="70">
        <v>0.47916666666666669</v>
      </c>
      <c r="G33" s="70">
        <v>0.5</v>
      </c>
      <c r="H33" s="65"/>
      <c r="I33" s="136"/>
      <c r="J33" s="136"/>
      <c r="K33" s="136"/>
      <c r="L33" s="136"/>
      <c r="M33" s="136"/>
      <c r="N33" s="67"/>
      <c r="O33" s="67"/>
      <c r="P33" s="67"/>
    </row>
    <row r="34" spans="1:16" ht="18.600000000000001" customHeight="1">
      <c r="A34" s="70">
        <v>0.75</v>
      </c>
      <c r="B34" s="70">
        <v>0.83333333333333337</v>
      </c>
      <c r="C34" s="445" t="s">
        <v>938</v>
      </c>
      <c r="D34" s="445"/>
      <c r="E34" s="445"/>
      <c r="F34" s="70">
        <v>0.5</v>
      </c>
      <c r="G34" s="70">
        <v>0.58333333333333337</v>
      </c>
      <c r="H34" s="65"/>
      <c r="I34" s="136"/>
      <c r="J34" s="136"/>
      <c r="K34" s="136"/>
      <c r="L34" s="136"/>
      <c r="M34" s="136"/>
      <c r="N34" s="67"/>
      <c r="O34" s="67"/>
      <c r="P34" s="67"/>
    </row>
    <row r="35" spans="1:16">
      <c r="A35" s="447" t="str">
        <f>J5</f>
        <v>Day 4</v>
      </c>
      <c r="B35" s="447"/>
      <c r="C35" s="448">
        <f>I5</f>
        <v>44299</v>
      </c>
      <c r="D35" s="448"/>
      <c r="E35" s="448"/>
      <c r="F35" s="447" t="str">
        <f>A35</f>
        <v>Day 4</v>
      </c>
      <c r="G35" s="447"/>
      <c r="H35" s="74"/>
    </row>
    <row r="36" spans="1:16" ht="28.8">
      <c r="A36" s="447" t="s">
        <v>929</v>
      </c>
      <c r="B36" s="447"/>
      <c r="C36" s="233" t="str">
        <f>C17</f>
        <v>Mini team 1:ATM-5 / ATM-6 / ATM-7</v>
      </c>
      <c r="D36" s="233" t="str">
        <f>D17</f>
        <v>Full team: ATM-1 / ATM-2 / ATM-3 / ATM-4 /ATM-5 / ATM-6 / ATM-7 / ATM-8</v>
      </c>
      <c r="E36" s="233" t="str">
        <f>E17</f>
        <v>LA team: van Zyl, Pieter and ATMs if applicable</v>
      </c>
      <c r="F36" s="447" t="s">
        <v>930</v>
      </c>
      <c r="G36" s="447"/>
      <c r="H36" s="74"/>
    </row>
    <row r="37" spans="1:16" ht="18" customHeight="1">
      <c r="A37" s="70">
        <v>0.41666666666666669</v>
      </c>
      <c r="B37" s="70">
        <v>0.4375</v>
      </c>
      <c r="C37" s="445" t="s">
        <v>937</v>
      </c>
      <c r="D37" s="445"/>
      <c r="E37" s="232" t="s">
        <v>935</v>
      </c>
      <c r="F37" s="70">
        <v>0.16666666666666666</v>
      </c>
      <c r="G37" s="70">
        <v>0.1875</v>
      </c>
      <c r="H37" s="74"/>
    </row>
    <row r="38" spans="1:16" ht="18" customHeight="1">
      <c r="A38" s="70">
        <v>0.4375</v>
      </c>
      <c r="B38" s="70">
        <v>0.45833333333333331</v>
      </c>
      <c r="C38" s="444" t="s">
        <v>987</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936</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987</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937</v>
      </c>
      <c r="D48" s="445"/>
      <c r="E48" s="445" t="s">
        <v>935</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988</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1122</v>
      </c>
      <c r="D52" s="445"/>
      <c r="E52" s="445"/>
      <c r="F52" s="70">
        <v>0.47916666666666669</v>
      </c>
      <c r="G52" s="70">
        <v>0.5</v>
      </c>
      <c r="H52" s="74"/>
    </row>
    <row r="53" spans="1:8" ht="18" customHeight="1">
      <c r="A53" s="70">
        <v>0.75</v>
      </c>
      <c r="B53" s="70">
        <v>0.83333333333333337</v>
      </c>
      <c r="C53" s="445" t="s">
        <v>938</v>
      </c>
      <c r="D53" s="445"/>
      <c r="E53" s="445"/>
      <c r="F53" s="70">
        <v>0.5</v>
      </c>
      <c r="G53" s="70">
        <v>0.58333333333333337</v>
      </c>
      <c r="H53" s="74"/>
    </row>
    <row r="54" spans="1:8">
      <c r="A54" s="440" t="str">
        <f>J6</f>
        <v>Day 5</v>
      </c>
      <c r="B54" s="440"/>
      <c r="C54" s="443">
        <f>I6</f>
        <v>44300</v>
      </c>
      <c r="D54" s="443"/>
      <c r="E54" s="443"/>
      <c r="F54" s="440" t="str">
        <f>A54</f>
        <v>Day 5</v>
      </c>
      <c r="G54" s="440"/>
      <c r="H54" s="74"/>
    </row>
    <row r="55" spans="1:8" ht="28.8">
      <c r="A55" s="440" t="s">
        <v>929</v>
      </c>
      <c r="B55" s="440"/>
      <c r="C55" s="231" t="str">
        <f>C36</f>
        <v>Mini team 1:ATM-5 / ATM-6 / ATM-7</v>
      </c>
      <c r="D55" s="231" t="str">
        <f>D36</f>
        <v>Full team: ATM-1 / ATM-2 / ATM-3 / ATM-4 /ATM-5 / ATM-6 / ATM-7 / ATM-8</v>
      </c>
      <c r="E55" s="231" t="str">
        <f>E36</f>
        <v>LA team: van Zyl, Pieter and ATMs if applicable</v>
      </c>
      <c r="F55" s="440" t="s">
        <v>930</v>
      </c>
      <c r="G55" s="440"/>
      <c r="H55" s="74"/>
    </row>
    <row r="56" spans="1:8" ht="18" customHeight="1">
      <c r="A56" s="70">
        <v>0.41666666666666669</v>
      </c>
      <c r="B56" s="70">
        <v>0.4375</v>
      </c>
      <c r="C56" s="445" t="s">
        <v>939</v>
      </c>
      <c r="D56" s="445"/>
      <c r="E56" s="232" t="s">
        <v>935</v>
      </c>
      <c r="F56" s="70">
        <v>0.16666666666666666</v>
      </c>
      <c r="G56" s="70">
        <v>0.1875</v>
      </c>
      <c r="H56" s="74"/>
    </row>
    <row r="57" spans="1:8" ht="18" customHeight="1">
      <c r="A57" s="70">
        <v>0.4375</v>
      </c>
      <c r="B57" s="70">
        <v>0.45833333333333331</v>
      </c>
      <c r="C57" s="444" t="s">
        <v>989</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936</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989</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937</v>
      </c>
      <c r="D68" s="445"/>
      <c r="E68" s="445"/>
      <c r="F68" s="70">
        <v>0.41666666666666669</v>
      </c>
      <c r="G68" s="70">
        <v>0.4375</v>
      </c>
      <c r="H68" s="74"/>
    </row>
    <row r="69" spans="1:8" ht="18" customHeight="1">
      <c r="A69" s="70">
        <v>0.6875</v>
      </c>
      <c r="B69" s="70">
        <v>0.70833333333333337</v>
      </c>
      <c r="C69" s="444" t="s">
        <v>990</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75" t="s">
        <v>1121</v>
      </c>
      <c r="D71" s="476"/>
      <c r="E71" s="477"/>
      <c r="F71" s="70">
        <v>0.47916666666666669</v>
      </c>
      <c r="G71" s="70">
        <v>0.5</v>
      </c>
      <c r="H71" s="74"/>
    </row>
    <row r="72" spans="1:8" ht="18" customHeight="1">
      <c r="A72" s="70">
        <v>0.75</v>
      </c>
      <c r="B72" s="70">
        <v>0.83333333333333337</v>
      </c>
      <c r="C72" s="478"/>
      <c r="D72" s="479"/>
      <c r="E72" s="480"/>
      <c r="F72" s="70">
        <v>0.5</v>
      </c>
      <c r="G72" s="70">
        <v>0.58333333333333337</v>
      </c>
      <c r="H72" s="74"/>
    </row>
    <row r="73" spans="1:8">
      <c r="A73" s="440" t="str">
        <f>J7</f>
        <v>Day 6</v>
      </c>
      <c r="B73" s="440"/>
      <c r="C73" s="443">
        <f>I7</f>
        <v>44301</v>
      </c>
      <c r="D73" s="443"/>
      <c r="E73" s="443"/>
      <c r="F73" s="440" t="str">
        <f>A73</f>
        <v>Day 6</v>
      </c>
      <c r="G73" s="440"/>
      <c r="H73" s="74"/>
    </row>
    <row r="74" spans="1:8" ht="28.8">
      <c r="A74" s="440" t="s">
        <v>929</v>
      </c>
      <c r="B74" s="440"/>
      <c r="C74" s="231" t="str">
        <f>C55</f>
        <v>Mini team 1:ATM-5 / ATM-6 / ATM-7</v>
      </c>
      <c r="D74" s="231" t="str">
        <f>D55</f>
        <v>Full team: ATM-1 / ATM-2 / ATM-3 / ATM-4 /ATM-5 / ATM-6 / ATM-7 / ATM-8</v>
      </c>
      <c r="E74" s="231" t="str">
        <f>E55</f>
        <v>LA team: van Zyl, Pieter and ATMs if applicable</v>
      </c>
      <c r="F74" s="440" t="s">
        <v>930</v>
      </c>
      <c r="G74" s="440"/>
      <c r="H74" s="74"/>
    </row>
    <row r="75" spans="1:8" ht="18" customHeight="1">
      <c r="A75" s="70">
        <v>0.41666666666666669</v>
      </c>
      <c r="B75" s="70">
        <v>0.4375</v>
      </c>
      <c r="C75" s="445" t="s">
        <v>937</v>
      </c>
      <c r="D75" s="445"/>
      <c r="E75" s="445"/>
      <c r="F75" s="70">
        <v>0.16666666666666666</v>
      </c>
      <c r="G75" s="70">
        <v>0.1875</v>
      </c>
      <c r="H75" s="74"/>
    </row>
    <row r="76" spans="1:8" ht="18" customHeight="1">
      <c r="A76" s="70">
        <v>0.4375</v>
      </c>
      <c r="B76" s="70">
        <v>0.45833333333333331</v>
      </c>
      <c r="C76" s="444" t="s">
        <v>991</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937</v>
      </c>
      <c r="D78" s="445"/>
      <c r="E78" s="445"/>
      <c r="F78" s="70">
        <v>0.22916666666666666</v>
      </c>
      <c r="G78" s="70">
        <v>0.25</v>
      </c>
      <c r="H78" s="74"/>
    </row>
    <row r="79" spans="1:8" ht="18" customHeight="1">
      <c r="A79" s="70">
        <v>0.5</v>
      </c>
      <c r="B79" s="70">
        <v>0.52083333333333337</v>
      </c>
      <c r="C79" s="445" t="s">
        <v>936</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75" t="s">
        <v>1121</v>
      </c>
      <c r="D81" s="476"/>
      <c r="E81" s="477"/>
      <c r="F81" s="70">
        <v>0.29166666666666669</v>
      </c>
      <c r="G81" s="70">
        <v>0.3125</v>
      </c>
      <c r="H81" s="74"/>
    </row>
    <row r="82" spans="1:8" ht="18" customHeight="1">
      <c r="A82" s="70">
        <v>0.5625</v>
      </c>
      <c r="B82" s="70">
        <v>0.58333333333333337</v>
      </c>
      <c r="C82" s="478"/>
      <c r="D82" s="479"/>
      <c r="E82" s="480"/>
      <c r="F82" s="70">
        <v>0.3125</v>
      </c>
      <c r="G82" s="70">
        <v>0.33333333333333331</v>
      </c>
      <c r="H82" s="74"/>
    </row>
    <row r="83" spans="1:8" ht="18" customHeight="1">
      <c r="A83" s="70">
        <v>0.58333333333333337</v>
      </c>
      <c r="B83" s="70">
        <v>0.60416666666666663</v>
      </c>
      <c r="C83" s="469" t="s">
        <v>940</v>
      </c>
      <c r="D83" s="470"/>
      <c r="E83" s="471"/>
      <c r="F83" s="70">
        <v>0.33333333333333331</v>
      </c>
      <c r="G83" s="70">
        <v>0.35416666666666669</v>
      </c>
      <c r="H83" s="74"/>
    </row>
    <row r="84" spans="1:8" ht="18" customHeight="1">
      <c r="A84" s="70">
        <v>0.60416666666666663</v>
      </c>
      <c r="B84" s="70">
        <v>0.625</v>
      </c>
      <c r="C84" s="472"/>
      <c r="D84" s="473"/>
      <c r="E84" s="474"/>
      <c r="F84" s="70">
        <v>0.35416666666666669</v>
      </c>
      <c r="G84" s="70">
        <v>0.375</v>
      </c>
      <c r="H84" s="74"/>
    </row>
    <row r="85" spans="1:8" ht="18" customHeight="1">
      <c r="A85" s="70">
        <v>0.625</v>
      </c>
      <c r="B85" s="70">
        <v>0.64583333333333337</v>
      </c>
      <c r="C85" s="444" t="s">
        <v>992</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937</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938</v>
      </c>
      <c r="D91" s="445"/>
      <c r="E91" s="445"/>
      <c r="F91" s="70">
        <v>0.5</v>
      </c>
      <c r="G91" s="70">
        <v>0.58333333333333337</v>
      </c>
      <c r="H91" s="74"/>
    </row>
    <row r="92" spans="1:8">
      <c r="A92" s="440" t="str">
        <f>J8</f>
        <v>Day 7</v>
      </c>
      <c r="B92" s="440"/>
      <c r="C92" s="443">
        <f>I8</f>
        <v>44302</v>
      </c>
      <c r="D92" s="443"/>
      <c r="E92" s="443"/>
      <c r="F92" s="440" t="str">
        <f>A92</f>
        <v>Day 7</v>
      </c>
      <c r="G92" s="440"/>
      <c r="H92" s="74"/>
    </row>
    <row r="93" spans="1:8" ht="28.8">
      <c r="A93" s="440" t="s">
        <v>929</v>
      </c>
      <c r="B93" s="440"/>
      <c r="C93" s="231" t="str">
        <f>C74</f>
        <v>Mini team 1:ATM-5 / ATM-6 / ATM-7</v>
      </c>
      <c r="D93" s="231" t="str">
        <f>D74</f>
        <v>Full team: ATM-1 / ATM-2 / ATM-3 / ATM-4 /ATM-5 / ATM-6 / ATM-7 / ATM-8</v>
      </c>
      <c r="E93" s="231" t="str">
        <f>E74</f>
        <v>LA team: van Zyl, Pieter and ATMs if applicable</v>
      </c>
      <c r="F93" s="440" t="s">
        <v>930</v>
      </c>
      <c r="G93" s="440"/>
      <c r="H93" s="74"/>
    </row>
    <row r="94" spans="1:8" ht="18" customHeight="1">
      <c r="A94" s="70">
        <v>0.41666666666666669</v>
      </c>
      <c r="B94" s="70">
        <v>0.4375</v>
      </c>
      <c r="C94" s="445" t="s">
        <v>937</v>
      </c>
      <c r="D94" s="445"/>
      <c r="E94" s="445"/>
      <c r="F94" s="70">
        <v>0.16666666666666666</v>
      </c>
      <c r="G94" s="70">
        <v>0.1875</v>
      </c>
      <c r="H94" s="74"/>
    </row>
    <row r="95" spans="1:8" ht="18" customHeight="1">
      <c r="A95" s="70">
        <v>0.4375</v>
      </c>
      <c r="B95" s="70">
        <v>0.45833333333333331</v>
      </c>
      <c r="C95" s="454" t="s">
        <v>993</v>
      </c>
      <c r="D95" s="455"/>
      <c r="E95" s="456"/>
      <c r="F95" s="70">
        <v>0.1875</v>
      </c>
      <c r="G95" s="70">
        <v>0.20833333333333334</v>
      </c>
      <c r="H95" s="74"/>
    </row>
    <row r="96" spans="1:8" ht="18" customHeight="1">
      <c r="A96" s="70">
        <v>0.45833333333333331</v>
      </c>
      <c r="B96" s="70">
        <v>0.47916666666666669</v>
      </c>
      <c r="C96" s="457"/>
      <c r="D96" s="458"/>
      <c r="E96" s="459"/>
      <c r="F96" s="70">
        <v>0.20833333333333334</v>
      </c>
      <c r="G96" s="70">
        <v>0.22916666666666666</v>
      </c>
      <c r="H96" s="74"/>
    </row>
    <row r="97" spans="1:8" ht="18" customHeight="1">
      <c r="A97" s="70">
        <v>0.47916666666666669</v>
      </c>
      <c r="B97" s="70">
        <v>0.5</v>
      </c>
      <c r="C97" s="454" t="s">
        <v>994</v>
      </c>
      <c r="D97" s="455"/>
      <c r="E97" s="456"/>
      <c r="F97" s="70">
        <v>0.22916666666666666</v>
      </c>
      <c r="G97" s="70">
        <v>0.25</v>
      </c>
      <c r="H97" s="74"/>
    </row>
    <row r="98" spans="1:8" ht="18" customHeight="1">
      <c r="A98" s="70">
        <v>0.5</v>
      </c>
      <c r="B98" s="70">
        <v>0.52083333333333337</v>
      </c>
      <c r="C98" s="457"/>
      <c r="D98" s="458"/>
      <c r="E98" s="459"/>
      <c r="F98" s="70">
        <v>0.25</v>
      </c>
      <c r="G98" s="70">
        <v>0.27083333333333331</v>
      </c>
      <c r="H98" s="74"/>
    </row>
    <row r="99" spans="1:8" ht="18" customHeight="1">
      <c r="A99" s="70">
        <v>0.52083333333333337</v>
      </c>
      <c r="B99" s="70">
        <v>0.54166666666666663</v>
      </c>
      <c r="C99" s="460" t="s">
        <v>936</v>
      </c>
      <c r="D99" s="461"/>
      <c r="E99" s="462"/>
      <c r="F99" s="70">
        <v>0.27083333333333331</v>
      </c>
      <c r="G99" s="70">
        <v>0.29166666666666669</v>
      </c>
      <c r="H99" s="74"/>
    </row>
    <row r="100" spans="1:8" ht="18" customHeight="1">
      <c r="A100" s="70">
        <v>0.54166666666666663</v>
      </c>
      <c r="B100" s="70">
        <v>0.5625</v>
      </c>
      <c r="C100" s="466"/>
      <c r="D100" s="467"/>
      <c r="E100" s="468"/>
      <c r="F100" s="70">
        <v>0.29166666666666669</v>
      </c>
      <c r="G100" s="70">
        <v>0.3125</v>
      </c>
      <c r="H100" s="74"/>
    </row>
    <row r="101" spans="1:8" ht="18" customHeight="1">
      <c r="A101" s="70">
        <v>0.5625</v>
      </c>
      <c r="B101" s="70">
        <v>0.58333333333333337</v>
      </c>
      <c r="C101" s="460" t="s">
        <v>1674</v>
      </c>
      <c r="D101" s="461"/>
      <c r="E101" s="462"/>
      <c r="F101" s="70">
        <v>0.3125</v>
      </c>
      <c r="G101" s="70">
        <v>0.33333333333333331</v>
      </c>
      <c r="H101" s="74"/>
    </row>
    <row r="102" spans="1:8" ht="18" customHeight="1">
      <c r="A102" s="70">
        <v>0.58333333333333337</v>
      </c>
      <c r="B102" s="70">
        <v>0.60416666666666663</v>
      </c>
      <c r="C102" s="463"/>
      <c r="D102" s="464"/>
      <c r="E102" s="465"/>
      <c r="F102" s="70">
        <v>0.33333333333333331</v>
      </c>
      <c r="G102" s="70">
        <v>0.35416666666666669</v>
      </c>
      <c r="H102" s="74"/>
    </row>
    <row r="103" spans="1:8" ht="18" customHeight="1">
      <c r="A103" s="70">
        <v>0.60416666666666663</v>
      </c>
      <c r="B103" s="70">
        <v>0.625</v>
      </c>
      <c r="C103" s="466"/>
      <c r="D103" s="467"/>
      <c r="E103" s="468"/>
      <c r="F103" s="70">
        <v>0.35416666666666669</v>
      </c>
      <c r="G103" s="70">
        <v>0.375</v>
      </c>
      <c r="H103" s="74"/>
    </row>
    <row r="104" spans="1:8" ht="18" customHeight="1">
      <c r="A104" s="70">
        <v>0.625</v>
      </c>
      <c r="B104" s="70">
        <v>0.64583333333333337</v>
      </c>
      <c r="C104" s="452" t="s">
        <v>1673</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941</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942</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28.8">
      <c r="A3" s="336">
        <v>0.41666666666666702</v>
      </c>
      <c r="B3" s="481" t="s">
        <v>1442</v>
      </c>
      <c r="C3" s="337" t="s">
        <v>1443</v>
      </c>
      <c r="D3" s="338" t="s">
        <v>1444</v>
      </c>
      <c r="E3" s="338" t="s">
        <v>1444</v>
      </c>
      <c r="F3" s="482" t="s">
        <v>1445</v>
      </c>
      <c r="G3" s="482" t="s">
        <v>1446</v>
      </c>
      <c r="H3" s="339">
        <f t="shared" ref="H3:H19" si="1">+A3-0.25</f>
        <v>0.16666666666666702</v>
      </c>
    </row>
    <row r="4" spans="1:8">
      <c r="A4" s="336">
        <v>0.4375</v>
      </c>
      <c r="B4" s="481"/>
      <c r="C4" s="340" t="s">
        <v>1447</v>
      </c>
      <c r="D4" s="483" t="s">
        <v>1448</v>
      </c>
      <c r="E4" s="483" t="s">
        <v>1449</v>
      </c>
      <c r="F4" s="482"/>
      <c r="G4" s="482"/>
      <c r="H4" s="339">
        <f t="shared" si="1"/>
        <v>0.1875</v>
      </c>
    </row>
    <row r="5" spans="1:8">
      <c r="A5" s="336">
        <v>0.45833333333333398</v>
      </c>
      <c r="B5" s="484" t="s">
        <v>1450</v>
      </c>
      <c r="C5" s="485" t="s">
        <v>1451</v>
      </c>
      <c r="D5" s="483"/>
      <c r="E5" s="483"/>
      <c r="F5" s="482"/>
      <c r="G5" s="482"/>
      <c r="H5" s="339">
        <f t="shared" si="1"/>
        <v>0.20833333333333398</v>
      </c>
    </row>
    <row r="6" spans="1:8">
      <c r="A6" s="336">
        <v>0.47916666666666702</v>
      </c>
      <c r="B6" s="484"/>
      <c r="C6" s="485"/>
      <c r="D6" s="483"/>
      <c r="E6" s="483"/>
      <c r="F6" s="482"/>
      <c r="G6" s="337" t="s">
        <v>1447</v>
      </c>
      <c r="H6" s="339">
        <f t="shared" si="1"/>
        <v>0.22916666666666702</v>
      </c>
    </row>
    <row r="7" spans="1:8">
      <c r="A7" s="336">
        <v>0.5</v>
      </c>
      <c r="B7" s="484"/>
      <c r="C7" s="483" t="s">
        <v>1452</v>
      </c>
      <c r="D7" s="483"/>
      <c r="E7" s="483"/>
      <c r="F7" s="486" t="s">
        <v>936</v>
      </c>
      <c r="G7" s="486" t="s">
        <v>936</v>
      </c>
      <c r="H7" s="339">
        <f t="shared" si="1"/>
        <v>0.25</v>
      </c>
    </row>
    <row r="8" spans="1:8" ht="28.8">
      <c r="A8" s="336">
        <v>0.52083333333333404</v>
      </c>
      <c r="B8" s="341" t="s">
        <v>1442</v>
      </c>
      <c r="C8" s="483"/>
      <c r="D8" s="483"/>
      <c r="E8" s="483"/>
      <c r="F8" s="486"/>
      <c r="G8" s="486"/>
      <c r="H8" s="339">
        <f t="shared" si="1"/>
        <v>0.27083333333333404</v>
      </c>
    </row>
    <row r="9" spans="1:8">
      <c r="A9" s="336">
        <v>0.54166666666666696</v>
      </c>
      <c r="B9" s="487" t="s">
        <v>936</v>
      </c>
      <c r="C9" s="486" t="s">
        <v>936</v>
      </c>
      <c r="D9" s="486" t="s">
        <v>936</v>
      </c>
      <c r="E9" s="486" t="s">
        <v>936</v>
      </c>
      <c r="F9" s="337" t="s">
        <v>1447</v>
      </c>
      <c r="G9" s="485" t="s">
        <v>794</v>
      </c>
      <c r="H9" s="339">
        <f t="shared" si="1"/>
        <v>0.29166666666666696</v>
      </c>
    </row>
    <row r="10" spans="1:8">
      <c r="A10" s="336">
        <v>0.5625</v>
      </c>
      <c r="B10" s="487"/>
      <c r="C10" s="486"/>
      <c r="D10" s="486"/>
      <c r="E10" s="486"/>
      <c r="F10" s="485" t="s">
        <v>1453</v>
      </c>
      <c r="G10" s="485"/>
      <c r="H10" s="339">
        <f t="shared" si="1"/>
        <v>0.3125</v>
      </c>
    </row>
    <row r="11" spans="1:8">
      <c r="A11" s="336">
        <v>0.58333333333333304</v>
      </c>
      <c r="B11" s="481" t="s">
        <v>1454</v>
      </c>
      <c r="C11" s="483" t="s">
        <v>1455</v>
      </c>
      <c r="D11" s="483" t="s">
        <v>1456</v>
      </c>
      <c r="E11" s="483" t="s">
        <v>1457</v>
      </c>
      <c r="F11" s="485"/>
      <c r="G11" s="482" t="s">
        <v>1458</v>
      </c>
      <c r="H11" s="339">
        <f t="shared" si="1"/>
        <v>0.33333333333333304</v>
      </c>
    </row>
    <row r="12" spans="1:8">
      <c r="A12" s="336">
        <v>0.60416666666666696</v>
      </c>
      <c r="B12" s="481"/>
      <c r="C12" s="483"/>
      <c r="D12" s="483"/>
      <c r="E12" s="483"/>
      <c r="F12" s="485" t="s">
        <v>1459</v>
      </c>
      <c r="G12" s="482"/>
      <c r="H12" s="339">
        <f t="shared" si="1"/>
        <v>0.35416666666666696</v>
      </c>
    </row>
    <row r="13" spans="1:8">
      <c r="A13" s="336">
        <v>0.625</v>
      </c>
      <c r="B13" s="481"/>
      <c r="C13" s="483"/>
      <c r="D13" s="483" t="s">
        <v>1460</v>
      </c>
      <c r="E13" s="483"/>
      <c r="F13" s="485"/>
      <c r="G13" s="482"/>
      <c r="H13" s="339">
        <f t="shared" si="1"/>
        <v>0.375</v>
      </c>
    </row>
    <row r="14" spans="1:8">
      <c r="A14" s="336">
        <v>0.64583333333333304</v>
      </c>
      <c r="B14" s="481"/>
      <c r="C14" s="483"/>
      <c r="D14" s="483"/>
      <c r="E14" s="483"/>
      <c r="F14" s="482" t="s">
        <v>1446</v>
      </c>
      <c r="G14" s="488" t="s">
        <v>1461</v>
      </c>
      <c r="H14" s="339">
        <f t="shared" si="1"/>
        <v>0.39583333333333304</v>
      </c>
    </row>
    <row r="15" spans="1:8">
      <c r="A15" s="336">
        <v>0.66666666666666696</v>
      </c>
      <c r="B15" s="481"/>
      <c r="C15" s="340" t="s">
        <v>1447</v>
      </c>
      <c r="D15" s="483"/>
      <c r="E15" s="482" t="s">
        <v>1445</v>
      </c>
      <c r="F15" s="482"/>
      <c r="G15" s="488"/>
      <c r="H15" s="339">
        <f t="shared" si="1"/>
        <v>0.41666666666666696</v>
      </c>
    </row>
    <row r="16" spans="1:8">
      <c r="A16" s="336">
        <v>0.6875</v>
      </c>
      <c r="B16" s="481"/>
      <c r="C16" s="483" t="s">
        <v>1462</v>
      </c>
      <c r="D16" s="483" t="s">
        <v>1463</v>
      </c>
      <c r="E16" s="482"/>
      <c r="F16" s="482"/>
      <c r="G16" s="488"/>
      <c r="H16" s="339">
        <f t="shared" si="1"/>
        <v>0.4375</v>
      </c>
    </row>
    <row r="17" spans="1:8">
      <c r="A17" s="336">
        <v>0.70833333333333304</v>
      </c>
      <c r="B17" s="342" t="s">
        <v>1464</v>
      </c>
      <c r="C17" s="483"/>
      <c r="D17" s="483"/>
      <c r="E17" s="482"/>
      <c r="F17" s="482"/>
      <c r="G17" s="488"/>
      <c r="H17" s="339">
        <f t="shared" si="1"/>
        <v>0.45833333333333304</v>
      </c>
    </row>
    <row r="18" spans="1:8">
      <c r="A18" s="336">
        <v>0.72916666666666663</v>
      </c>
      <c r="B18" s="343" t="s">
        <v>1444</v>
      </c>
      <c r="C18" s="338" t="s">
        <v>1444</v>
      </c>
      <c r="D18" s="338" t="s">
        <v>1444</v>
      </c>
      <c r="E18" s="338" t="s">
        <v>1444</v>
      </c>
      <c r="F18" s="338" t="s">
        <v>1444</v>
      </c>
      <c r="G18" s="488"/>
      <c r="H18" s="339">
        <f t="shared" si="1"/>
        <v>0.47916666666666663</v>
      </c>
    </row>
    <row r="19" spans="1:8" ht="15" thickBot="1">
      <c r="A19" s="344">
        <v>0.75</v>
      </c>
      <c r="B19" s="489" t="s">
        <v>938</v>
      </c>
      <c r="C19" s="490"/>
      <c r="D19" s="490"/>
      <c r="E19" s="490"/>
      <c r="F19" s="490"/>
      <c r="G19" s="490"/>
      <c r="H19" s="345">
        <f t="shared" si="1"/>
        <v>0.5</v>
      </c>
    </row>
    <row r="21" spans="1:8" ht="1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28.8">
      <c r="A23" s="336">
        <v>0.41666666666666702</v>
      </c>
      <c r="B23" s="481" t="s">
        <v>1442</v>
      </c>
      <c r="C23" s="337" t="s">
        <v>1443</v>
      </c>
      <c r="D23" s="338" t="s">
        <v>1444</v>
      </c>
      <c r="E23" s="338" t="s">
        <v>1444</v>
      </c>
      <c r="F23" s="491" t="s">
        <v>1445</v>
      </c>
      <c r="G23" s="491" t="s">
        <v>1446</v>
      </c>
      <c r="H23" s="339">
        <f t="shared" ref="H23:H39" si="3">+A23-0.25</f>
        <v>0.16666666666666702</v>
      </c>
    </row>
    <row r="24" spans="1:8">
      <c r="A24" s="336">
        <v>0.4375</v>
      </c>
      <c r="B24" s="481"/>
      <c r="C24" s="340" t="s">
        <v>1447</v>
      </c>
      <c r="D24" s="483" t="s">
        <v>1448</v>
      </c>
      <c r="E24" s="483" t="s">
        <v>1449</v>
      </c>
      <c r="F24" s="492"/>
      <c r="G24" s="492"/>
      <c r="H24" s="339">
        <f t="shared" si="3"/>
        <v>0.1875</v>
      </c>
    </row>
    <row r="25" spans="1:8">
      <c r="A25" s="336">
        <v>0.45833333333333398</v>
      </c>
      <c r="B25" s="484" t="s">
        <v>1450</v>
      </c>
      <c r="C25" s="485" t="s">
        <v>1451</v>
      </c>
      <c r="D25" s="483"/>
      <c r="E25" s="483"/>
      <c r="F25" s="492"/>
      <c r="G25" s="492"/>
      <c r="H25" s="339">
        <f t="shared" si="3"/>
        <v>0.20833333333333398</v>
      </c>
    </row>
    <row r="26" spans="1:8">
      <c r="A26" s="336">
        <v>0.47916666666666702</v>
      </c>
      <c r="B26" s="484"/>
      <c r="C26" s="485"/>
      <c r="D26" s="483"/>
      <c r="E26" s="483"/>
      <c r="F26" s="492"/>
      <c r="G26" s="492"/>
      <c r="H26" s="339">
        <f t="shared" si="3"/>
        <v>0.22916666666666702</v>
      </c>
    </row>
    <row r="27" spans="1:8">
      <c r="A27" s="336">
        <v>0.5</v>
      </c>
      <c r="B27" s="484"/>
      <c r="C27" s="483" t="s">
        <v>1452</v>
      </c>
      <c r="D27" s="483"/>
      <c r="E27" s="483"/>
      <c r="F27" s="492"/>
      <c r="G27" s="492"/>
      <c r="H27" s="339">
        <f t="shared" si="3"/>
        <v>0.25</v>
      </c>
    </row>
    <row r="28" spans="1:8" ht="28.8">
      <c r="A28" s="336">
        <v>0.52083333333333404</v>
      </c>
      <c r="B28" s="341" t="s">
        <v>1442</v>
      </c>
      <c r="C28" s="483"/>
      <c r="D28" s="483"/>
      <c r="E28" s="483"/>
      <c r="F28" s="493"/>
      <c r="G28" s="493"/>
      <c r="H28" s="339">
        <f t="shared" si="3"/>
        <v>0.27083333333333404</v>
      </c>
    </row>
    <row r="29" spans="1:8">
      <c r="A29" s="336">
        <v>0.54166666666666696</v>
      </c>
      <c r="B29" s="487" t="s">
        <v>936</v>
      </c>
      <c r="C29" s="486" t="s">
        <v>936</v>
      </c>
      <c r="D29" s="486" t="s">
        <v>936</v>
      </c>
      <c r="E29" s="486" t="s">
        <v>936</v>
      </c>
      <c r="F29" s="486" t="s">
        <v>936</v>
      </c>
      <c r="G29" s="486" t="s">
        <v>936</v>
      </c>
      <c r="H29" s="339">
        <f t="shared" si="3"/>
        <v>0.29166666666666696</v>
      </c>
    </row>
    <row r="30" spans="1:8">
      <c r="A30" s="336">
        <v>0.5625</v>
      </c>
      <c r="B30" s="487"/>
      <c r="C30" s="486"/>
      <c r="D30" s="486"/>
      <c r="E30" s="486"/>
      <c r="F30" s="486"/>
      <c r="G30" s="486"/>
      <c r="H30" s="339">
        <f t="shared" si="3"/>
        <v>0.3125</v>
      </c>
    </row>
    <row r="31" spans="1:8">
      <c r="A31" s="336">
        <v>0.58333333333333304</v>
      </c>
      <c r="B31" s="491" t="s">
        <v>1454</v>
      </c>
      <c r="C31" s="483" t="s">
        <v>1455</v>
      </c>
      <c r="D31" s="483" t="s">
        <v>1456</v>
      </c>
      <c r="E31" s="483" t="s">
        <v>1457</v>
      </c>
      <c r="F31" s="338" t="s">
        <v>1447</v>
      </c>
      <c r="G31" s="338" t="s">
        <v>1447</v>
      </c>
      <c r="H31" s="339">
        <f t="shared" si="3"/>
        <v>0.33333333333333304</v>
      </c>
    </row>
    <row r="32" spans="1:8">
      <c r="A32" s="336">
        <v>0.60416666666666696</v>
      </c>
      <c r="B32" s="492"/>
      <c r="C32" s="483"/>
      <c r="D32" s="483"/>
      <c r="E32" s="483"/>
      <c r="F32" s="485" t="s">
        <v>1453</v>
      </c>
      <c r="G32" s="485" t="s">
        <v>1672</v>
      </c>
      <c r="H32" s="339">
        <f t="shared" si="3"/>
        <v>0.35416666666666696</v>
      </c>
    </row>
    <row r="33" spans="1:8">
      <c r="A33" s="336">
        <v>0.625</v>
      </c>
      <c r="B33" s="492"/>
      <c r="C33" s="483"/>
      <c r="D33" s="483" t="s">
        <v>1460</v>
      </c>
      <c r="E33" s="483"/>
      <c r="F33" s="485"/>
      <c r="G33" s="485"/>
      <c r="H33" s="339">
        <f t="shared" si="3"/>
        <v>0.375</v>
      </c>
    </row>
    <row r="34" spans="1:8">
      <c r="A34" s="336">
        <v>0.64583333333333304</v>
      </c>
      <c r="B34" s="492"/>
      <c r="C34" s="483"/>
      <c r="D34" s="483"/>
      <c r="E34" s="483"/>
      <c r="F34" s="485" t="s">
        <v>1459</v>
      </c>
      <c r="G34" s="494" t="s">
        <v>1466</v>
      </c>
      <c r="H34" s="339">
        <f t="shared" si="3"/>
        <v>0.39583333333333304</v>
      </c>
    </row>
    <row r="35" spans="1:8">
      <c r="A35" s="336">
        <v>0.66666666666666696</v>
      </c>
      <c r="B35" s="493"/>
      <c r="C35" s="340" t="s">
        <v>1447</v>
      </c>
      <c r="D35" s="483"/>
      <c r="E35" s="482" t="s">
        <v>1445</v>
      </c>
      <c r="F35" s="485"/>
      <c r="G35" s="495"/>
      <c r="H35" s="339">
        <f t="shared" si="3"/>
        <v>0.41666666666666696</v>
      </c>
    </row>
    <row r="36" spans="1:8">
      <c r="A36" s="336">
        <v>0.6875</v>
      </c>
      <c r="B36" s="346" t="s">
        <v>1467</v>
      </c>
      <c r="C36" s="483" t="s">
        <v>1462</v>
      </c>
      <c r="D36" s="483" t="s">
        <v>1463</v>
      </c>
      <c r="E36" s="482"/>
      <c r="F36" s="491" t="s">
        <v>1446</v>
      </c>
      <c r="G36" s="494" t="s">
        <v>1468</v>
      </c>
      <c r="H36" s="339">
        <f t="shared" si="3"/>
        <v>0.4375</v>
      </c>
    </row>
    <row r="37" spans="1:8">
      <c r="A37" s="336">
        <v>0.70833333333333304</v>
      </c>
      <c r="B37" s="342" t="s">
        <v>1464</v>
      </c>
      <c r="C37" s="483"/>
      <c r="D37" s="483"/>
      <c r="E37" s="482"/>
      <c r="F37" s="493"/>
      <c r="G37" s="495"/>
      <c r="H37" s="339">
        <f t="shared" si="3"/>
        <v>0.45833333333333304</v>
      </c>
    </row>
    <row r="38" spans="1:8">
      <c r="A38" s="336">
        <v>0.72916666666666663</v>
      </c>
      <c r="B38" s="343" t="s">
        <v>1444</v>
      </c>
      <c r="C38" s="338" t="s">
        <v>1444</v>
      </c>
      <c r="D38" s="338" t="s">
        <v>1444</v>
      </c>
      <c r="E38" s="338" t="s">
        <v>1444</v>
      </c>
      <c r="F38" s="338" t="s">
        <v>1444</v>
      </c>
      <c r="G38" s="496"/>
      <c r="H38" s="339">
        <f t="shared" si="3"/>
        <v>0.47916666666666663</v>
      </c>
    </row>
    <row r="39" spans="1:8" ht="15" thickBot="1">
      <c r="A39" s="344">
        <v>0.75</v>
      </c>
      <c r="B39" s="489" t="s">
        <v>938</v>
      </c>
      <c r="C39" s="490"/>
      <c r="D39" s="490"/>
      <c r="E39" s="490"/>
      <c r="F39" s="490"/>
      <c r="G39" s="490"/>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9" customWidth="1"/>
    <col min="3" max="3" width="29.33203125" customWidth="1"/>
    <col min="4" max="4" width="4.44140625" style="128" customWidth="1"/>
    <col min="5" max="24" width="4.33203125" style="128" customWidth="1"/>
  </cols>
  <sheetData>
    <row r="1" spans="1:24" ht="50.7"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5" customWidth="1"/>
    <col min="2" max="2" width="65.6640625" style="125" customWidth="1"/>
    <col min="3" max="4" width="27.33203125" style="125" customWidth="1"/>
    <col min="5" max="16384" width="8.664062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F6" sqref="F6"/>
    </sheetView>
  </sheetViews>
  <sheetFormatPr defaultColWidth="8.6640625" defaultRowHeight="14.4"/>
  <cols>
    <col min="1" max="22" width="8.6640625" style="196"/>
    <col min="23" max="23" width="8.6640625" style="196" hidden="1" customWidth="1"/>
    <col min="24" max="16384" width="8.6640625" style="196"/>
  </cols>
  <sheetData>
    <row r="2" spans="2:28" ht="93.6">
      <c r="B2" s="510" t="s">
        <v>1080</v>
      </c>
      <c r="C2" s="510" t="s">
        <v>1081</v>
      </c>
      <c r="D2" s="504" t="s">
        <v>1082</v>
      </c>
      <c r="E2" s="506"/>
      <c r="F2" s="507" t="s">
        <v>1083</v>
      </c>
      <c r="G2" s="509"/>
      <c r="H2" s="504" t="s">
        <v>1084</v>
      </c>
      <c r="I2" s="505"/>
      <c r="J2" s="505"/>
      <c r="K2" s="506"/>
      <c r="L2" s="507" t="s">
        <v>1085</v>
      </c>
      <c r="M2" s="508"/>
      <c r="N2" s="509"/>
      <c r="O2" s="210" t="s">
        <v>1086</v>
      </c>
      <c r="P2" s="211" t="s">
        <v>1087</v>
      </c>
      <c r="Q2" s="504" t="s">
        <v>1088</v>
      </c>
      <c r="R2" s="505"/>
      <c r="S2" s="506"/>
      <c r="T2" s="507" t="s">
        <v>1089</v>
      </c>
      <c r="U2" s="508"/>
      <c r="V2" s="509"/>
      <c r="W2" s="207" t="s">
        <v>1090</v>
      </c>
    </row>
    <row r="3" spans="2:28" ht="15.6">
      <c r="B3" s="511"/>
      <c r="C3" s="511"/>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6">
      <c r="B5" s="501" t="s">
        <v>1091</v>
      </c>
      <c r="C5" s="214"/>
      <c r="D5" s="288"/>
      <c r="E5" s="288"/>
      <c r="F5" s="288"/>
      <c r="G5" s="288"/>
      <c r="H5" s="288"/>
      <c r="I5" s="288"/>
      <c r="J5" s="288"/>
      <c r="K5" s="288"/>
      <c r="L5" s="288"/>
      <c r="M5" s="288"/>
      <c r="N5" s="288"/>
      <c r="O5" s="288"/>
      <c r="P5" s="288"/>
      <c r="Q5" s="288"/>
      <c r="R5" s="288"/>
      <c r="S5" s="288"/>
      <c r="T5" s="288"/>
      <c r="U5" s="288"/>
      <c r="V5" s="288"/>
      <c r="W5" s="197" t="s">
        <v>1096</v>
      </c>
    </row>
    <row r="6" spans="2:28" ht="15.6">
      <c r="B6" s="502"/>
      <c r="C6" s="286">
        <v>1.1000000000000001</v>
      </c>
      <c r="D6" s="289"/>
      <c r="E6" s="289"/>
      <c r="F6" s="289"/>
      <c r="G6" s="289"/>
      <c r="H6" s="289"/>
      <c r="I6" s="289"/>
      <c r="J6" s="289"/>
      <c r="K6" s="289"/>
      <c r="L6" s="289"/>
      <c r="M6" s="289"/>
      <c r="N6" s="289"/>
      <c r="O6" s="289"/>
      <c r="P6" s="289"/>
      <c r="Q6" s="289"/>
      <c r="R6" s="289"/>
      <c r="S6" s="289"/>
      <c r="T6" s="289"/>
      <c r="U6" s="289"/>
      <c r="V6" s="289"/>
      <c r="W6" s="197" t="s">
        <v>1094</v>
      </c>
      <c r="Z6" s="196" t="s">
        <v>1092</v>
      </c>
      <c r="AB6" s="196" t="s">
        <v>1095</v>
      </c>
    </row>
    <row r="7" spans="2:28" ht="15.6">
      <c r="B7" s="502"/>
      <c r="C7" s="286">
        <v>1.2</v>
      </c>
      <c r="D7" s="289"/>
      <c r="E7" s="289"/>
      <c r="F7" s="289"/>
      <c r="G7" s="289"/>
      <c r="H7" s="289"/>
      <c r="I7" s="289"/>
      <c r="J7" s="289"/>
      <c r="K7" s="289"/>
      <c r="L7" s="289"/>
      <c r="M7" s="289"/>
      <c r="N7" s="289"/>
      <c r="O7" s="289"/>
      <c r="P7" s="289"/>
      <c r="Q7" s="289"/>
      <c r="R7" s="289"/>
      <c r="S7" s="289"/>
      <c r="T7" s="289"/>
      <c r="U7" s="289"/>
      <c r="V7" s="289"/>
      <c r="W7" s="197" t="s">
        <v>912</v>
      </c>
      <c r="Z7" s="196" t="s">
        <v>1093</v>
      </c>
      <c r="AB7" s="196" t="s">
        <v>1096</v>
      </c>
    </row>
    <row r="8" spans="2:28" ht="15.6">
      <c r="B8" s="503"/>
      <c r="C8" s="286">
        <v>1.3</v>
      </c>
      <c r="D8" s="289"/>
      <c r="E8" s="289"/>
      <c r="F8" s="289"/>
      <c r="G8" s="289"/>
      <c r="H8" s="289"/>
      <c r="I8" s="289"/>
      <c r="J8" s="289"/>
      <c r="K8" s="289"/>
      <c r="L8" s="289"/>
      <c r="M8" s="289"/>
      <c r="N8" s="289"/>
      <c r="O8" s="289"/>
      <c r="P8" s="289"/>
      <c r="Q8" s="289"/>
      <c r="R8" s="289"/>
      <c r="S8" s="289"/>
      <c r="T8" s="289"/>
      <c r="U8" s="289"/>
      <c r="V8" s="289"/>
      <c r="W8" s="197" t="s">
        <v>1093</v>
      </c>
      <c r="Z8" s="196" t="s">
        <v>912</v>
      </c>
    </row>
    <row r="9" spans="2:28" ht="21">
      <c r="B9" s="203"/>
      <c r="C9" s="203"/>
      <c r="D9" s="203"/>
      <c r="E9" s="203"/>
      <c r="F9" s="203"/>
      <c r="G9" s="203"/>
      <c r="H9" s="203"/>
      <c r="I9" s="203"/>
      <c r="J9" s="203"/>
      <c r="K9" s="203"/>
      <c r="L9" s="203"/>
      <c r="M9" s="203"/>
      <c r="N9" s="203"/>
      <c r="O9" s="203"/>
      <c r="P9" s="203"/>
      <c r="Q9" s="203"/>
      <c r="R9" s="203"/>
      <c r="S9" s="203"/>
      <c r="T9" s="203"/>
      <c r="U9" s="203"/>
      <c r="V9" s="203"/>
      <c r="W9" s="197" t="s">
        <v>1093</v>
      </c>
      <c r="Z9" s="196" t="s">
        <v>912</v>
      </c>
    </row>
    <row r="10" spans="2:28" ht="12" customHeight="1">
      <c r="B10" s="501" t="s">
        <v>1097</v>
      </c>
      <c r="C10" s="214"/>
      <c r="D10" s="287"/>
      <c r="E10" s="287"/>
      <c r="F10" s="287"/>
      <c r="G10" s="287"/>
      <c r="H10" s="287"/>
      <c r="I10" s="287"/>
      <c r="J10" s="287"/>
      <c r="K10" s="287"/>
      <c r="L10" s="287"/>
      <c r="M10" s="287"/>
      <c r="N10" s="287"/>
      <c r="O10" s="287"/>
      <c r="P10" s="287"/>
      <c r="Q10" s="287"/>
      <c r="R10" s="287"/>
      <c r="S10" s="287"/>
      <c r="T10" s="287"/>
      <c r="U10" s="287"/>
      <c r="V10" s="287"/>
      <c r="W10" s="208"/>
      <c r="Z10" s="196" t="s">
        <v>1094</v>
      </c>
    </row>
    <row r="11" spans="2:28" ht="15.6">
      <c r="B11" s="502"/>
      <c r="C11" s="286">
        <v>2.1</v>
      </c>
      <c r="D11" s="214"/>
      <c r="E11" s="214"/>
      <c r="F11" s="214"/>
      <c r="G11" s="214"/>
      <c r="H11" s="214"/>
      <c r="I11" s="425" t="s">
        <v>1651</v>
      </c>
      <c r="J11" s="214"/>
      <c r="K11" s="214"/>
      <c r="L11" s="214"/>
      <c r="M11" s="214"/>
      <c r="N11" s="214"/>
      <c r="O11" s="214"/>
      <c r="P11" s="214"/>
      <c r="Q11" s="214"/>
      <c r="R11" s="214"/>
      <c r="S11" s="214"/>
      <c r="T11" s="214"/>
      <c r="U11" s="214"/>
      <c r="V11" s="214"/>
      <c r="W11" s="197"/>
      <c r="Z11" s="196" t="s">
        <v>1098</v>
      </c>
    </row>
    <row r="12" spans="2:28" ht="15.6">
      <c r="B12" s="502"/>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row>
    <row r="13" spans="2:28" ht="15.6">
      <c r="B13" s="502"/>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row>
    <row r="14" spans="2:28" ht="15.45" customHeight="1">
      <c r="B14" s="502"/>
      <c r="C14" s="286">
        <v>2.4</v>
      </c>
      <c r="D14" s="214"/>
      <c r="E14" s="214"/>
      <c r="F14" s="214"/>
      <c r="G14" s="214"/>
      <c r="H14" s="214"/>
      <c r="I14" s="214"/>
      <c r="J14" s="214"/>
      <c r="K14" s="214"/>
      <c r="L14" s="214"/>
      <c r="M14" s="214"/>
      <c r="N14" s="214"/>
      <c r="O14" s="214"/>
      <c r="P14" s="214"/>
      <c r="Q14" s="214"/>
      <c r="R14" s="214"/>
      <c r="S14" s="214"/>
      <c r="T14" s="214"/>
      <c r="U14" s="214"/>
      <c r="V14" s="214"/>
      <c r="W14" s="197" t="s">
        <v>1092</v>
      </c>
    </row>
    <row r="15" spans="2:28" ht="15.6">
      <c r="B15" s="502"/>
      <c r="C15" s="286">
        <v>2.5</v>
      </c>
      <c r="D15" s="214"/>
      <c r="E15" s="214"/>
      <c r="F15" s="214"/>
      <c r="G15" s="214"/>
      <c r="H15" s="214"/>
      <c r="I15" s="214"/>
      <c r="J15" s="214"/>
      <c r="K15" s="214"/>
      <c r="L15" s="214"/>
      <c r="M15" s="214"/>
      <c r="N15" s="214"/>
      <c r="O15" s="214"/>
      <c r="P15" s="214"/>
      <c r="Q15" s="214"/>
      <c r="R15" s="214"/>
      <c r="S15" s="214"/>
      <c r="T15" s="214"/>
      <c r="U15" s="214"/>
      <c r="V15" s="214"/>
      <c r="W15" s="197" t="s">
        <v>1093</v>
      </c>
    </row>
    <row r="16" spans="2:28" ht="15.6">
      <c r="B16" s="502"/>
      <c r="C16" s="286">
        <v>2.6</v>
      </c>
      <c r="D16" s="214"/>
      <c r="E16" s="214"/>
      <c r="F16" s="214"/>
      <c r="G16" s="214"/>
      <c r="H16" s="214"/>
      <c r="I16" s="214"/>
      <c r="J16" s="214"/>
      <c r="K16" s="214"/>
      <c r="L16" s="214"/>
      <c r="M16" s="214"/>
      <c r="N16" s="214"/>
      <c r="O16" s="214"/>
      <c r="P16" s="214"/>
      <c r="Q16" s="214"/>
      <c r="R16" s="214"/>
      <c r="S16" s="214"/>
      <c r="T16" s="214"/>
      <c r="U16" s="214"/>
      <c r="V16" s="214"/>
      <c r="W16" s="197"/>
    </row>
    <row r="17" spans="2:23" ht="15.6">
      <c r="B17" s="502"/>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6">
      <c r="B18" s="503"/>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2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01"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02"/>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02"/>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6">
      <c r="B23" s="502"/>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6">
      <c r="B24" s="502"/>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02"/>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02"/>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03"/>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01"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02"/>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02"/>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6">
      <c r="B32" s="502"/>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02"/>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03"/>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497"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497"/>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497"/>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497"/>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8.6">
      <c r="B49" s="500" t="s">
        <v>1080</v>
      </c>
      <c r="C49" s="500" t="s">
        <v>1081</v>
      </c>
      <c r="D49" s="498" t="s">
        <v>1082</v>
      </c>
      <c r="E49" s="498"/>
      <c r="F49" s="499" t="s">
        <v>1083</v>
      </c>
      <c r="G49" s="499"/>
      <c r="H49" s="498" t="s">
        <v>1084</v>
      </c>
      <c r="I49" s="498"/>
      <c r="J49" s="498"/>
      <c r="K49" s="498"/>
      <c r="L49" s="499" t="s">
        <v>1085</v>
      </c>
      <c r="M49" s="499"/>
      <c r="N49" s="499"/>
      <c r="O49" s="210" t="s">
        <v>1086</v>
      </c>
      <c r="P49" s="211" t="s">
        <v>1087</v>
      </c>
      <c r="Q49" s="498" t="s">
        <v>1088</v>
      </c>
      <c r="R49" s="498"/>
      <c r="S49" s="498"/>
      <c r="T49" s="499" t="s">
        <v>1089</v>
      </c>
      <c r="U49" s="499"/>
      <c r="V49" s="499"/>
    </row>
    <row r="50" spans="2:28" ht="93.6">
      <c r="B50" s="500"/>
      <c r="C50" s="500"/>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501"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6">
      <c r="B53" s="502"/>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6">
      <c r="B54" s="502"/>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6">
      <c r="B55" s="503"/>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6">
      <c r="B57" s="497"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497"/>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6">
      <c r="B59" s="497"/>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6">
      <c r="B60" s="497"/>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6">
      <c r="B61" s="497"/>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6">
      <c r="B62" s="497"/>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6">
      <c r="B63" s="497"/>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6">
      <c r="B64" s="497"/>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6">
      <c r="B65" s="497"/>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497"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497"/>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6">
      <c r="B69" s="497"/>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6">
      <c r="B70" s="497"/>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6">
      <c r="B71" s="497"/>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6">
      <c r="B72" s="497"/>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6">
      <c r="B73" s="497"/>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6">
      <c r="B74" s="497"/>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497"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497"/>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6">
      <c r="B78" s="497"/>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6">
      <c r="B79" s="497"/>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6">
      <c r="B80" s="497"/>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6">
      <c r="B81" s="497"/>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497"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497"/>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6">
      <c r="B85" s="497"/>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6">
      <c r="B86" s="497"/>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0">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0">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29">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6">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D67:V74 D76:V81 D83:V86 W52:W89 D52:V65">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2">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7">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7">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6">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3">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0:V22 D24:V27 D23:H23 J23:V23">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29:V34">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6:V39">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8">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0:V18">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3">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33203125" style="235" customWidth="1"/>
    <col min="7" max="9" width="18.3320312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13" t="str">
        <f>StartupInfo!B3</f>
        <v>Software for Mars (Pty) Ltd</v>
      </c>
      <c r="C2" s="513"/>
      <c r="D2" s="513"/>
      <c r="E2" s="513"/>
      <c r="F2" s="513"/>
      <c r="G2" s="513"/>
      <c r="H2" s="513"/>
      <c r="I2" s="513"/>
      <c r="J2" s="420"/>
      <c r="K2" s="420"/>
    </row>
    <row r="3" spans="1:11" ht="19.5" customHeight="1">
      <c r="B3" s="513" t="str">
        <f>StartupInfo!B4</f>
        <v>Mars</v>
      </c>
      <c r="C3" s="513"/>
      <c r="D3" s="513"/>
      <c r="E3" s="513"/>
      <c r="F3" s="513"/>
      <c r="G3" s="513"/>
      <c r="H3" s="513"/>
      <c r="I3" s="513"/>
      <c r="J3" s="421"/>
      <c r="K3" s="236"/>
    </row>
    <row r="4" spans="1:11" ht="24" customHeight="1">
      <c r="A4" s="237"/>
      <c r="B4" s="514" t="str">
        <f>IF(StartupInfo!B20="","",StartupInfo!B20)</f>
        <v>R&amp;D Department</v>
      </c>
      <c r="C4" s="514"/>
      <c r="D4" s="514"/>
      <c r="E4" s="514"/>
      <c r="F4" s="514"/>
      <c r="G4" s="514"/>
      <c r="H4" s="514"/>
      <c r="I4" s="514"/>
    </row>
    <row r="5" spans="1:11">
      <c r="A5" s="237"/>
      <c r="B5" s="515" t="str">
        <f>IF(StartupInfo!B21="","",StartupInfo!B21)</f>
        <v/>
      </c>
      <c r="C5" s="515"/>
      <c r="D5" s="515"/>
      <c r="E5" s="515"/>
      <c r="F5" s="515"/>
      <c r="G5" s="515"/>
      <c r="H5" s="515"/>
      <c r="I5" s="515"/>
      <c r="J5" s="237"/>
      <c r="K5" s="237"/>
    </row>
    <row r="6" spans="1:11">
      <c r="A6" s="236"/>
      <c r="B6" s="421"/>
      <c r="C6" s="421"/>
      <c r="D6" s="421"/>
      <c r="E6" s="421"/>
      <c r="F6" s="421"/>
      <c r="G6" s="421"/>
      <c r="H6" s="421"/>
      <c r="I6" s="421"/>
      <c r="J6" s="421"/>
      <c r="K6" s="236"/>
    </row>
    <row r="7" spans="1:11" s="424" customFormat="1">
      <c r="A7" s="422"/>
      <c r="B7" s="516" t="str">
        <f>CONCATENATE("was rated on ",TEXT(Planning!B33,"dd mmmm yyyy")," at ",Planning!B10)</f>
        <v>was rated on 16 April 2021 at Maturity Level 5</v>
      </c>
      <c r="C7" s="516"/>
      <c r="D7" s="516"/>
      <c r="E7" s="516"/>
      <c r="F7" s="516"/>
      <c r="G7" s="516"/>
      <c r="H7" s="516"/>
      <c r="I7" s="516"/>
      <c r="J7" s="423"/>
      <c r="K7" s="422"/>
    </row>
    <row r="8" spans="1:11">
      <c r="A8" s="237"/>
      <c r="B8" s="237"/>
      <c r="C8" s="237"/>
      <c r="E8" s="517"/>
      <c r="F8" s="517"/>
      <c r="G8" s="517"/>
      <c r="H8" s="237"/>
      <c r="I8" s="237"/>
      <c r="J8" s="237"/>
      <c r="K8" s="237"/>
    </row>
    <row r="9" spans="1:11">
      <c r="A9" s="237"/>
      <c r="B9" s="237"/>
      <c r="C9" s="237"/>
      <c r="D9" s="237"/>
      <c r="E9" s="517"/>
      <c r="F9" s="517"/>
      <c r="G9" s="517"/>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18" t="str">
        <f>_xlfn.CONCAT("CAS ID",'Agreement 3'!B5)</f>
        <v>CAS ID53517</v>
      </c>
      <c r="G11" s="518"/>
      <c r="H11" s="518"/>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12" t="str">
        <f>'Agreement 3'!B7</f>
        <v>van Zyl, Pieter</v>
      </c>
      <c r="H13" s="512"/>
      <c r="I13" s="512"/>
      <c r="J13" s="237"/>
      <c r="K13" s="237"/>
    </row>
    <row r="14" spans="1:11">
      <c r="A14" s="237"/>
      <c r="B14" s="237"/>
      <c r="C14" s="237"/>
      <c r="D14" s="237"/>
      <c r="E14" s="237"/>
      <c r="F14" s="237"/>
      <c r="G14" s="512" t="str">
        <f>'Agreement 3'!B9</f>
        <v>CMMI V2.0 High Maturity Lead Appraiser</v>
      </c>
      <c r="H14" s="512"/>
      <c r="I14" s="512"/>
      <c r="J14" s="237"/>
      <c r="K14" s="237"/>
    </row>
    <row r="15" spans="1:11">
      <c r="A15" s="237"/>
      <c r="B15" s="237"/>
      <c r="C15" s="237"/>
      <c r="D15" s="237"/>
      <c r="E15" s="237"/>
      <c r="F15" s="237"/>
      <c r="G15" s="512" t="str">
        <f>'Agreement 3'!B11</f>
        <v>0500535-01</v>
      </c>
      <c r="H15" s="512"/>
      <c r="I15" s="512"/>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B13" workbookViewId="0">
      <selection activeCell="B19" sqref="B19"/>
    </sheetView>
  </sheetViews>
  <sheetFormatPr defaultColWidth="8.6640625" defaultRowHeight="14.4"/>
  <cols>
    <col min="1" max="1" width="40.6640625" style="129" customWidth="1"/>
    <col min="2" max="2" width="75.6640625" style="130" customWidth="1"/>
    <col min="3" max="3" width="40.6640625" style="160" customWidth="1"/>
    <col min="4" max="4" width="15.6640625" style="129"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9"/>
  </cols>
  <sheetData>
    <row r="1" spans="1:5" s="8" customFormat="1" ht="1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5" t="str">
        <f>CONCATENATE("Organisation: ",'Agreement 3'!B17)</f>
        <v>Organisation: Mars</v>
      </c>
      <c r="C11" s="160"/>
      <c r="E11" s="161"/>
    </row>
    <row r="12" spans="1:5" s="8" customFormat="1">
      <c r="A12" s="159"/>
      <c r="B12" s="163" t="str">
        <f>CONCATENATE("Organisational Unit: ",StartupInfo!B20)</f>
        <v>Organisational Unit: R&amp;D Department</v>
      </c>
      <c r="C12" s="160"/>
      <c r="E12" s="161"/>
    </row>
    <row r="13" spans="1:5" s="8" customFormat="1" ht="15.6">
      <c r="A13" s="159"/>
      <c r="B13" s="166" t="str">
        <f>CONCATENATE("Sponsor: ",'Agreement 3'!B28)</f>
        <v>Sponsor: Prof Kessler, Donald</v>
      </c>
      <c r="C13" s="160"/>
      <c r="E13" s="161"/>
    </row>
    <row r="14" spans="1:5" s="8" customFormat="1" ht="15.6">
      <c r="A14" s="159"/>
      <c r="B14" s="167"/>
      <c r="C14" s="160"/>
      <c r="E14" s="161"/>
    </row>
    <row r="15" spans="1:5" s="8" customFormat="1" ht="15.6">
      <c r="A15" s="159"/>
      <c r="B15" s="167"/>
      <c r="C15" s="160"/>
      <c r="E15" s="161"/>
    </row>
    <row r="16" spans="1:5" s="8" customFormat="1" ht="21">
      <c r="A16" s="159"/>
      <c r="B16" s="169" t="str">
        <f>'Agreement 3'!B45</f>
        <v>Demix (Pty) Ltd</v>
      </c>
      <c r="C16" s="160"/>
      <c r="E16" s="161"/>
    </row>
    <row r="17" spans="1:9" s="8" customFormat="1" ht="15.6">
      <c r="A17" s="159"/>
      <c r="B17" s="166" t="str">
        <f>CONCATENATE("Lead Appraiser: ",'Agreement 3'!B7," ",'Agreement 3'!B11)</f>
        <v>Lead Appraiser: van Zyl, Pieter 0500535-01</v>
      </c>
      <c r="C17" s="160"/>
      <c r="E17" s="161"/>
    </row>
    <row r="18" spans="1:9" s="8" customFormat="1" ht="15.6">
      <c r="A18" s="159"/>
      <c r="B18" s="185" t="str">
        <f>'Agreement 3'!B9</f>
        <v>CMMI V2.0 High Maturity Lead Appraiser</v>
      </c>
      <c r="C18" s="160"/>
      <c r="E18" s="161"/>
    </row>
    <row r="19" spans="1:9" s="8" customFormat="1" ht="18">
      <c r="A19" s="159"/>
      <c r="B19" s="168"/>
      <c r="C19" s="160"/>
      <c r="E19" s="161"/>
    </row>
    <row r="20" spans="1:9" s="8" customFormat="1" ht="21">
      <c r="A20" s="159" t="s">
        <v>754</v>
      </c>
      <c r="B20" s="169">
        <f>Planning!B30</f>
        <v>44298</v>
      </c>
      <c r="C20" s="160"/>
      <c r="E20" s="161"/>
    </row>
    <row r="21" spans="1:9" s="8" customFormat="1" ht="21">
      <c r="A21" s="159" t="s">
        <v>755</v>
      </c>
      <c r="B21" s="169">
        <f>Planning!B32</f>
        <v>44302</v>
      </c>
      <c r="C21" s="160"/>
      <c r="E21" s="161"/>
      <c r="G21" s="170" t="s">
        <v>1034</v>
      </c>
    </row>
    <row r="22" spans="1:9" s="8" customFormat="1" ht="21">
      <c r="A22" s="159" t="s">
        <v>756</v>
      </c>
      <c r="B22" s="169">
        <f>Planning!B33</f>
        <v>44302</v>
      </c>
      <c r="C22" s="160"/>
      <c r="E22" s="161"/>
      <c r="G22" s="170"/>
    </row>
    <row r="23" spans="1:9" s="8" customFormat="1" ht="54">
      <c r="B23" s="169"/>
      <c r="C23" s="160"/>
      <c r="E23" s="161"/>
      <c r="G23" s="240" t="str">
        <f>_xlfn.CONCAT("Expiry benchmark", CHAR(13),CHAR(10),"appraisal",CHAR(13),CHAR(10),G24)</f>
        <v>Expiry benchmark_x000D_
appraisal_x000D_
16 Apr 2024</v>
      </c>
      <c r="H23" s="220"/>
      <c r="I23" s="219"/>
    </row>
    <row r="24" spans="1:9" s="8" customFormat="1" ht="23.4">
      <c r="A24" s="159" t="s">
        <v>874</v>
      </c>
      <c r="B24" s="277">
        <f>Planning!B26</f>
        <v>44294</v>
      </c>
      <c r="C24" s="160"/>
      <c r="E24" s="161"/>
      <c r="G24" s="241" t="str">
        <f>TEXT(DATE(YEAR(B22)+3,MONTH(B22),DAY(B22)),"dd mmm yyyy")</f>
        <v>16 Apr 2024</v>
      </c>
      <c r="H24" s="221"/>
      <c r="I24" s="219"/>
    </row>
    <row r="25" spans="1:9" s="8" customFormat="1" ht="23.4">
      <c r="A25" s="159"/>
      <c r="B25" s="277"/>
      <c r="C25" s="160"/>
      <c r="E25" s="161"/>
      <c r="G25" s="241"/>
      <c r="H25" s="221"/>
      <c r="I25" s="219"/>
    </row>
    <row r="26" spans="1:9" s="8" customFormat="1" ht="15.6">
      <c r="A26" s="171" t="s">
        <v>1035</v>
      </c>
      <c r="B26" s="280" t="s">
        <v>1036</v>
      </c>
      <c r="C26" s="278" t="s">
        <v>1037</v>
      </c>
      <c r="D26" s="172" t="s">
        <v>847</v>
      </c>
      <c r="E26" s="161"/>
      <c r="G26" s="173"/>
    </row>
    <row r="27" spans="1:9" s="8" customFormat="1" ht="15.6">
      <c r="A27" s="159"/>
      <c r="B27" s="279" t="s">
        <v>1679</v>
      </c>
      <c r="C27" s="174" t="s">
        <v>1038</v>
      </c>
      <c r="D27" s="175">
        <f>'P1PA-SS'!B70</f>
        <v>44315</v>
      </c>
      <c r="E27" s="161"/>
      <c r="G27" s="176" t="str">
        <f>G24</f>
        <v>16 Apr 2024</v>
      </c>
      <c r="H27" s="170" t="s">
        <v>1039</v>
      </c>
    </row>
    <row r="28" spans="1:9" s="8" customFormat="1" ht="15.6">
      <c r="A28" s="159"/>
      <c r="B28" s="174" t="s">
        <v>1040</v>
      </c>
      <c r="C28" s="174" t="s">
        <v>1041</v>
      </c>
      <c r="D28" s="175">
        <f>D27+14</f>
        <v>44329</v>
      </c>
      <c r="E28" s="161"/>
      <c r="G28" s="176"/>
    </row>
    <row r="29" spans="1:9" s="8" customFormat="1" ht="15.6">
      <c r="A29" s="159"/>
      <c r="B29" s="174" t="str">
        <f>CONCATENATE("Review with ",G31," on progress against the plan.")</f>
        <v>Review with EPG on progress against the plan.</v>
      </c>
      <c r="C29" s="174" t="str">
        <f>CONCATENATE("Sponsor and ",G31)</f>
        <v>Sponsor and EPG</v>
      </c>
      <c r="D29" s="175">
        <f>D28+14</f>
        <v>44343</v>
      </c>
      <c r="E29" s="161"/>
    </row>
    <row r="30" spans="1:9" s="8" customFormat="1" ht="15.6">
      <c r="A30" s="159"/>
      <c r="B30" s="177"/>
      <c r="C30" s="177"/>
      <c r="D30" s="177"/>
      <c r="E30" s="161"/>
    </row>
    <row r="31" spans="1:9" s="8" customFormat="1" ht="31.5" customHeight="1">
      <c r="A31" s="159"/>
      <c r="B31" s="519" t="s">
        <v>1678</v>
      </c>
      <c r="C31" s="519"/>
      <c r="D31" s="519"/>
      <c r="E31" s="161"/>
      <c r="G31" s="179" t="s">
        <v>1410</v>
      </c>
    </row>
    <row r="32" spans="1:9" s="8" customFormat="1" ht="18">
      <c r="A32" s="159"/>
      <c r="B32" s="168"/>
      <c r="C32" s="160"/>
      <c r="E32" s="161"/>
      <c r="G32" s="8" t="str">
        <f>Schedule2!C15</f>
        <v>PAD</v>
      </c>
    </row>
    <row r="33" spans="1:8" s="8" customFormat="1" ht="15.6">
      <c r="A33" s="159"/>
      <c r="B33" s="178" t="str">
        <f>B13</f>
        <v>Sponsor: Prof Kessler, Donald</v>
      </c>
      <c r="C33" s="431" t="str">
        <f>_xlfn.CONCAT(G31,": ",G33)</f>
        <v>EPG: Surname, Process manager2</v>
      </c>
      <c r="E33" s="161"/>
      <c r="G33" s="8" t="str">
        <f>VLOOKUP(G32,Schedule2!C2:D18,2,FALSE)</f>
        <v>Surname, Process manager2</v>
      </c>
      <c r="H33" s="170" t="s">
        <v>1680</v>
      </c>
    </row>
    <row r="34" spans="1:8" s="8" customFormat="1" ht="18">
      <c r="A34" s="159"/>
      <c r="B34" s="168"/>
      <c r="C34" s="160"/>
      <c r="E34" s="161"/>
      <c r="G34" s="430"/>
    </row>
    <row r="35" spans="1:8" s="8" customFormat="1" ht="18">
      <c r="A35" s="159"/>
      <c r="B35" s="168"/>
      <c r="C35" s="160"/>
      <c r="E35" s="161"/>
    </row>
    <row r="36" spans="1:8" s="8" customFormat="1" ht="18">
      <c r="A36" s="159"/>
      <c r="B36" s="168"/>
      <c r="C36" s="160"/>
      <c r="E36" s="161"/>
    </row>
    <row r="37" spans="1:8" s="8" customFormat="1" ht="18">
      <c r="A37" s="159"/>
      <c r="B37" s="168"/>
      <c r="C37" s="160"/>
      <c r="E37" s="161"/>
    </row>
    <row r="38" spans="1:8" s="8" customFormat="1" ht="18.600000000000001" thickBot="1">
      <c r="A38" s="180"/>
      <c r="B38" s="181"/>
      <c r="C38" s="182"/>
      <c r="D38" s="183"/>
      <c r="E38" s="184"/>
    </row>
    <row r="39" spans="1:8" s="8" customFormat="1" ht="18">
      <c r="B39" s="168"/>
      <c r="C39" s="160"/>
    </row>
    <row r="40" spans="1:8" s="8" customFormat="1" ht="18">
      <c r="B40" s="168"/>
      <c r="C40" s="160"/>
    </row>
    <row r="41" spans="1:8" s="8" customFormat="1" ht="18">
      <c r="B41" s="168"/>
      <c r="C41" s="160"/>
    </row>
    <row r="42" spans="1:8" s="8" customFormat="1" ht="18">
      <c r="B42" s="168"/>
      <c r="C42" s="160"/>
    </row>
    <row r="43" spans="1:8" s="8" customFormat="1" ht="18">
      <c r="B43" s="168"/>
      <c r="C43" s="160"/>
    </row>
    <row r="44" spans="1:8" s="8" customFormat="1" ht="18">
      <c r="B44" s="168"/>
      <c r="C44" s="160"/>
    </row>
    <row r="45" spans="1:8" s="8" customFormat="1" ht="18">
      <c r="B45" s="168"/>
      <c r="C45" s="160"/>
    </row>
    <row r="46" spans="1:8" s="8" customFormat="1" ht="18">
      <c r="B46" s="168"/>
      <c r="C46" s="160"/>
    </row>
    <row r="47" spans="1:8" s="8" customFormat="1" ht="18">
      <c r="B47" s="168"/>
      <c r="C47" s="160"/>
    </row>
    <row r="48" spans="1:8"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row r="68" spans="2:3" s="8" customFormat="1" ht="18">
      <c r="B68" s="168"/>
      <c r="C68" s="160"/>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abSelected="1" workbookViewId="0">
      <selection activeCell="D14" sqref="D14"/>
    </sheetView>
  </sheetViews>
  <sheetFormatPr defaultColWidth="8.6640625" defaultRowHeight="13.8"/>
  <cols>
    <col min="1" max="1" width="36.6640625" style="389" customWidth="1"/>
    <col min="2" max="2" width="83.44140625" style="389" customWidth="1"/>
    <col min="3" max="3" width="6.6640625" style="389" customWidth="1"/>
    <col min="4" max="4" width="48.44140625" style="389" customWidth="1"/>
    <col min="5" max="20" width="6.6640625" style="389" customWidth="1"/>
    <col min="21" max="21" width="5.6640625" style="389" customWidth="1"/>
    <col min="22" max="16384" width="8.664062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7"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5" customHeight="1">
      <c r="A34" s="394" t="s">
        <v>794</v>
      </c>
      <c r="B34" s="390" t="s">
        <v>1489</v>
      </c>
    </row>
    <row r="35" spans="1:2" ht="31.95" customHeight="1">
      <c r="A35" s="394" t="s">
        <v>1490</v>
      </c>
      <c r="B35" s="391" t="s">
        <v>1376</v>
      </c>
    </row>
    <row r="36" spans="1:2" ht="31.95" customHeight="1">
      <c r="A36" s="394" t="s">
        <v>795</v>
      </c>
      <c r="B36" s="391" t="s">
        <v>1373</v>
      </c>
    </row>
    <row r="37" spans="1:2" ht="31.95" customHeight="1">
      <c r="A37" s="394" t="s">
        <v>1491</v>
      </c>
      <c r="B37" s="391" t="s">
        <v>1374</v>
      </c>
    </row>
    <row r="38" spans="1:2" ht="31.95" customHeight="1">
      <c r="A38" s="394" t="s">
        <v>672</v>
      </c>
      <c r="B38" s="391" t="s">
        <v>1492</v>
      </c>
    </row>
    <row r="39" spans="1:2">
      <c r="A39" s="385" t="s">
        <v>1493</v>
      </c>
      <c r="B39" s="385" t="s">
        <v>382</v>
      </c>
    </row>
    <row r="40" spans="1:2" ht="34.950000000000003" customHeight="1">
      <c r="A40" s="394" t="s">
        <v>1494</v>
      </c>
      <c r="B40" s="391" t="s">
        <v>1495</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7" customWidth="1"/>
    <col min="2" max="19" width="6.6640625" style="383" customWidth="1"/>
    <col min="20" max="20" width="5.6640625" style="383" customWidth="1"/>
    <col min="21" max="16384" width="8.664062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8" customWidth="1"/>
    <col min="2" max="2" width="52.33203125" style="358" customWidth="1"/>
    <col min="3" max="3" width="10.6640625" style="358" customWidth="1"/>
    <col min="4" max="4" width="49.44140625" style="358" hidden="1" customWidth="1"/>
    <col min="5" max="10" width="8.6640625" style="358"/>
    <col min="11" max="11" width="2.44140625" style="358" customWidth="1"/>
    <col min="12" max="16384" width="8.6640625" style="358"/>
  </cols>
  <sheetData>
    <row r="2" spans="1:16" ht="13.2" customHeight="1">
      <c r="A2" s="522" t="str">
        <f>'P1PA-SS'!B76</f>
        <v>CMMI Development V2.0 (CMMI-DEV) without SAM</v>
      </c>
      <c r="B2" s="523"/>
      <c r="C2" s="523"/>
      <c r="D2" s="522"/>
      <c r="E2" s="523"/>
      <c r="F2" s="523"/>
      <c r="G2" s="523"/>
      <c r="H2" s="523"/>
      <c r="I2" s="523"/>
      <c r="L2" s="360" t="s">
        <v>1293</v>
      </c>
      <c r="M2" s="360">
        <f>VALUE(RIGHT(Planning!B10,1))</f>
        <v>5</v>
      </c>
      <c r="N2" s="348" t="s">
        <v>1294</v>
      </c>
    </row>
    <row r="3" spans="1:16" s="347" customFormat="1">
      <c r="A3" s="524" t="str">
        <f>'P1PA-SS'!B75</f>
        <v>Maturity Level 5</v>
      </c>
      <c r="B3" s="525"/>
      <c r="C3" s="525"/>
      <c r="D3" s="524"/>
      <c r="E3" s="525"/>
      <c r="F3" s="525"/>
      <c r="G3" s="525"/>
      <c r="H3" s="525"/>
      <c r="I3" s="525"/>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7" customHeight="1">
      <c r="A5" s="526"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7" customHeight="1">
      <c r="A6" s="526"/>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7" customHeight="1">
      <c r="A7" s="526"/>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7" customHeight="1">
      <c r="A8" s="526"/>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7" customHeight="1">
      <c r="A9" s="527"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7" customHeight="1">
      <c r="A10" s="527"/>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7"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7" customHeight="1">
      <c r="A12" s="528"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7" customHeight="1">
      <c r="A13" s="528"/>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7" customHeight="1">
      <c r="A14" s="528"/>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7"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7"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7" customHeight="1">
      <c r="A17" s="529"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7" customHeight="1">
      <c r="A18" s="529"/>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7" customHeight="1">
      <c r="A19" s="529"/>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7" customHeight="1">
      <c r="A20" s="520"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7" customHeight="1">
      <c r="A21" s="520"/>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7" customHeight="1">
      <c r="A22" s="521"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7" customHeight="1">
      <c r="A23" s="521"/>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7" customHeight="1">
      <c r="A24" s="521"/>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2" customWidth="1"/>
    <col min="2" max="3" width="18.33203125" style="152" customWidth="1"/>
    <col min="4" max="20" width="6.6640625" style="150" customWidth="1"/>
    <col min="21" max="21" width="6.6640625" style="150" hidden="1" customWidth="1"/>
    <col min="22" max="22" width="5.6640625" style="150" customWidth="1"/>
    <col min="23" max="16384" width="8.6640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3" t="s">
        <v>1115</v>
      </c>
      <c r="B1" s="203" t="s">
        <v>1117</v>
      </c>
      <c r="C1" s="226" t="s">
        <v>1116</v>
      </c>
      <c r="D1" s="203" t="s">
        <v>382</v>
      </c>
      <c r="E1" s="203" t="s">
        <v>1120</v>
      </c>
    </row>
    <row r="2" spans="1:5" ht="63" customHeight="1">
      <c r="A2" s="533" t="str">
        <f>_xlfn.CONCAT('P1PA-SS'!B139,"(",'P1PA-SS'!B140,")")</f>
        <v>All projects(AP)</v>
      </c>
      <c r="B2" s="228" t="str">
        <f>'Project&amp;Support'!B3</f>
        <v>P1-Falcon9</v>
      </c>
      <c r="C2" s="229">
        <f>'Project&amp;Support'!AB3</f>
        <v>10</v>
      </c>
      <c r="D2" s="228" t="str">
        <f>'Project&amp;Support'!C3</f>
        <v>Falcon project description</v>
      </c>
      <c r="E2" s="533" t="str">
        <f>_xlfn.CONCAT(StartupInfo!B5,", ",StartupInfo!B6,", ",StartupInfo!B7,CHAR(13),CHAR(10),StartupInfo!B8,", ",StartupInfo!B9)</f>
        <v>Room 1, Dome 1, No. 1 First Street, Base Alpha City_x000D_
Tharsis, Planet04</v>
      </c>
    </row>
    <row r="3" spans="1:5" ht="63" customHeight="1">
      <c r="A3" s="533"/>
      <c r="B3" s="228" t="str">
        <f>'Project&amp;Support'!B4</f>
        <v>P2-Raptor</v>
      </c>
      <c r="C3" s="229">
        <f>'Project&amp;Support'!AB4</f>
        <v>11</v>
      </c>
      <c r="D3" s="228" t="str">
        <f>'Project&amp;Support'!C4</f>
        <v>Raptor project description</v>
      </c>
      <c r="E3" s="533"/>
    </row>
    <row r="4" spans="1:5" ht="63" customHeight="1">
      <c r="A4" s="533"/>
      <c r="B4" s="228" t="str">
        <f>'Project&amp;Support'!B5</f>
        <v>P3-Starship</v>
      </c>
      <c r="C4" s="229">
        <f>'Project&amp;Support'!AB5</f>
        <v>9</v>
      </c>
      <c r="D4" s="228" t="str">
        <f>'Project&amp;Support'!C5</f>
        <v>Startship project description</v>
      </c>
      <c r="E4" s="533"/>
    </row>
    <row r="5" spans="1:5" ht="63" customHeight="1">
      <c r="A5" s="533"/>
      <c r="B5" s="228" t="str">
        <f>'Project&amp;Support'!B6</f>
        <v>P4-SupperHeavy</v>
      </c>
      <c r="C5" s="229">
        <f>'Project&amp;Support'!AB6</f>
        <v>7</v>
      </c>
      <c r="D5" s="228" t="str">
        <f>'Project&amp;Support'!C6</f>
        <v>Super Heavy description</v>
      </c>
      <c r="E5" s="533"/>
    </row>
    <row r="6" spans="1:5" ht="42" hidden="1">
      <c r="A6" s="533"/>
      <c r="B6" s="228" t="s">
        <v>1671</v>
      </c>
      <c r="C6" s="229">
        <f>'Project&amp;Support'!AB7</f>
        <v>1</v>
      </c>
      <c r="D6" s="228" t="str">
        <f>'Project&amp;Support'!C7</f>
        <v>The Configuration Management (CM) function, manages baselines for projects and the organisation.</v>
      </c>
      <c r="E6" s="533"/>
    </row>
    <row r="7" spans="1:5" ht="105" hidden="1">
      <c r="A7" s="533"/>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3"/>
    </row>
    <row r="8" spans="1:5" ht="63" hidden="1">
      <c r="A8" s="533"/>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3"/>
    </row>
    <row r="9" spans="1:5" ht="42" hidden="1">
      <c r="A9" s="533"/>
      <c r="B9" s="228" t="str">
        <f>'Project&amp;Support'!B10</f>
        <v>S4-PPQA</v>
      </c>
      <c r="C9" s="229">
        <f>'Project&amp;Support'!AB10</f>
        <v>1</v>
      </c>
      <c r="D9" s="228" t="str">
        <f>'Project&amp;Support'!C10</f>
        <v xml:space="preserve">The Process and Product Quality Assurance (PPQA) team manage and performs process quality assurance. </v>
      </c>
      <c r="E9" s="533"/>
    </row>
    <row r="10" spans="1:5" ht="21" hidden="1">
      <c r="A10" s="533"/>
      <c r="B10" s="228">
        <f>'Project&amp;Support'!B11</f>
        <v>0</v>
      </c>
      <c r="C10" s="229">
        <f>'Project&amp;Support'!AB11</f>
        <v>0</v>
      </c>
      <c r="D10" s="228">
        <f>'Project&amp;Support'!C11</f>
        <v>0</v>
      </c>
      <c r="E10" s="533"/>
    </row>
    <row r="11" spans="1:5" ht="21" hidden="1">
      <c r="A11" s="533"/>
      <c r="B11" s="228">
        <f>'Project&amp;Support'!B12</f>
        <v>0</v>
      </c>
      <c r="C11" s="229">
        <f>'Project&amp;Support'!AB12</f>
        <v>0</v>
      </c>
      <c r="D11" s="228">
        <f>'Project&amp;Support'!C12</f>
        <v>0</v>
      </c>
      <c r="E11" s="533"/>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530" t="s">
        <v>1119</v>
      </c>
      <c r="B16" s="228" t="str">
        <f>'Project&amp;Support'!B7</f>
        <v>S1-CM</v>
      </c>
      <c r="C16" s="230">
        <f>'Project&amp;Support'!AB7</f>
        <v>1</v>
      </c>
      <c r="D16" s="228" t="str">
        <f>'Project&amp;Support'!C7</f>
        <v>The Configuration Management (CM) function, manages baselines for projects and the organisation.</v>
      </c>
      <c r="E16" s="534" t="str">
        <f>StartupInfo!B11</f>
        <v>Room 1, Dome 1, No. 1 First Street, Base Alpha City, Tharsis, Planet04, China</v>
      </c>
    </row>
    <row r="17" spans="1:5" ht="105">
      <c r="A17" s="531"/>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5"/>
    </row>
    <row r="18" spans="1:5" ht="63">
      <c r="A18" s="531"/>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5"/>
    </row>
    <row r="19" spans="1:5" ht="42">
      <c r="A19" s="531"/>
      <c r="B19" s="228" t="str">
        <f>'Project&amp;Support'!B10</f>
        <v>S4-PPQA</v>
      </c>
      <c r="C19" s="230">
        <f>'Project&amp;Support'!AB10</f>
        <v>1</v>
      </c>
      <c r="D19" s="228" t="str">
        <f>'Project&amp;Support'!C10</f>
        <v xml:space="preserve">The Process and Product Quality Assurance (PPQA) team manage and performs process quality assurance. </v>
      </c>
      <c r="E19" s="535"/>
    </row>
    <row r="20" spans="1:5" ht="126" hidden="1" customHeight="1">
      <c r="A20" s="531"/>
      <c r="B20" s="228">
        <f>'Project&amp;Support'!B11</f>
        <v>0</v>
      </c>
      <c r="C20" s="230">
        <f>'Project&amp;Support'!AB11</f>
        <v>0</v>
      </c>
      <c r="D20" s="228">
        <f>'Project&amp;Support'!C11</f>
        <v>0</v>
      </c>
      <c r="E20" s="535"/>
    </row>
    <row r="21" spans="1:5" ht="126" hidden="1" customHeight="1">
      <c r="A21" s="532"/>
      <c r="B21" s="228">
        <f>'Project&amp;Support'!B12</f>
        <v>0</v>
      </c>
      <c r="C21" s="230">
        <f>'Project&amp;Support'!AB12</f>
        <v>0</v>
      </c>
      <c r="D21" s="228">
        <f>'Project&amp;Support'!C12</f>
        <v>0</v>
      </c>
      <c r="E21" s="536"/>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4"/>
    <col min="2" max="2" width="39.6640625" style="384" customWidth="1"/>
    <col min="3" max="3" width="40.33203125" style="384" customWidth="1"/>
    <col min="4" max="4" width="64.33203125" style="384" customWidth="1"/>
    <col min="5" max="5" width="39.6640625" style="384" customWidth="1"/>
    <col min="6" max="16384" width="8.664062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4"/>
    <col min="2" max="2" width="9.44140625" style="384" customWidth="1"/>
    <col min="3" max="3" width="54.5546875" style="218" customWidth="1"/>
    <col min="4" max="4" width="61" style="218" customWidth="1"/>
    <col min="5" max="16384" width="8.6640625" style="384"/>
  </cols>
  <sheetData>
    <row r="1" spans="2:13">
      <c r="E1" s="383"/>
      <c r="F1" s="383"/>
      <c r="G1" s="383"/>
      <c r="H1" s="383"/>
      <c r="I1" s="383"/>
      <c r="J1" s="383"/>
      <c r="K1" s="383"/>
      <c r="L1" s="383"/>
      <c r="M1" s="383"/>
    </row>
    <row r="2" spans="2:13">
      <c r="B2" s="537" t="s">
        <v>1112</v>
      </c>
      <c r="C2" s="538"/>
      <c r="D2" s="538"/>
      <c r="E2" s="383"/>
      <c r="F2" s="383"/>
      <c r="G2" s="383"/>
      <c r="H2" s="383"/>
      <c r="I2" s="383"/>
      <c r="J2" s="383"/>
      <c r="K2" s="383"/>
      <c r="L2" s="383"/>
      <c r="M2" s="383"/>
    </row>
    <row r="3" spans="2:13" ht="31.2">
      <c r="B3" s="409">
        <v>1</v>
      </c>
      <c r="C3" s="404" t="s">
        <v>1202</v>
      </c>
      <c r="D3" s="404" t="s">
        <v>1203</v>
      </c>
    </row>
    <row r="4" spans="2:13" ht="31.2">
      <c r="B4" s="409">
        <v>2</v>
      </c>
      <c r="C4" s="404" t="s">
        <v>1204</v>
      </c>
      <c r="D4" s="404" t="s">
        <v>1205</v>
      </c>
    </row>
    <row r="5" spans="2:13" ht="31.2">
      <c r="B5" s="409">
        <v>3</v>
      </c>
      <c r="C5" s="404" t="s">
        <v>1206</v>
      </c>
      <c r="D5" s="404" t="s">
        <v>1207</v>
      </c>
    </row>
    <row r="6" spans="2:13">
      <c r="B6" s="409">
        <v>4</v>
      </c>
      <c r="C6" s="404" t="s">
        <v>1113</v>
      </c>
      <c r="D6" s="404" t="s">
        <v>1114</v>
      </c>
    </row>
    <row r="7" spans="2:13" ht="31.2">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7" t="s">
        <v>1111</v>
      </c>
      <c r="C18" s="538"/>
      <c r="D18" s="538"/>
    </row>
    <row r="19" spans="2:4" ht="31.2">
      <c r="B19" s="409">
        <v>1</v>
      </c>
      <c r="C19" s="404" t="s">
        <v>1210</v>
      </c>
      <c r="D19" s="404" t="s">
        <v>1211</v>
      </c>
    </row>
    <row r="20" spans="2:4" ht="46.8">
      <c r="B20" s="409">
        <v>2</v>
      </c>
      <c r="C20" s="404" t="s">
        <v>1212</v>
      </c>
      <c r="D20" s="404" t="s">
        <v>1213</v>
      </c>
    </row>
    <row r="21" spans="2:4" ht="46.8">
      <c r="B21" s="409">
        <v>3</v>
      </c>
      <c r="C21" s="404" t="s">
        <v>1214</v>
      </c>
      <c r="D21" s="404" t="s">
        <v>1215</v>
      </c>
    </row>
    <row r="22" spans="2:4" ht="46.8">
      <c r="B22" s="409">
        <v>4</v>
      </c>
      <c r="C22" s="404" t="s">
        <v>1216</v>
      </c>
      <c r="D22" s="404" t="s">
        <v>1217</v>
      </c>
    </row>
    <row r="23" spans="2:4" ht="46.8">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5" customWidth="1"/>
    <col min="2" max="3" width="25.6640625" style="125" customWidth="1"/>
    <col min="4" max="16384" width="8.664062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2021-01-17T11:16:17Z</cp:lastPrinted>
  <dcterms:created xsi:type="dcterms:W3CDTF">2020-09-22T13:41:36Z</dcterms:created>
  <dcterms:modified xsi:type="dcterms:W3CDTF">2022-01-21T07:32:14Z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