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X:\2021-04-12to04-16 (A5) C53517 SoftMARS\"/>
    </mc:Choice>
  </mc:AlternateContent>
  <xr:revisionPtr revIDLastSave="0" documentId="8_{05271D04-9A31-42D3-AAA3-B3C74313EE87}" xr6:coauthVersionLast="47" xr6:coauthVersionMax="47" xr10:uidLastSave="{00000000-0000-0000-0000-000000000000}"/>
  <bookViews>
    <workbookView xWindow="-120" yWindow="-16320" windowWidth="29040" windowHeight="15720" tabRatio="859" firstSheet="39" activeTab="50"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<sst xmlns="http://schemas.openxmlformats.org/spreadsheetml/2006/main" count="4615" uniqueCount="1816">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</sst>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0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1582</v>
      </c>
      <c r="G16" s="125"/>
      <c r="H16" s="125"/>
      <c r="I16" s="125"/>
      <c r="J16" s="125"/>
      <c r="K16" s="125"/>
      <c r="L16" s="125"/>
      <c r="M16" s="125"/>
      <c r="N16" s="125"/>
      <c r="O16" s="125"/>
      <c r="P16" s="8"/>
      <c r="Q16" s="8"/>
      <c r="R16" s="8"/>
      <c r="S16" s="8"/>
    </row>
    <row r="17" spans="1:19" ht="28.8">
      <c r="A17" s="40">
        <v>50</v>
      </c>
      <c r="B17" s="41">
        <v>44314</v>
      </c>
      <c r="C17" s="40" t="s">
        <v>823</v>
      </c>
      <c r="D17" s="52" t="s">
        <v>1581</v>
      </c>
      <c r="G17" s="125"/>
      <c r="H17" s="125"/>
      <c r="I17" s="125"/>
      <c r="J17" s="125"/>
      <c r="K17" s="125"/>
      <c r="L17" s="125"/>
      <c r="M17" s="125"/>
      <c r="N17" s="125"/>
      <c r="O17" s="125"/>
      <c r="P17" s="8"/>
      <c r="Q17" s="8"/>
      <c r="R17" s="8"/>
      <c r="S17" s="8"/>
    </row>
    <row r="18" spans="1:19" ht="28.8">
      <c r="A18" s="40">
        <v>51</v>
      </c>
      <c r="B18" s="41">
        <v>44318</v>
      </c>
      <c r="C18" s="40" t="s">
        <v>823</v>
      </c>
      <c r="D18" s="52" t="s">
        <v>1588</v>
      </c>
      <c r="G18" s="125"/>
      <c r="H18" s="125"/>
      <c r="I18" s="125"/>
      <c r="J18" s="125"/>
      <c r="K18" s="125"/>
      <c r="L18" s="125"/>
      <c r="M18" s="125"/>
      <c r="N18" s="125"/>
      <c r="O18" s="125"/>
      <c r="P18" s="8"/>
      <c r="Q18" s="8"/>
      <c r="R18" s="8"/>
      <c r="S18" s="8"/>
    </row>
    <row r="19" spans="1:19">
      <c r="A19" s="40">
        <v>52</v>
      </c>
      <c r="B19" s="41">
        <v>44324</v>
      </c>
      <c r="C19" s="40" t="s">
        <v>823</v>
      </c>
      <c r="D19" s="52" t="s">
        <v>1589</v>
      </c>
      <c r="G19" s="125"/>
      <c r="H19" s="125"/>
      <c r="I19" s="125"/>
      <c r="J19" s="125"/>
      <c r="K19" s="125"/>
      <c r="L19" s="125"/>
      <c r="M19" s="125"/>
    </row>
    <row r="20" spans="1:19" ht="28.8">
      <c r="A20" s="40">
        <v>53</v>
      </c>
      <c r="B20" s="41">
        <v>44343</v>
      </c>
      <c r="C20" s="40" t="s">
        <v>823</v>
      </c>
      <c r="D20" s="52" t="s">
        <v>1591</v>
      </c>
    </row>
    <row r="21" spans="1:19">
      <c r="A21" s="40">
        <v>53</v>
      </c>
      <c r="B21" s="41">
        <v>44354</v>
      </c>
      <c r="C21" s="40" t="s">
        <v>1595</v>
      </c>
      <c r="D21" s="52" t="s">
        <v>1603</v>
      </c>
    </row>
    <row r="22" spans="1:19">
      <c r="A22" s="40">
        <v>56</v>
      </c>
      <c r="B22" s="41">
        <v>44463</v>
      </c>
      <c r="C22" s="40" t="s">
        <v>823</v>
      </c>
      <c r="D22" s="52" t="s">
        <v>1602</v>
      </c>
    </row>
    <row r="23" spans="1:19">
      <c r="A23" s="40">
        <v>57</v>
      </c>
      <c r="B23" s="41">
        <v>44566</v>
      </c>
      <c r="C23" s="40" t="s">
        <v>1595</v>
      </c>
      <c r="D23" s="52" t="s">
        <v>1604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1662</v>
      </c>
      <c r="B1" s="393"/>
    </row>
    <row r="2" spans="1:3" s="46" customFormat="1" ht="15.6">
      <c r="A2" s="47" t="s">
        <v>1655</v>
      </c>
      <c r="B2" s="47" t="s">
        <v>1663</v>
      </c>
      <c r="C2" s="45"/>
    </row>
    <row r="3" spans="1:3" s="46" customFormat="1" ht="15.6">
      <c r="A3" s="45" t="s">
        <v>1664</v>
      </c>
      <c r="B3" s="394" t="str">
        <f>'Agreement 3'!B43</f>
        <v>barbara.land@email.com</v>
      </c>
      <c r="C3" s="45"/>
    </row>
    <row r="4" spans="1:3" s="46" customFormat="1" ht="15.6">
      <c r="A4" s="45" t="s">
        <v>1665</v>
      </c>
      <c r="B4" s="394" t="str">
        <f>_xlfn.CONCAT('Agreement 3'!B31,"; ",'Agreement 3'!B37)</f>
        <v>donald.kessler@email.com; nathalie.lake@email.com</v>
      </c>
      <c r="C4" s="45"/>
    </row>
    <row r="5" spans="1:3" s="16" customFormat="1">
      <c r="A5" s="16" t="s">
        <v>1656</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1666</v>
      </c>
      <c r="B8" s="161" t="str">
        <f>'Agreement 3'!B28</f>
        <v>Prof Donald Kessler</v>
      </c>
    </row>
    <row r="9" spans="1:3" s="16" customFormat="1">
      <c r="A9" s="16" t="s">
        <v>1667</v>
      </c>
      <c r="B9" s="161" t="str">
        <f>'Agreement 3'!B16</f>
        <v>Software for Mars (Pty) Ltd</v>
      </c>
    </row>
    <row r="10" spans="1:3" s="16" customFormat="1">
      <c r="A10" s="16" t="s">
        <v>1668</v>
      </c>
      <c r="B10" s="161" t="str">
        <f>'Agreement 3'!B29</f>
        <v>The Boss</v>
      </c>
    </row>
    <row r="11" spans="1:3" s="16" customFormat="1">
      <c r="A11" s="16" t="s">
        <v>1669</v>
      </c>
      <c r="B11" s="161" t="str">
        <f>'Agreement 3'!B30</f>
        <v>+000 1111 2222</v>
      </c>
    </row>
    <row r="12" spans="1:3" s="16" customFormat="1">
      <c r="A12" s="16" t="s">
        <v>1670</v>
      </c>
      <c r="B12" s="161" t="str">
        <f>'Agreement 3'!B31</f>
        <v>donald.kessler@email.com</v>
      </c>
    </row>
    <row r="13" spans="1:3" s="16" customFormat="1">
      <c r="B13" s="161"/>
    </row>
    <row r="14" spans="1:3" s="16" customFormat="1">
      <c r="A14" s="16" t="s">
        <v>1671</v>
      </c>
      <c r="B14" s="161" t="str">
        <f>'Agreement 3'!B33</f>
        <v>Miss Nathalie Lake</v>
      </c>
    </row>
    <row r="15" spans="1:3" s="16" customFormat="1">
      <c r="A15" s="16" t="s">
        <v>1672</v>
      </c>
      <c r="B15" s="16">
        <f ca="1">Planning!B42-TODAY()</f>
        <v>-812</v>
      </c>
    </row>
    <row r="16" spans="1:3" s="16" customFormat="1"/>
    <row r="17" spans="1:3" s="46" customFormat="1" ht="15.6">
      <c r="A17" s="47" t="s">
        <v>1673</v>
      </c>
      <c r="B17" s="47" t="s">
        <v>1674</v>
      </c>
      <c r="C17" s="45"/>
    </row>
    <row r="18" spans="1:3" s="16" customFormat="1">
      <c r="A18" s="16" t="s">
        <v>1675</v>
      </c>
      <c r="B18" s="16" t="str">
        <f>_xlfn.CONCAT('P1-Personnel'!B13,"; ",'P1-Personnel'!B14)</f>
        <v>ATM-1; ATM-2</v>
      </c>
    </row>
    <row r="19" spans="1:3" s="16" customFormat="1">
      <c r="A19" s="16" t="s">
        <v>1656</v>
      </c>
      <c r="B19" s="16" t="str">
        <f>_xlfn.CONCAT('Agreement 3'!B16, " (CASID",'Agreement 3'!B5,") | CAS review before submission")</f>
        <v>Software for Mars (Pty) Ltd (CASID53517) | CAS review before submission</v>
      </c>
    </row>
    <row r="20" spans="1:3" s="16" customFormat="1">
      <c r="A20" s="16" t="s">
        <v>1676</v>
      </c>
      <c r="B20" s="16" t="e">
        <f>_xlfn.CONCAT('P1-OrgScope'!#REF!," and ",'P1-OrgScope'!#REF!)</f>
        <v>#REF!</v>
      </c>
    </row>
    <row r="21" spans="1:3" s="16" customFormat="1">
      <c r="A21" s="16" t="s">
        <v>1677</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1678</v>
      </c>
      <c r="B24" s="47" t="s">
        <v>1679</v>
      </c>
      <c r="C24" s="45"/>
    </row>
    <row r="25" spans="1:3" s="16" customFormat="1">
      <c r="A25" s="16" t="s">
        <v>1664</v>
      </c>
      <c r="B25" s="161" t="str">
        <f>'Agreement 3'!B43</f>
        <v>barbara.land@email.com</v>
      </c>
    </row>
    <row r="26" spans="1:3" s="16" customFormat="1">
      <c r="A26" s="16" t="s">
        <v>1680</v>
      </c>
      <c r="B26" s="16" t="e">
        <f>_xlfn.CONCAT('Agreement 3'!B31,"; ",'Agreement 3'!B37,"; ",'P1-OrgScope'!#REF!,"; ",'P1-OrgScope'!#REF!)</f>
        <v>#REF!</v>
      </c>
    </row>
    <row r="27" spans="1:3" s="16" customFormat="1">
      <c r="A27" s="16" t="s">
        <v>1656</v>
      </c>
      <c r="B27" s="16" t="str">
        <f>_xlfn.CONCAT('Agreement 3'!B16," (CASID",'Agreement 3'!B5,") | Random sample and OEdb")</f>
        <v>Software for Mars (Pty) Ltd (CASID53517) | Random sample and OEdb</v>
      </c>
    </row>
    <row r="28" spans="1:3" s="16" customFormat="1">
      <c r="A28" s="16" t="s">
        <v>1681</v>
      </c>
      <c r="B28" s="161" t="str">
        <f>'Agreement 3'!B39</f>
        <v>Miss Barbara Land</v>
      </c>
    </row>
    <row r="29" spans="1:3" s="16" customFormat="1">
      <c r="A29" s="16" t="s">
        <v>1682</v>
      </c>
      <c r="B29" s="161" t="str">
        <f>'Agreement 3'!B33</f>
        <v>Miss Nathalie Lake</v>
      </c>
    </row>
    <row r="30" spans="1:3" s="16" customFormat="1"/>
    <row r="31" spans="1:3" s="16" customFormat="1">
      <c r="A31" s="16" t="s">
        <v>1683</v>
      </c>
      <c r="B31" s="16" t="e">
        <f>'P1-OrgScope'!#REF!</f>
        <v>#REF!</v>
      </c>
    </row>
    <row r="32" spans="1:3" s="16" customFormat="1"/>
    <row r="33" spans="1:3" s="46" customFormat="1" ht="15.6">
      <c r="A33" s="47" t="s">
        <v>1659</v>
      </c>
      <c r="B33" s="47" t="s">
        <v>1684</v>
      </c>
      <c r="C33" s="45"/>
    </row>
    <row r="34" spans="1:3" s="16" customFormat="1">
      <c r="A34" s="16" t="s">
        <v>1685</v>
      </c>
      <c r="B34" s="161" t="e">
        <f>_xlfn.CONCAT('P1-OrgScope'!#REF!,"; ",'P1-OrgScope'!#REF!,"; ",'P1-OrgScope'!#REF!,"; ",'P1-OrgScope'!#REF!,"; ",'P1-OrgScope'!#REF!,"; ",'P1-OrgScope'!#REF!,"; ",'P1-OrgScope'!#REF!,"; ",'P1-OrgScope'!#REF!,"; ",'P1-OrgScope'!#REF!,"; ",'P1-OrgScope'!#REF!,"; ",'P1-OrgScope'!#REF!,"; ",'P1-OrgScope'!#REF!)</f>
        <v>#REF!</v>
      </c>
    </row>
    <row r="35" spans="1:3" s="16" customFormat="1">
      <c r="A35" s="16" t="s">
        <v>1656</v>
      </c>
      <c r="B35" s="161" t="str">
        <f>_xlfn.CONCAT('Agreement 3'!B16," (CASID",'Agreement 3'!B5,") | Please sign CAS documents")</f>
        <v>Software for Mars (Pty) Ltd (CASID53517) | Please sign CAS documents</v>
      </c>
    </row>
    <row r="36" spans="1:3" s="16" customFormat="1">
      <c r="B36" s="161"/>
    </row>
    <row r="37" spans="1:3" s="16" customFormat="1">
      <c r="A37" s="16" t="s">
        <v>1666</v>
      </c>
      <c r="B37" s="161" t="str">
        <f>'Agreement 3'!B28</f>
        <v>Prof Donald Kessler</v>
      </c>
    </row>
    <row r="38" spans="1:3" s="16" customFormat="1">
      <c r="A38" s="16" t="s">
        <v>1686</v>
      </c>
      <c r="B38" s="161" t="str">
        <f>_xlfn.CONCAT("https://cmmiinstitute.com/appraisals-sys/appraisals/",'Agreement 3'!B5,"/roles-responsibilities")</f>
        <v>https://cmmiinstitute.com/appraisals-sys/appraisals/53517/roles-responsibilities</v>
      </c>
    </row>
    <row r="39" spans="1:3" s="16" customFormat="1">
      <c r="A39" s="16" t="s">
        <v>1660</v>
      </c>
      <c r="B39" s="161" t="str">
        <f>_xlfn.CONCAT("https://cmmiinstitute.com/appraisals-sys/appraisals/",'Agreement 3'!B5,"/confidentiality-agreement")</f>
        <v>https://cmmiinstitute.com/appraisals-sys/appraisals/53517/confidentiality-agreement</v>
      </c>
    </row>
    <row r="40" spans="1:3" s="16" customFormat="1">
      <c r="A40" s="16" t="s">
        <v>1661</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1687</v>
      </c>
      <c r="B42" s="161" t="str">
        <f>_xlfn.CONCAT('Agreement 3'!B33," and ",'Agreement 3'!B39)</f>
        <v>Miss Nathalie Lake and Miss Barbara Land</v>
      </c>
    </row>
    <row r="43" spans="1:3" s="16" customFormat="1">
      <c r="A43" s="16" t="s">
        <v>1660</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1688</v>
      </c>
      <c r="B45" s="161" t="e">
        <f>_xlfn.CONCAT('P1-OrgScope'!#REF!,", ",'P1-OrgScope'!#REF!,", ",'P1-OrgScope'!#REF!,", ",'P1-OrgScope'!#REF!,", ",'P1-OrgScope'!#REF!,", ",'P1-OrgScope'!#REF!,", ",'P1-OrgScope'!#REF!,", ",'P1-OrgScope'!#REF!,", and ",'P1-OrgScope'!#REF!)</f>
        <v>#REF!</v>
      </c>
    </row>
    <row r="46" spans="1:3" s="16" customFormat="1">
      <c r="A46" s="16" t="s">
        <v>1660</v>
      </c>
      <c r="B46" s="161" t="str">
        <f>_xlfn.CONCAT("https://cmmiinstitute.com/appraisals-sys/appraisals/",'Agreement 3'!B5,"/confidentiality-agreement")</f>
        <v>https://cmmiinstitute.com/appraisals-sys/appraisals/53517/confidentiality-agreement</v>
      </c>
    </row>
    <row r="47" spans="1:3" s="16" customFormat="1">
      <c r="A47" s="16" t="s">
        <v>1661</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1657</v>
      </c>
      <c r="B49" s="47" t="s">
        <v>1689</v>
      </c>
      <c r="C49" s="45"/>
    </row>
    <row r="50" spans="1:3" s="16" customFormat="1">
      <c r="A50" s="16" t="s">
        <v>1690</v>
      </c>
      <c r="B50" s="161" t="str">
        <f>'Agreement 3'!B31</f>
        <v>donald.kessler@email.com</v>
      </c>
    </row>
    <row r="51" spans="1:3" s="16" customFormat="1">
      <c r="A51" s="16" t="s">
        <v>1691</v>
      </c>
      <c r="B51" s="16" t="e">
        <f>_xlfn.CONCAT('Agreement 3'!B43,"; ",'Agreement 3'!B37,"; ",'P1-OrgScope'!#REF!,"; ",'P1-OrgScope'!#REF!,"; ",'P1-OrgScope'!#REF!,"; ",'P1-OrgScope'!#REF!,"; ",'P1-OrgScope'!#REF!,"; ",'P1-OrgScope'!#REF!,"; ",'P1-OrgScope'!#REF!,"; ",'P1-OrgScope'!#REF!,"; ",'P1-OrgScope'!#REF!)</f>
        <v>#REF!</v>
      </c>
    </row>
    <row r="52" spans="1:3" s="16" customFormat="1">
      <c r="A52" s="16" t="s">
        <v>1656</v>
      </c>
      <c r="B52" s="16" t="str">
        <f>_xlfn.CONCAT('Agreement 3'!B16," (CASID",'Agreement 3'!B5,") | Readiness review completed")</f>
        <v>Software for Mars (Pty) Ltd (CASID53517) | Readiness review completed</v>
      </c>
    </row>
    <row r="53" spans="1:3" s="16" customFormat="1">
      <c r="A53" s="16" t="s">
        <v>1658</v>
      </c>
      <c r="B53" s="161" t="str">
        <f>'Agreement 3'!B28</f>
        <v>Prof Donald Kessler</v>
      </c>
    </row>
    <row r="54" spans="1:3" s="16" customFormat="1">
      <c r="A54" s="16" t="s">
        <v>1698</v>
      </c>
      <c r="B54" s="161" t="str">
        <f>_xlfn.CONCAT("https://cmmiinstitute.com/appraisals-sys/appraisals/",'Agreement 3'!B5,"/roles-responsibilities")</f>
        <v>https://cmmiinstitute.com/appraisals-sys/appraisals/53517/roles-responsibilities</v>
      </c>
    </row>
    <row r="55" spans="1:3" s="16" customFormat="1">
      <c r="A55" s="16" t="s">
        <v>1700</v>
      </c>
      <c r="B55" s="161" t="str">
        <f>_xlfn.CONCAT("https://cmmiinstitute.com/appraisals-sys/appraisals/",'Agreement 3'!B5,"/confidentiality-agreement")</f>
        <v>https://cmmiinstitute.com/appraisals-sys/appraisals/53517/confidentiality-agreement</v>
      </c>
    </row>
    <row r="56" spans="1:3" s="16" customFormat="1">
      <c r="A56" s="16" t="s">
        <v>1699</v>
      </c>
      <c r="B56" s="161" t="str">
        <f>_xlfn.CONCAT("https://cmmiinstitute.com/appraisals-sys/appraisals/",'Agreement 3'!B5,"/appraisal-plan-summary")</f>
        <v>https://cmmiinstitute.com/appraisals-sys/appraisals/53517/appraisal-plan-summary</v>
      </c>
    </row>
    <row r="57" spans="1:3" s="16" customFormat="1">
      <c r="A57" s="16" t="s">
        <v>1716</v>
      </c>
      <c r="B57" s="161" t="str">
        <f>_xlfn.CONCAT("https://cmmiinstitute.com/appraisals-sys/appraisals/",'Agreement 3'!B5,"/sign-final-findings")</f>
        <v>https://cmmiinstitute.com/appraisals-sys/appraisals/53517/sign-final-findings</v>
      </c>
    </row>
    <row r="58" spans="1:3" s="16" customFormat="1">
      <c r="A58" s="16" t="s">
        <v>1717</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1673</v>
      </c>
      <c r="B60" s="47" t="s">
        <v>1693</v>
      </c>
      <c r="C60" s="45"/>
    </row>
    <row r="61" spans="1:3" s="16" customFormat="1">
      <c r="A61" s="16" t="s">
        <v>1675</v>
      </c>
      <c r="B61" s="16" t="e">
        <f>_xlfn.CONCAT('P1-OrgScope'!#REF!,"; ",'P1-OrgScope'!#REF!)</f>
        <v>#REF!</v>
      </c>
    </row>
    <row r="62" spans="1:3" s="16" customFormat="1">
      <c r="A62" s="16" t="s">
        <v>1656</v>
      </c>
      <c r="B62" s="16" t="str">
        <f>_xlfn.CONCAT('Agreement 3'!B16, " (CASID",'Agreement 3'!B5,") | CAS review before submission")</f>
        <v>Software for Mars (Pty) Ltd (CASID53517) | CAS review before submission</v>
      </c>
    </row>
    <row r="63" spans="1:3" s="16" customFormat="1">
      <c r="A63" s="16" t="s">
        <v>1676</v>
      </c>
      <c r="B63" s="16" t="e">
        <f>_xlfn.CONCAT('P1-OrgScope'!#REF!," and ",'P1-OrgScope'!#REF!,", please review the appraisal for me before I submitt it. The SPS file and CAS link is below.")</f>
        <v>#REF!</v>
      </c>
    </row>
    <row r="64" spans="1:3" s="16" customFormat="1">
      <c r="A64" s="16" t="s">
        <v>1677</v>
      </c>
      <c r="B64" s="16" t="str">
        <f>Planning!B7</f>
        <v>2021-04-12to04-16 (A5) C53517 SoftMARS</v>
      </c>
    </row>
    <row r="65" spans="1:2" s="16" customFormat="1">
      <c r="A65" s="16" t="s">
        <v>1694</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1697</v>
      </c>
      <c r="C2" s="402">
        <v>0.3</v>
      </c>
      <c r="D2" s="402">
        <v>0.5</v>
      </c>
      <c r="E2" s="402">
        <v>1</v>
      </c>
    </row>
    <row r="3" spans="1:13">
      <c r="A3" s="16" t="s">
        <v>611</v>
      </c>
      <c r="B3" s="16" t="s">
        <v>1698</v>
      </c>
      <c r="C3" s="60" t="s">
        <v>388</v>
      </c>
      <c r="M3" s="29" t="str">
        <f>HYPERLINK(_xlfn.CONCAT("https://cmmiinstitute.com/appraisals-sys/appraisals/",'Agreement 3'!B5,"/roles-responsibilities"))</f>
        <v>https://cmmiinstitute.com/appraisals-sys/appraisals/53517/roles-responsibilities</v>
      </c>
    </row>
    <row r="4" spans="1:13">
      <c r="B4" s="16" t="s">
        <v>1699</v>
      </c>
      <c r="C4" s="60" t="s">
        <v>388</v>
      </c>
      <c r="M4" s="29" t="str">
        <f>HYPERLINK(_xlfn.CONCAT("https://cmmiinstitute.com/appraisals-sys/appraisals/",'Agreement 3'!B5,"/appraisal-plan-summary"))</f>
        <v>https://cmmiinstitute.com/appraisals-sys/appraisals/53517/appraisal-plan-summary</v>
      </c>
    </row>
    <row r="5" spans="1:13">
      <c r="B5" s="16" t="s">
        <v>1700</v>
      </c>
      <c r="C5" s="60" t="s">
        <v>388</v>
      </c>
      <c r="M5" s="29" t="str">
        <f>HYPERLINK(_xlfn.CONCAT("https://cmmiinstitute.com/appraisals-sys/appraisals/",'Agreement 3'!B5,"/confidentiality-agreement"))</f>
        <v>https://cmmiinstitute.com/appraisals-sys/appraisals/53517/confidentiality-agreement</v>
      </c>
    </row>
    <row r="6" spans="1:13">
      <c r="B6" s="16" t="s">
        <v>1701</v>
      </c>
      <c r="C6" s="60" t="s">
        <v>388</v>
      </c>
      <c r="M6" s="29" t="str">
        <f>HYPERLINK(_xlfn.CONCAT("https://cmmiinstitute.com/appraisals-sys/appraisals/",'Agreement 3'!B5,"/appraisal-team"))</f>
        <v>https://cmmiinstitute.com/appraisals-sys/appraisals/53517/appraisal-team</v>
      </c>
    </row>
    <row r="8" spans="1:13">
      <c r="A8" s="16" t="s">
        <v>586</v>
      </c>
      <c r="B8" s="16" t="s">
        <v>1698</v>
      </c>
      <c r="C8" s="60" t="s">
        <v>388</v>
      </c>
      <c r="M8" s="29" t="str">
        <f>HYPERLINK(_xlfn.CONCAT("https://cmmiinstitute.com/appraisals-sys/appraisals/",'Agreement 3'!B5,"/roles-responsibilities"))</f>
        <v>https://cmmiinstitute.com/appraisals-sys/appraisals/53517/roles-responsibilities</v>
      </c>
    </row>
    <row r="9" spans="1:13">
      <c r="B9" s="16" t="s">
        <v>1699</v>
      </c>
      <c r="C9" s="60" t="s">
        <v>388</v>
      </c>
      <c r="M9" s="29" t="str">
        <f>HYPERLINK(_xlfn.CONCAT("https://cmmiinstitute.com/appraisals-sys/appraisals/",'Agreement 3'!B5,"/appraisal-plan-summary"))</f>
        <v>https://cmmiinstitute.com/appraisals-sys/appraisals/53517/appraisal-plan-summary</v>
      </c>
    </row>
    <row r="10" spans="1:13">
      <c r="B10" s="16" t="s">
        <v>1700</v>
      </c>
      <c r="C10" s="60" t="s">
        <v>388</v>
      </c>
      <c r="M10" s="29" t="str">
        <f>HYPERLINK(_xlfn.CONCAT("https://cmmiinstitute.com/appraisals-sys/appraisals/",'Agreement 3'!B5,"/confidentiality-agreement"))</f>
        <v>https://cmmiinstitute.com/appraisals-sys/appraisals/53517/confidentiality-agreement</v>
      </c>
    </row>
    <row r="11" spans="1:13">
      <c r="B11" s="16" t="s">
        <v>1701</v>
      </c>
      <c r="C11" s="60" t="s">
        <v>388</v>
      </c>
      <c r="M11" s="29" t="str">
        <f>HYPERLINK(_xlfn.CONCAT("https://cmmiinstitute.com/appraisals-sys/appraisals/",'Agreement 3'!B5,"/appraisal-sponsor"))</f>
        <v>https://cmmiinstitute.com/appraisals-sys/appraisals/53517/appraisal-sponsor</v>
      </c>
    </row>
    <row r="12" spans="1:13">
      <c r="M12" s="29"/>
    </row>
    <row r="13" spans="1:13">
      <c r="A13" s="16" t="s">
        <v>1702</v>
      </c>
      <c r="B13" s="16" t="s">
        <v>1714</v>
      </c>
      <c r="C13" s="60" t="s">
        <v>388</v>
      </c>
      <c r="F13" s="60" t="s">
        <v>1709</v>
      </c>
      <c r="G13" s="60" t="s">
        <v>1710</v>
      </c>
      <c r="H13" s="60" t="s">
        <v>1711</v>
      </c>
      <c r="I13" s="60" t="s">
        <v>1712</v>
      </c>
      <c r="J13" s="60" t="s">
        <v>1713</v>
      </c>
    </row>
    <row r="14" spans="1:13">
      <c r="B14" s="16" t="s">
        <v>1715</v>
      </c>
      <c r="C14" s="60" t="s">
        <v>388</v>
      </c>
    </row>
    <row r="15" spans="1:13">
      <c r="B15" s="16" t="s">
        <v>1700</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1703</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1701</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1700</v>
      </c>
      <c r="C19" s="60" t="s">
        <v>388</v>
      </c>
      <c r="M19" s="29" t="str">
        <f>HYPERLINK(_xlfn.CONCAT("https://cmmiinstitute.com/appraisals-sys/appraisals/",'Agreement 3'!B5,"/confidentiality-agreement"))</f>
        <v>https://cmmiinstitute.com/appraisals-sys/appraisals/53517/confidentiality-agreement</v>
      </c>
    </row>
    <row r="20" spans="1:13">
      <c r="B20" s="16" t="s">
        <v>1701</v>
      </c>
      <c r="C20" s="60" t="s">
        <v>388</v>
      </c>
      <c r="M20" s="29" t="str">
        <f>HYPERLINK(_xlfn.CONCAT("https://cmmiinstitute.com/appraisals-sys/appraisals/",'Agreement 3'!B5,"/appraisal-team"))</f>
        <v>https://cmmiinstitute.com/appraisals-sys/appraisals/53517/appraisal-team</v>
      </c>
    </row>
    <row r="22" spans="1:13">
      <c r="A22" s="16" t="s">
        <v>1374</v>
      </c>
      <c r="B22" s="16" t="s">
        <v>1700</v>
      </c>
      <c r="C22" s="60" t="s">
        <v>388</v>
      </c>
      <c r="M22" s="29" t="str">
        <f>HYPERLINK(_xlfn.CONCAT("https://cmmiinstitute.com/appraisals-sys/appraisals/",'Agreement 3'!B5,"/confidentiality-agreement"))</f>
        <v>https://cmmiinstitute.com/appraisals-sys/appraisals/53517/confidentiality-agreement</v>
      </c>
    </row>
    <row r="23" spans="1:13">
      <c r="B23" s="16" t="s">
        <v>1701</v>
      </c>
      <c r="C23" s="60" t="s">
        <v>388</v>
      </c>
      <c r="M23" s="29" t="str">
        <f>HYPERLINK(_xlfn.CONCAT("https://cmmiinstitute.com/appraisals-sys/appraisals/",'Agreement 3'!B5,"/appraisal-team"))</f>
        <v>https://cmmiinstitute.com/appraisals-sys/appraisals/53517/appraisal-team</v>
      </c>
    </row>
    <row r="25" spans="1:13">
      <c r="A25" s="16" t="s">
        <v>1704</v>
      </c>
      <c r="B25" s="16" t="s">
        <v>1705</v>
      </c>
    </row>
    <row r="28" spans="1:13">
      <c r="A28" s="16" t="s">
        <v>1706</v>
      </c>
      <c r="B28" s="16" t="s">
        <v>1707</v>
      </c>
    </row>
    <row r="30" spans="1:13">
      <c r="A30" s="16" t="s">
        <v>1708</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1796</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1795</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1797</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1798</v>
      </c>
    </row>
    <row r="34" spans="1:5">
      <c r="A34" s="2" t="s">
        <v>7</v>
      </c>
      <c r="B34" s="6" t="s">
        <v>1790</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1799</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1800</v>
      </c>
      <c r="D45" t="s">
        <v>1800</v>
      </c>
      <c r="E45" t="s">
        <v>1801</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1779</v>
      </c>
      <c r="B12" s="47"/>
      <c r="C12" s="45"/>
    </row>
    <row r="13" spans="1:23" s="46" customFormat="1" ht="15.6">
      <c r="A13" s="403" t="s">
        <v>1764</v>
      </c>
      <c r="B13" s="45"/>
      <c r="C13" s="45"/>
    </row>
    <row r="14" spans="1:23">
      <c r="A14" s="11" t="s">
        <v>1764</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1768</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1769</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1770</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1771</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1772</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1773</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1695</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1585</v>
      </c>
      <c r="AF2" s="226" t="s">
        <v>1147</v>
      </c>
      <c r="AG2" s="226" t="s">
        <v>1586</v>
      </c>
      <c r="AH2" s="226" t="s">
        <v>1587</v>
      </c>
      <c r="AI2" s="226" t="s">
        <v>1124</v>
      </c>
      <c r="AJ2" s="227" t="s">
        <v>1148</v>
      </c>
    </row>
    <row r="3" spans="1:36" s="228" customFormat="1" ht="13.8">
      <c r="A3" s="229" t="s">
        <v>875</v>
      </c>
      <c r="B3" s="228" t="s">
        <v>1754</v>
      </c>
      <c r="C3" s="229" t="s">
        <v>1757</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1654</v>
      </c>
      <c r="AC3" s="233" t="s">
        <v>406</v>
      </c>
      <c r="AD3" s="233"/>
      <c r="AE3" s="233"/>
      <c r="AF3" s="233"/>
      <c r="AG3" s="233"/>
      <c r="AH3" s="233"/>
      <c r="AI3" s="233"/>
      <c r="AJ3" s="234"/>
    </row>
    <row r="4" spans="1:36" s="228" customFormat="1" ht="13.8">
      <c r="A4" s="229" t="s">
        <v>876</v>
      </c>
      <c r="B4" s="228" t="s">
        <v>1753</v>
      </c>
      <c r="C4" s="229" t="s">
        <v>1758</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1654</v>
      </c>
      <c r="AC4" s="233" t="s">
        <v>406</v>
      </c>
      <c r="AD4" s="233"/>
      <c r="AE4" s="233"/>
      <c r="AF4" s="233"/>
      <c r="AG4" s="233"/>
      <c r="AH4" s="233"/>
      <c r="AI4" s="233"/>
      <c r="AJ4" s="234"/>
    </row>
    <row r="5" spans="1:36" s="228" customFormat="1" ht="13.8">
      <c r="A5" s="229" t="s">
        <v>877</v>
      </c>
      <c r="B5" s="228" t="s">
        <v>1752</v>
      </c>
      <c r="C5" s="229" t="s">
        <v>1759</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1654</v>
      </c>
      <c r="AC5" s="233"/>
      <c r="AD5" s="233" t="s">
        <v>406</v>
      </c>
      <c r="AE5" s="233"/>
      <c r="AF5" s="233"/>
      <c r="AG5" s="233"/>
      <c r="AH5" s="233"/>
      <c r="AI5" s="233"/>
      <c r="AJ5" s="234"/>
    </row>
    <row r="6" spans="1:36" s="228" customFormat="1" ht="13.8">
      <c r="A6" s="229" t="s">
        <v>878</v>
      </c>
      <c r="B6" s="228" t="s">
        <v>1751</v>
      </c>
      <c r="C6" s="235" t="s">
        <v>1760</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1654</v>
      </c>
      <c r="AC6" s="233" t="s">
        <v>406</v>
      </c>
      <c r="AD6" s="233"/>
      <c r="AE6" s="233"/>
      <c r="AF6" s="233"/>
      <c r="AG6" s="233"/>
      <c r="AH6" s="233"/>
      <c r="AI6" s="233"/>
      <c r="AJ6" s="234"/>
    </row>
    <row r="7" spans="1:36" s="228" customFormat="1" ht="13.8">
      <c r="A7" s="229" t="s">
        <v>1745</v>
      </c>
      <c r="B7" s="228" t="s">
        <v>1750</v>
      </c>
      <c r="C7" s="235" t="s">
        <v>1761</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1654</v>
      </c>
      <c r="AC7" s="233"/>
      <c r="AD7" s="233" t="s">
        <v>406</v>
      </c>
      <c r="AE7" s="233"/>
      <c r="AF7" s="233"/>
      <c r="AG7" s="233"/>
      <c r="AH7" s="233"/>
      <c r="AI7" s="233"/>
      <c r="AJ7" s="234"/>
    </row>
    <row r="8" spans="1:36" s="228" customFormat="1" ht="13.8">
      <c r="A8" s="229" t="s">
        <v>1746</v>
      </c>
      <c r="B8" s="228" t="s">
        <v>1749</v>
      </c>
      <c r="C8" s="235" t="s">
        <v>1762</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1654</v>
      </c>
      <c r="AC8" s="233" t="s">
        <v>406</v>
      </c>
      <c r="AD8" s="233"/>
      <c r="AE8" s="233"/>
      <c r="AF8" s="233"/>
      <c r="AG8" s="233"/>
      <c r="AH8" s="233"/>
      <c r="AI8" s="233"/>
      <c r="AJ8" s="234"/>
    </row>
    <row r="9" spans="1:36" s="228" customFormat="1" ht="13.8">
      <c r="A9" s="229" t="s">
        <v>1747</v>
      </c>
      <c r="B9" s="228" t="s">
        <v>1748</v>
      </c>
      <c r="C9" s="235" t="s">
        <v>1763</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1654</v>
      </c>
      <c r="AC9" s="233"/>
      <c r="AD9" s="233" t="s">
        <v>406</v>
      </c>
      <c r="AE9" s="233"/>
      <c r="AF9" s="233"/>
      <c r="AG9" s="233"/>
      <c r="AH9" s="233"/>
      <c r="AI9" s="233"/>
      <c r="AJ9" s="234"/>
    </row>
    <row r="10" spans="1:36" s="228" customFormat="1" ht="27.6">
      <c r="A10" s="237" t="s">
        <v>880</v>
      </c>
      <c r="B10" s="237" t="s">
        <v>1650</v>
      </c>
      <c r="C10" s="237" t="s">
        <v>1755</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1651</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1654</v>
      </c>
      <c r="AC11" s="233"/>
      <c r="AD11" s="233"/>
      <c r="AE11" s="233"/>
      <c r="AF11" s="233" t="s">
        <v>406</v>
      </c>
      <c r="AG11" s="233" t="s">
        <v>406</v>
      </c>
      <c r="AH11" s="233"/>
      <c r="AI11" s="233"/>
      <c r="AJ11" s="234"/>
    </row>
    <row r="12" spans="1:36" s="228" customFormat="1" ht="41.4">
      <c r="A12" s="237" t="s">
        <v>882</v>
      </c>
      <c r="B12" s="237" t="s">
        <v>1652</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1653</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1580</v>
      </c>
    </row>
    <row r="27" spans="3:3" ht="40.5" customHeight="1">
      <c r="C27" s="11" t="s">
        <v>1550</v>
      </c>
    </row>
    <row r="28" spans="3:3" ht="40.5" customHeight="1">
      <c r="C28" s="11" t="s">
        <v>1549</v>
      </c>
    </row>
    <row r="29" spans="3:3" ht="40.5" customHeight="1">
      <c r="C29" s="11" t="s">
        <v>1756</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1584</v>
      </c>
      <c r="D25" s="395" t="s">
        <v>1583</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1583</v>
      </c>
      <c r="B8" s="98" t="s">
        <v>968</v>
      </c>
      <c r="C8" s="57" t="s">
        <v>406</v>
      </c>
      <c r="D8" s="57"/>
      <c r="E8" s="57" t="s">
        <v>406</v>
      </c>
      <c r="F8" s="57"/>
      <c r="G8" s="57"/>
      <c r="H8" s="57"/>
      <c r="I8" s="57" t="s">
        <v>406</v>
      </c>
      <c r="J8" s="57"/>
      <c r="K8" s="57"/>
      <c r="L8" s="57"/>
      <c r="M8" s="57"/>
      <c r="N8" s="57"/>
      <c r="O8" s="57"/>
      <c r="P8" s="57"/>
      <c r="Q8" s="57"/>
      <c r="R8" s="57"/>
      <c r="S8" s="57"/>
      <c r="T8" s="57"/>
      <c r="U8" s="57"/>
      <c r="V8" s="57"/>
      <c r="W8" s="45" t="s">
        <v>1583</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1584</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1779</v>
      </c>
      <c r="B44" s="28"/>
      <c r="C44" s="29"/>
    </row>
    <row r="45" spans="1:23" s="46" customFormat="1" ht="15.6">
      <c r="A45" s="403" t="s">
        <v>1764</v>
      </c>
      <c r="B45" s="45"/>
      <c r="C45" s="45"/>
    </row>
    <row r="46" spans="1:23">
      <c r="A46" s="11" t="s">
        <v>1764</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1768</v>
      </c>
      <c r="B51" s="255" t="str">
        <f>IF(Planning!B19&lt;&gt;"","x","")</f>
        <v>x</v>
      </c>
    </row>
    <row r="52" spans="1:23">
      <c r="A52" s="11" t="s">
        <v>1769</v>
      </c>
      <c r="B52" s="255" t="str">
        <f>IF(Planning!B20&lt;&gt;"","x","")</f>
        <v/>
      </c>
    </row>
    <row r="53" spans="1:23">
      <c r="A53" s="11" t="s">
        <v>1770</v>
      </c>
      <c r="B53" s="255" t="str">
        <f>IF(Planning!B21&lt;&gt;"","x","")</f>
        <v/>
      </c>
    </row>
    <row r="54" spans="1:23">
      <c r="A54" s="11" t="s">
        <v>1771</v>
      </c>
      <c r="B54" s="255" t="str">
        <f>IF(Planning!B22&lt;&gt;"","x","")</f>
        <v/>
      </c>
    </row>
    <row r="55" spans="1:23">
      <c r="A55" s="11" t="s">
        <v>1772</v>
      </c>
      <c r="B55" s="255" t="str">
        <f>IF(Planning!B23&lt;&gt;"","x","")</f>
        <v/>
      </c>
    </row>
    <row r="56" spans="1:23">
      <c r="A56" s="11" t="s">
        <v>1773</v>
      </c>
      <c r="B56" s="255" t="str">
        <f>IF(Planning!B24&lt;&gt;"","x","")</f>
        <v/>
      </c>
    </row>
    <row r="58" spans="1:23">
      <c r="A58" s="27" t="s">
        <v>751</v>
      </c>
      <c r="B58" s="28"/>
      <c r="C58" s="29"/>
    </row>
    <row r="59" spans="1:23">
      <c r="A59" s="32" t="s">
        <v>752</v>
      </c>
      <c r="B59" s="31" t="s">
        <v>1780</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1781</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1782</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1783</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1791</v>
      </c>
      <c r="C97" s="404"/>
    </row>
    <row r="98" spans="1:23" ht="86.4">
      <c r="A98" s="11" t="s">
        <v>726</v>
      </c>
      <c r="B98" s="21" t="s">
        <v>1792</v>
      </c>
      <c r="C98" s="404"/>
    </row>
    <row r="99" spans="1:23">
      <c r="A99" s="11" t="s">
        <v>727</v>
      </c>
      <c r="B99" s="89" t="str">
        <f>_xlfn.CONCAT('P1-Personnel'!B9," and ",'P1-Personnel'!B13)</f>
        <v>Dr Pieter van Zyl and ATM-1</v>
      </c>
      <c r="C99" s="404" t="s">
        <v>978</v>
      </c>
    </row>
    <row r="100" spans="1:23">
      <c r="A100" s="11" t="s">
        <v>728</v>
      </c>
      <c r="B100" s="11" t="s">
        <v>1793</v>
      </c>
      <c r="C100" s="404"/>
    </row>
    <row r="101" spans="1:23">
      <c r="A101" s="11" t="s">
        <v>1784</v>
      </c>
      <c r="B101" s="11" t="s">
        <v>29</v>
      </c>
      <c r="C101" s="404"/>
    </row>
    <row r="102" spans="1:23">
      <c r="A102" s="11" t="s">
        <v>1785</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1794</v>
      </c>
      <c r="C108" s="404"/>
    </row>
    <row r="109" spans="1:23" ht="86.4">
      <c r="A109" s="11" t="s">
        <v>726</v>
      </c>
      <c r="B109" s="405" t="s">
        <v>1786</v>
      </c>
      <c r="C109" s="404"/>
    </row>
    <row r="110" spans="1:23">
      <c r="A110" s="11" t="s">
        <v>727</v>
      </c>
      <c r="B110" s="406" t="str">
        <f>_xlfn.CONCAT('P1-Personnel'!B9," and ",'P1-Personnel'!B13)</f>
        <v>Dr Pieter van Zyl and ATM-1</v>
      </c>
      <c r="C110" s="404" t="s">
        <v>978</v>
      </c>
    </row>
    <row r="111" spans="1:23">
      <c r="A111" s="11" t="s">
        <v>728</v>
      </c>
      <c r="B111" s="111" t="s">
        <v>1793</v>
      </c>
      <c r="C111" s="404"/>
    </row>
    <row r="112" spans="1:23">
      <c r="A112" s="11" t="s">
        <v>1784</v>
      </c>
      <c r="B112" s="111" t="s">
        <v>29</v>
      </c>
      <c r="C112" s="404"/>
    </row>
    <row r="113" spans="1:23">
      <c r="A113" s="11" t="s">
        <v>1785</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1787</v>
      </c>
    </row>
    <row r="143" spans="1:3">
      <c r="A143" s="219" t="s">
        <v>732</v>
      </c>
      <c r="B143" s="219" t="s">
        <v>1129</v>
      </c>
      <c r="C143" s="217"/>
    </row>
    <row r="144" spans="1:3" ht="15" thickBot="1">
      <c r="A144" s="220" t="s">
        <v>811</v>
      </c>
      <c r="B144" s="220" t="s">
        <v>812</v>
      </c>
      <c r="C144" s="217"/>
    </row>
    <row r="145" spans="1:3">
      <c r="A145" s="221" t="s">
        <v>731</v>
      </c>
      <c r="B145" s="221" t="s">
        <v>1788</v>
      </c>
      <c r="C145" s="217"/>
    </row>
    <row r="146" spans="1:3" ht="15" thickBot="1">
      <c r="A146" s="220" t="s">
        <v>811</v>
      </c>
      <c r="B146" s="220" t="s">
        <v>812</v>
      </c>
      <c r="C146" s="217"/>
    </row>
    <row r="147" spans="1:3">
      <c r="A147" s="221" t="s">
        <v>813</v>
      </c>
      <c r="B147" s="221" t="s">
        <v>1789</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1692</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1692</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1692</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1692</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1692</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1692</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1692</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1692</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1692</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1692</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1725</v>
      </c>
    </row>
    <row r="6" spans="1:3" s="16" customFormat="1">
      <c r="A6" s="16" t="s">
        <v>584</v>
      </c>
      <c r="B6" s="11" t="s">
        <v>1725</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1726</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1727</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1728</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1647</v>
      </c>
    </row>
    <row r="35" spans="1:3" s="16" customFormat="1" ht="28.8">
      <c r="A35" s="16" t="s">
        <v>582</v>
      </c>
      <c r="B35" s="11" t="s">
        <v>1648</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1719</v>
      </c>
    </row>
    <row r="41" spans="1:3" s="16" customFormat="1" ht="28.8">
      <c r="A41" s="16" t="s">
        <v>582</v>
      </c>
      <c r="B41" s="11" t="s">
        <v>1720</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1729</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1575</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1576</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1577</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1722</v>
      </c>
    </row>
    <row r="207" spans="1:3">
      <c r="A207" s="11" t="s">
        <v>655</v>
      </c>
      <c r="B207" s="13" t="s">
        <v>428</v>
      </c>
      <c r="C207" s="11" t="s">
        <v>384</v>
      </c>
    </row>
    <row r="208" spans="1:3">
      <c r="A208" s="11" t="s">
        <v>661</v>
      </c>
      <c r="B208" s="11" t="s">
        <v>1554</v>
      </c>
    </row>
    <row r="209" spans="1:3" ht="28.8">
      <c r="A209" s="11" t="s">
        <v>662</v>
      </c>
      <c r="B209" s="11" t="s">
        <v>1723</v>
      </c>
    </row>
    <row r="210" spans="1:3">
      <c r="A210" s="11" t="s">
        <v>663</v>
      </c>
      <c r="B210" s="13" t="s">
        <v>1394</v>
      </c>
      <c r="C210" s="11" t="s">
        <v>384</v>
      </c>
    </row>
    <row r="211" spans="1:3" ht="43.2">
      <c r="A211" s="11" t="s">
        <v>664</v>
      </c>
      <c r="B211" s="11" t="s">
        <v>1724</v>
      </c>
    </row>
    <row r="212" spans="1:3">
      <c r="A212" s="11" t="s">
        <v>665</v>
      </c>
      <c r="B212" s="13" t="s">
        <v>1391</v>
      </c>
      <c r="C212" s="11" t="s">
        <v>384</v>
      </c>
    </row>
    <row r="214" spans="1:3">
      <c r="A214" s="14" t="s">
        <v>1565</v>
      </c>
      <c r="B214" s="14" t="s">
        <v>1732</v>
      </c>
    </row>
    <row r="215" spans="1:3">
      <c r="A215" s="11" t="s">
        <v>655</v>
      </c>
      <c r="B215" s="13" t="s">
        <v>428</v>
      </c>
      <c r="C215" s="11" t="s">
        <v>384</v>
      </c>
    </row>
    <row r="216" spans="1:3">
      <c r="A216" s="11" t="s">
        <v>661</v>
      </c>
      <c r="B216" s="11" t="s">
        <v>1554</v>
      </c>
    </row>
    <row r="217" spans="1:3" ht="28.8">
      <c r="A217" s="11" t="s">
        <v>662</v>
      </c>
      <c r="B217" s="11" t="s">
        <v>1733</v>
      </c>
    </row>
    <row r="218" spans="1:3">
      <c r="A218" s="11" t="s">
        <v>663</v>
      </c>
      <c r="B218" s="13" t="s">
        <v>670</v>
      </c>
      <c r="C218" s="11" t="s">
        <v>384</v>
      </c>
    </row>
    <row r="219" spans="1:3" ht="57.6">
      <c r="A219" s="11" t="s">
        <v>664</v>
      </c>
      <c r="B219" s="11" t="s">
        <v>1734</v>
      </c>
    </row>
    <row r="220" spans="1:3">
      <c r="A220" s="11" t="s">
        <v>665</v>
      </c>
      <c r="B220" s="13" t="s">
        <v>1391</v>
      </c>
      <c r="C220" s="11" t="s">
        <v>384</v>
      </c>
    </row>
    <row r="222" spans="1:3">
      <c r="A222" s="14" t="s">
        <v>1731</v>
      </c>
      <c r="B222" s="14" t="s">
        <v>1649</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1735</v>
      </c>
    </row>
    <row r="231" spans="1:3">
      <c r="A231" s="11" t="s">
        <v>655</v>
      </c>
      <c r="B231" s="13" t="s">
        <v>428</v>
      </c>
      <c r="C231" s="11" t="s">
        <v>384</v>
      </c>
    </row>
    <row r="232" spans="1:3">
      <c r="A232" s="11" t="s">
        <v>661</v>
      </c>
      <c r="B232" s="11" t="s">
        <v>1554</v>
      </c>
    </row>
    <row r="233" spans="1:3">
      <c r="A233" s="11" t="s">
        <v>662</v>
      </c>
      <c r="B233" s="11" t="s">
        <v>1736</v>
      </c>
    </row>
    <row r="234" spans="1:3">
      <c r="A234" s="11" t="s">
        <v>663</v>
      </c>
      <c r="B234" s="13" t="s">
        <v>670</v>
      </c>
      <c r="C234" s="11" t="s">
        <v>384</v>
      </c>
    </row>
    <row r="235" spans="1:3" ht="43.2">
      <c r="A235" s="11" t="s">
        <v>664</v>
      </c>
      <c r="B235" s="11" t="s">
        <v>1737</v>
      </c>
    </row>
    <row r="236" spans="1:3">
      <c r="A236" s="11" t="s">
        <v>665</v>
      </c>
      <c r="B236" s="13" t="s">
        <v>669</v>
      </c>
      <c r="C236" s="11" t="s">
        <v>384</v>
      </c>
    </row>
    <row r="238" spans="1:3">
      <c r="A238" s="14" t="s">
        <v>1569</v>
      </c>
      <c r="B238" s="14" t="s">
        <v>1738</v>
      </c>
    </row>
    <row r="239" spans="1:3">
      <c r="A239" s="11" t="s">
        <v>655</v>
      </c>
      <c r="B239" s="13" t="s">
        <v>428</v>
      </c>
      <c r="C239" s="11" t="s">
        <v>384</v>
      </c>
    </row>
    <row r="240" spans="1:3">
      <c r="A240" s="11" t="s">
        <v>661</v>
      </c>
      <c r="B240" s="11" t="s">
        <v>1554</v>
      </c>
    </row>
    <row r="241" spans="1:3">
      <c r="A241" s="11" t="s">
        <v>662</v>
      </c>
      <c r="B241" s="11" t="s">
        <v>1739</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1741</v>
      </c>
      <c r="B246" s="14" t="s">
        <v>1742</v>
      </c>
    </row>
    <row r="247" spans="1:3">
      <c r="A247" s="11" t="s">
        <v>655</v>
      </c>
      <c r="B247" s="13" t="s">
        <v>428</v>
      </c>
      <c r="C247" s="11" t="s">
        <v>384</v>
      </c>
    </row>
    <row r="248" spans="1:3">
      <c r="A248" s="11" t="s">
        <v>661</v>
      </c>
      <c r="B248" s="11" t="s">
        <v>1554</v>
      </c>
    </row>
    <row r="249" spans="1:3">
      <c r="A249" s="11" t="s">
        <v>662</v>
      </c>
      <c r="B249" s="11" t="s">
        <v>1743</v>
      </c>
    </row>
    <row r="250" spans="1:3">
      <c r="A250" s="11" t="s">
        <v>663</v>
      </c>
      <c r="B250" s="13" t="s">
        <v>670</v>
      </c>
      <c r="C250" s="11" t="s">
        <v>384</v>
      </c>
    </row>
    <row r="251" spans="1:3" ht="43.2">
      <c r="A251" s="11" t="s">
        <v>664</v>
      </c>
      <c r="B251" s="11" t="s">
        <v>1744</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1718</v>
      </c>
    </row>
    <row r="260" spans="1:3">
      <c r="A260" s="11" t="s">
        <v>688</v>
      </c>
      <c r="B260" s="13" t="s">
        <v>667</v>
      </c>
      <c r="C260" s="11" t="s">
        <v>384</v>
      </c>
    </row>
    <row r="261" spans="1:3" ht="100.8">
      <c r="A261" s="11" t="s">
        <v>689</v>
      </c>
      <c r="B261" s="11" t="s">
        <v>1740</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1730</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2" t="str">
        <f>_xlfn.CONCAT("Week ",T8)</f>
        <v>Week 15</v>
      </c>
      <c r="B3" s="423"/>
      <c r="C3" s="371" t="s">
        <v>1608</v>
      </c>
      <c r="D3" s="372" t="s">
        <v>1609</v>
      </c>
      <c r="E3" s="371" t="s">
        <v>1608</v>
      </c>
      <c r="F3" s="372" t="s">
        <v>1609</v>
      </c>
      <c r="G3" s="371" t="s">
        <v>1608</v>
      </c>
      <c r="H3" s="372" t="s">
        <v>1609</v>
      </c>
      <c r="I3" s="371" t="s">
        <v>1608</v>
      </c>
      <c r="J3" s="372" t="s">
        <v>1609</v>
      </c>
      <c r="K3" s="371" t="s">
        <v>1608</v>
      </c>
      <c r="L3" s="372" t="s">
        <v>1609</v>
      </c>
      <c r="M3" s="371" t="s">
        <v>1608</v>
      </c>
      <c r="N3" s="372" t="s">
        <v>1609</v>
      </c>
      <c r="O3" s="371" t="s">
        <v>1608</v>
      </c>
      <c r="P3" s="372" t="s">
        <v>1609</v>
      </c>
      <c r="Q3" s="422" t="str">
        <f>_xlfn.CONCAT("Week ",AJ8)</f>
        <v xml:space="preserve">Week </v>
      </c>
      <c r="R3" s="423"/>
    </row>
    <row r="4" spans="1:20" ht="19.95"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19.95" customHeight="1">
      <c r="A5" s="375" t="s">
        <v>1610</v>
      </c>
      <c r="B5" s="375" t="s">
        <v>1611</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1610</v>
      </c>
      <c r="R5" s="375" t="s">
        <v>1611</v>
      </c>
      <c r="T5" s="370">
        <f>YEAR(T4)-1</f>
        <v>2020</v>
      </c>
    </row>
    <row r="6" spans="1:20" ht="19.95" customHeight="1">
      <c r="A6" s="378">
        <v>0.45833333333333331</v>
      </c>
      <c r="B6" s="378">
        <v>0.20833333333333334</v>
      </c>
      <c r="C6" s="426"/>
      <c r="D6" s="389"/>
      <c r="E6" s="426"/>
      <c r="F6" s="389"/>
      <c r="G6" s="379" t="s">
        <v>1612</v>
      </c>
      <c r="H6" s="389"/>
      <c r="I6" s="379" t="s">
        <v>1612</v>
      </c>
      <c r="J6" s="389"/>
      <c r="K6" s="379" t="s">
        <v>1612</v>
      </c>
      <c r="L6" s="389"/>
      <c r="M6" s="379" t="s">
        <v>1612</v>
      </c>
      <c r="N6" s="389"/>
      <c r="O6" s="379" t="s">
        <v>1612</v>
      </c>
      <c r="P6" s="389"/>
      <c r="Q6" s="378">
        <v>0.45833333333333331</v>
      </c>
      <c r="R6" s="378">
        <v>0.20833333333333334</v>
      </c>
      <c r="T6" s="370">
        <f>DATE(T5,12,31)</f>
        <v>44196</v>
      </c>
    </row>
    <row r="7" spans="1:20" ht="19.95" customHeight="1">
      <c r="A7" s="378">
        <v>0.47916666666666663</v>
      </c>
      <c r="B7" s="378">
        <v>0.22916666666666669</v>
      </c>
      <c r="C7" s="426"/>
      <c r="D7" s="390"/>
      <c r="E7" s="426"/>
      <c r="F7" s="390"/>
      <c r="G7" s="380" t="s">
        <v>1401</v>
      </c>
      <c r="H7" s="390"/>
      <c r="I7" s="427" t="s">
        <v>966</v>
      </c>
      <c r="J7" s="390"/>
      <c r="K7" s="438" t="s">
        <v>1613</v>
      </c>
      <c r="L7" s="390"/>
      <c r="M7" s="438" t="s">
        <v>970</v>
      </c>
      <c r="N7" s="390"/>
      <c r="O7" s="435" t="s">
        <v>1614</v>
      </c>
      <c r="P7" s="390"/>
      <c r="Q7" s="378">
        <v>0.47916666666666663</v>
      </c>
      <c r="R7" s="378">
        <v>0.22916666666666669</v>
      </c>
      <c r="T7" s="370">
        <f>T4-T6</f>
        <v>100</v>
      </c>
    </row>
    <row r="8" spans="1:20" ht="19.95" customHeight="1">
      <c r="A8" s="378">
        <v>0.49999999999999994</v>
      </c>
      <c r="B8" s="378">
        <v>0.25</v>
      </c>
      <c r="C8" s="430" t="s">
        <v>1629</v>
      </c>
      <c r="D8" s="390"/>
      <c r="E8" s="430" t="s">
        <v>1629</v>
      </c>
      <c r="F8" s="390"/>
      <c r="G8" s="435" t="s">
        <v>1409</v>
      </c>
      <c r="H8" s="390"/>
      <c r="I8" s="427"/>
      <c r="J8" s="390"/>
      <c r="K8" s="438"/>
      <c r="L8" s="390"/>
      <c r="M8" s="438"/>
      <c r="N8" s="390"/>
      <c r="O8" s="435"/>
      <c r="P8" s="390"/>
      <c r="Q8" s="378">
        <v>0.49999999999999994</v>
      </c>
      <c r="R8" s="378">
        <v>0.25</v>
      </c>
      <c r="T8" s="370">
        <f>ROUNDUP(T7/7,0)</f>
        <v>15</v>
      </c>
    </row>
    <row r="9" spans="1:20" ht="19.95" customHeight="1">
      <c r="A9" s="378">
        <v>0.52083333333333326</v>
      </c>
      <c r="B9" s="378">
        <v>0.27083333333333331</v>
      </c>
      <c r="C9" s="431"/>
      <c r="D9" s="390"/>
      <c r="E9" s="431"/>
      <c r="F9" s="390"/>
      <c r="G9" s="435"/>
      <c r="H9" s="390"/>
      <c r="I9" s="427"/>
      <c r="J9" s="390"/>
      <c r="K9" s="438"/>
      <c r="L9" s="390"/>
      <c r="M9" s="379" t="s">
        <v>595</v>
      </c>
      <c r="N9" s="390"/>
      <c r="O9" s="437" t="s">
        <v>1615</v>
      </c>
      <c r="P9" s="390"/>
      <c r="Q9" s="378">
        <v>0.52083333333333326</v>
      </c>
      <c r="R9" s="378">
        <v>0.27083333333333331</v>
      </c>
    </row>
    <row r="10" spans="1:20" ht="19.95" customHeight="1">
      <c r="A10" s="378">
        <v>0.54166666666666663</v>
      </c>
      <c r="B10" s="378">
        <v>0.29166666666666663</v>
      </c>
      <c r="C10" s="431"/>
      <c r="D10" s="390"/>
      <c r="E10" s="431"/>
      <c r="F10" s="390"/>
      <c r="G10" s="433" t="s">
        <v>915</v>
      </c>
      <c r="H10" s="390"/>
      <c r="I10" s="436" t="s">
        <v>915</v>
      </c>
      <c r="J10" s="390"/>
      <c r="K10" s="436" t="s">
        <v>915</v>
      </c>
      <c r="L10" s="390"/>
      <c r="M10" s="436" t="s">
        <v>915</v>
      </c>
      <c r="N10" s="390"/>
      <c r="O10" s="437"/>
      <c r="P10" s="390"/>
      <c r="Q10" s="378">
        <v>0.54166666666666663</v>
      </c>
      <c r="R10" s="378">
        <v>0.29166666666666663</v>
      </c>
    </row>
    <row r="11" spans="1:20" ht="19.95" customHeight="1">
      <c r="A11" s="378">
        <v>0.5625</v>
      </c>
      <c r="B11" s="378">
        <v>0.31249999999999994</v>
      </c>
      <c r="C11" s="431"/>
      <c r="D11" s="390"/>
      <c r="E11" s="431"/>
      <c r="F11" s="390"/>
      <c r="G11" s="434"/>
      <c r="H11" s="390"/>
      <c r="I11" s="436"/>
      <c r="J11" s="390"/>
      <c r="K11" s="436"/>
      <c r="L11" s="390"/>
      <c r="M11" s="436"/>
      <c r="N11" s="390"/>
      <c r="O11" s="436" t="s">
        <v>915</v>
      </c>
      <c r="P11" s="390"/>
      <c r="Q11" s="378">
        <v>0.5625</v>
      </c>
      <c r="R11" s="378">
        <v>0.31249999999999994</v>
      </c>
    </row>
    <row r="12" spans="1:20" ht="19.95" customHeight="1">
      <c r="A12" s="378">
        <v>0.58333333333333337</v>
      </c>
      <c r="B12" s="378">
        <v>0.33333333333333326</v>
      </c>
      <c r="C12" s="431"/>
      <c r="D12" s="390"/>
      <c r="E12" s="431"/>
      <c r="F12" s="390"/>
      <c r="G12" s="430" t="s">
        <v>1617</v>
      </c>
      <c r="H12" s="390"/>
      <c r="I12" s="438" t="s">
        <v>966</v>
      </c>
      <c r="J12" s="390"/>
      <c r="K12" s="438" t="s">
        <v>1613</v>
      </c>
      <c r="L12" s="390"/>
      <c r="M12" s="439" t="s">
        <v>1634</v>
      </c>
      <c r="N12" s="390"/>
      <c r="O12" s="436"/>
      <c r="P12" s="390"/>
      <c r="Q12" s="378">
        <v>0.58333333333333337</v>
      </c>
      <c r="R12" s="378">
        <v>0.33333333333333326</v>
      </c>
    </row>
    <row r="13" spans="1:20" ht="19.95" customHeight="1">
      <c r="A13" s="378">
        <v>0.60416666666666674</v>
      </c>
      <c r="B13" s="378">
        <v>0.35416666666666657</v>
      </c>
      <c r="C13" s="431"/>
      <c r="D13" s="390"/>
      <c r="E13" s="431"/>
      <c r="F13" s="390"/>
      <c r="G13" s="431"/>
      <c r="H13" s="390"/>
      <c r="I13" s="438"/>
      <c r="J13" s="390"/>
      <c r="K13" s="438"/>
      <c r="L13" s="390"/>
      <c r="M13" s="439"/>
      <c r="N13" s="390"/>
      <c r="O13" s="439" t="s">
        <v>1616</v>
      </c>
      <c r="P13" s="390"/>
      <c r="Q13" s="378">
        <v>0.60416666666666674</v>
      </c>
      <c r="R13" s="378">
        <v>0.35416666666666657</v>
      </c>
    </row>
    <row r="14" spans="1:20" ht="19.95" customHeight="1">
      <c r="A14" s="378">
        <v>0.62500000000000011</v>
      </c>
      <c r="B14" s="378">
        <v>0.37499999999999989</v>
      </c>
      <c r="C14" s="431"/>
      <c r="D14" s="390"/>
      <c r="E14" s="431"/>
      <c r="F14" s="390"/>
      <c r="G14" s="431"/>
      <c r="H14" s="390"/>
      <c r="I14" s="438"/>
      <c r="J14" s="390"/>
      <c r="K14" s="438"/>
      <c r="L14" s="390"/>
      <c r="M14" s="439"/>
      <c r="N14" s="390"/>
      <c r="O14" s="439"/>
      <c r="P14" s="390"/>
      <c r="Q14" s="378">
        <v>0.62500000000000011</v>
      </c>
      <c r="R14" s="378">
        <v>0.37499999999999989</v>
      </c>
    </row>
    <row r="15" spans="1:20" ht="19.95" customHeight="1">
      <c r="A15" s="378">
        <v>0.64583333333333348</v>
      </c>
      <c r="B15" s="378">
        <v>0.3958333333333332</v>
      </c>
      <c r="C15" s="431"/>
      <c r="D15" s="390"/>
      <c r="E15" s="431"/>
      <c r="F15" s="390"/>
      <c r="G15" s="431"/>
      <c r="H15" s="390"/>
      <c r="I15" s="438"/>
      <c r="J15" s="390"/>
      <c r="K15" s="438"/>
      <c r="L15" s="390"/>
      <c r="M15" s="439"/>
      <c r="N15" s="390"/>
      <c r="O15" s="439"/>
      <c r="P15" s="390"/>
      <c r="Q15" s="378">
        <v>0.64583333333333348</v>
      </c>
      <c r="R15" s="378">
        <v>0.3958333333333332</v>
      </c>
    </row>
    <row r="16" spans="1:20" ht="19.95" customHeight="1">
      <c r="A16" s="378">
        <v>0.66666666666666685</v>
      </c>
      <c r="B16" s="378">
        <v>0.41666666666666652</v>
      </c>
      <c r="C16" s="431"/>
      <c r="D16" s="390"/>
      <c r="E16" s="431"/>
      <c r="F16" s="390"/>
      <c r="G16" s="432"/>
      <c r="H16" s="390"/>
      <c r="I16" s="438"/>
      <c r="J16" s="390"/>
      <c r="K16" s="438"/>
      <c r="L16" s="390"/>
      <c r="M16" s="438" t="s">
        <v>1618</v>
      </c>
      <c r="N16" s="390"/>
      <c r="O16" s="437" t="s">
        <v>1637</v>
      </c>
      <c r="P16" s="390"/>
      <c r="Q16" s="378">
        <v>0.66666666666666685</v>
      </c>
      <c r="R16" s="378">
        <v>0.41666666666666652</v>
      </c>
    </row>
    <row r="17" spans="1:18" ht="19.95" customHeight="1">
      <c r="A17" s="378">
        <v>0.68750000000000022</v>
      </c>
      <c r="B17" s="378">
        <v>0.4375</v>
      </c>
      <c r="C17" s="431"/>
      <c r="D17" s="390"/>
      <c r="E17" s="431"/>
      <c r="F17" s="390"/>
      <c r="G17" s="379" t="s">
        <v>595</v>
      </c>
      <c r="H17" s="390"/>
      <c r="I17" s="439" t="s">
        <v>595</v>
      </c>
      <c r="J17" s="390"/>
      <c r="K17" s="438"/>
      <c r="L17" s="390"/>
      <c r="M17" s="438"/>
      <c r="N17" s="390"/>
      <c r="O17" s="437"/>
      <c r="P17" s="390"/>
      <c r="Q17" s="378">
        <v>0.68750000000000022</v>
      </c>
      <c r="R17" s="378">
        <v>0.4375</v>
      </c>
    </row>
    <row r="18" spans="1:18" ht="19.95" customHeight="1">
      <c r="A18" s="378">
        <v>0.70833333333333359</v>
      </c>
      <c r="B18" s="378">
        <v>0.45833333333333398</v>
      </c>
      <c r="C18" s="431"/>
      <c r="D18" s="390"/>
      <c r="E18" s="431"/>
      <c r="F18" s="390"/>
      <c r="G18" s="438" t="s">
        <v>1617</v>
      </c>
      <c r="H18" s="390"/>
      <c r="I18" s="439"/>
      <c r="J18" s="390"/>
      <c r="K18" s="379" t="s">
        <v>595</v>
      </c>
      <c r="L18" s="390"/>
      <c r="M18" s="439" t="s">
        <v>1636</v>
      </c>
      <c r="N18" s="390"/>
      <c r="O18" s="450" t="s">
        <v>1620</v>
      </c>
      <c r="P18" s="390"/>
      <c r="Q18" s="378">
        <v>0.70833333333333359</v>
      </c>
      <c r="R18" s="378">
        <v>0.45833333333333398</v>
      </c>
    </row>
    <row r="19" spans="1:18" ht="19.95" customHeight="1">
      <c r="A19" s="378">
        <v>0.72916666666666696</v>
      </c>
      <c r="B19" s="378">
        <v>0.47916666666666702</v>
      </c>
      <c r="C19" s="431"/>
      <c r="D19" s="390"/>
      <c r="E19" s="431"/>
      <c r="F19" s="390"/>
      <c r="G19" s="438"/>
      <c r="H19" s="390"/>
      <c r="I19" s="438" t="s">
        <v>1619</v>
      </c>
      <c r="J19" s="390"/>
      <c r="K19" s="438" t="s">
        <v>969</v>
      </c>
      <c r="L19" s="390"/>
      <c r="M19" s="439"/>
      <c r="N19" s="390"/>
      <c r="O19" s="450"/>
      <c r="P19" s="390"/>
      <c r="Q19" s="378">
        <v>0.72916666666666696</v>
      </c>
      <c r="R19" s="378">
        <v>0.47916666666666702</v>
      </c>
    </row>
    <row r="20" spans="1:18" ht="19.95" customHeight="1">
      <c r="A20" s="378">
        <v>0.75</v>
      </c>
      <c r="B20" s="378">
        <v>0.5</v>
      </c>
      <c r="C20" s="431"/>
      <c r="D20" s="390"/>
      <c r="E20" s="431"/>
      <c r="F20" s="390"/>
      <c r="G20" s="438"/>
      <c r="H20" s="390"/>
      <c r="I20" s="438"/>
      <c r="J20" s="390"/>
      <c r="K20" s="438"/>
      <c r="L20" s="390"/>
      <c r="M20" s="439"/>
      <c r="N20" s="390"/>
      <c r="O20" s="450"/>
      <c r="P20" s="390"/>
      <c r="Q20" s="378">
        <v>0.75</v>
      </c>
      <c r="R20" s="378">
        <v>0.5</v>
      </c>
    </row>
    <row r="21" spans="1:18" ht="19.95" customHeight="1">
      <c r="A21" s="378">
        <v>0.77083333333333404</v>
      </c>
      <c r="B21" s="378">
        <v>0.52083333333333404</v>
      </c>
      <c r="C21" s="432"/>
      <c r="D21" s="390"/>
      <c r="E21" s="432"/>
      <c r="F21" s="390"/>
      <c r="G21" s="428" t="s">
        <v>1632</v>
      </c>
      <c r="H21" s="390"/>
      <c r="I21" s="439" t="s">
        <v>1632</v>
      </c>
      <c r="J21" s="390"/>
      <c r="K21" s="439" t="s">
        <v>1632</v>
      </c>
      <c r="L21" s="390"/>
      <c r="M21" s="439"/>
      <c r="N21" s="390"/>
      <c r="O21" s="450"/>
      <c r="P21" s="390"/>
      <c r="Q21" s="378">
        <v>0.77083333333333404</v>
      </c>
      <c r="R21" s="378">
        <v>0.52083333333333404</v>
      </c>
    </row>
    <row r="22" spans="1:18" ht="19.95" customHeight="1">
      <c r="A22" s="381">
        <v>0.79166666666666696</v>
      </c>
      <c r="B22" s="381">
        <v>0.54166666666666696</v>
      </c>
      <c r="C22" s="428" t="s">
        <v>1635</v>
      </c>
      <c r="D22" s="390"/>
      <c r="E22" s="428" t="s">
        <v>1635</v>
      </c>
      <c r="F22" s="390"/>
      <c r="G22" s="429"/>
      <c r="H22" s="390"/>
      <c r="I22" s="439"/>
      <c r="J22" s="390"/>
      <c r="K22" s="439"/>
      <c r="L22" s="390"/>
      <c r="M22" s="439"/>
      <c r="N22" s="390"/>
      <c r="O22" s="440" t="s">
        <v>1633</v>
      </c>
      <c r="P22" s="390"/>
      <c r="Q22" s="381">
        <v>0.79166666666666696</v>
      </c>
      <c r="R22" s="381">
        <v>0.54166666666666696</v>
      </c>
    </row>
    <row r="23" spans="1:18" ht="19.95" customHeight="1">
      <c r="A23" s="381">
        <v>0.8125</v>
      </c>
      <c r="B23" s="381">
        <v>0.5625</v>
      </c>
      <c r="C23" s="429"/>
      <c r="D23" s="390"/>
      <c r="E23" s="429"/>
      <c r="F23" s="390"/>
      <c r="G23" s="447" t="s">
        <v>1633</v>
      </c>
      <c r="H23" s="390"/>
      <c r="I23" s="426" t="s">
        <v>1633</v>
      </c>
      <c r="J23" s="390"/>
      <c r="K23" s="426" t="s">
        <v>1633</v>
      </c>
      <c r="L23" s="390"/>
      <c r="M23" s="426" t="s">
        <v>1633</v>
      </c>
      <c r="N23" s="390"/>
      <c r="O23" s="440"/>
      <c r="P23" s="390"/>
      <c r="Q23" s="381">
        <v>0.8125</v>
      </c>
      <c r="R23" s="381">
        <v>0.5625</v>
      </c>
    </row>
    <row r="24" spans="1:18" ht="19.95" customHeight="1">
      <c r="A24" s="381">
        <v>0.83333333333333404</v>
      </c>
      <c r="B24" s="381">
        <v>0.58333333333333304</v>
      </c>
      <c r="C24" s="440" t="s">
        <v>1633</v>
      </c>
      <c r="D24" s="390"/>
      <c r="E24" s="440" t="s">
        <v>1633</v>
      </c>
      <c r="F24" s="390"/>
      <c r="G24" s="448"/>
      <c r="H24" s="390"/>
      <c r="I24" s="426"/>
      <c r="J24" s="390"/>
      <c r="K24" s="426"/>
      <c r="L24" s="390"/>
      <c r="M24" s="426"/>
      <c r="N24" s="390"/>
      <c r="O24" s="440"/>
      <c r="P24" s="390"/>
      <c r="Q24" s="381">
        <v>0.83333333333333404</v>
      </c>
      <c r="R24" s="381">
        <v>0.58333333333333304</v>
      </c>
    </row>
    <row r="25" spans="1:18" ht="19.95" customHeight="1">
      <c r="A25" s="381">
        <v>0.85416666666666696</v>
      </c>
      <c r="B25" s="381">
        <v>0.60416666666666696</v>
      </c>
      <c r="C25" s="440"/>
      <c r="D25" s="391"/>
      <c r="E25" s="440"/>
      <c r="F25" s="391"/>
      <c r="G25" s="449"/>
      <c r="H25" s="391"/>
      <c r="I25" s="426"/>
      <c r="J25" s="391"/>
      <c r="K25" s="426"/>
      <c r="L25" s="391"/>
      <c r="M25" s="426"/>
      <c r="N25" s="391"/>
      <c r="O25" s="440"/>
      <c r="P25" s="391"/>
      <c r="Q25" s="381">
        <v>0.85416666666666696</v>
      </c>
      <c r="R25" s="381">
        <v>0.60416666666666696</v>
      </c>
    </row>
    <row r="33" spans="2:15" ht="16.05" customHeight="1">
      <c r="B33" s="382" t="s">
        <v>825</v>
      </c>
      <c r="C33" s="382" t="s">
        <v>826</v>
      </c>
      <c r="D33" s="441" t="s">
        <v>1621</v>
      </c>
      <c r="E33" s="442"/>
      <c r="F33" s="442"/>
      <c r="G33" s="443"/>
      <c r="H33" s="382" t="s">
        <v>1622</v>
      </c>
      <c r="L33" s="444" t="s">
        <v>1631</v>
      </c>
      <c r="M33" s="445"/>
      <c r="N33" s="445"/>
      <c r="O33" s="446"/>
    </row>
    <row r="34" spans="2:15" ht="16.05" customHeight="1">
      <c r="B34" s="383">
        <v>1</v>
      </c>
      <c r="C34" s="384">
        <f>Planning!B39</f>
        <v>44285</v>
      </c>
      <c r="D34" s="451" t="s">
        <v>1623</v>
      </c>
      <c r="E34" s="451"/>
      <c r="F34" s="451"/>
      <c r="G34" s="451"/>
      <c r="H34" s="385" t="s">
        <v>586</v>
      </c>
      <c r="L34" s="455" t="s">
        <v>1630</v>
      </c>
      <c r="M34" s="456"/>
      <c r="N34" s="456"/>
      <c r="O34" s="457"/>
    </row>
    <row r="35" spans="2:15" ht="16.05" customHeight="1">
      <c r="B35" s="383" t="s">
        <v>1624</v>
      </c>
      <c r="C35" s="384">
        <f>G5</f>
        <v>44298</v>
      </c>
      <c r="D35" s="451" t="s">
        <v>1625</v>
      </c>
      <c r="E35" s="451"/>
      <c r="F35" s="451"/>
      <c r="G35" s="451"/>
      <c r="H35" s="385" t="s">
        <v>611</v>
      </c>
      <c r="L35" s="458" t="s">
        <v>1626</v>
      </c>
      <c r="M35" s="459"/>
      <c r="N35" s="459"/>
      <c r="O35" s="460"/>
    </row>
    <row r="36" spans="2:15" ht="16.05" customHeight="1">
      <c r="B36" s="383"/>
      <c r="C36" s="384"/>
      <c r="D36" s="451"/>
      <c r="E36" s="451"/>
      <c r="F36" s="451"/>
      <c r="G36" s="451"/>
      <c r="H36" s="385"/>
      <c r="L36" s="461" t="s">
        <v>1627</v>
      </c>
      <c r="M36" s="462"/>
      <c r="N36" s="462"/>
      <c r="O36" s="463"/>
    </row>
    <row r="37" spans="2:15" ht="16.05" customHeight="1">
      <c r="B37" s="383"/>
      <c r="C37" s="384"/>
      <c r="D37" s="451"/>
      <c r="E37" s="451"/>
      <c r="F37" s="451"/>
      <c r="G37" s="451"/>
      <c r="H37" s="385"/>
      <c r="L37" s="452" t="s">
        <v>1628</v>
      </c>
      <c r="M37" s="453"/>
      <c r="N37" s="453"/>
      <c r="O37" s="454"/>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1584</v>
      </c>
      <c r="E12" t="s">
        <v>1583</v>
      </c>
      <c r="F12" t="s">
        <v>881</v>
      </c>
      <c r="G12" t="s">
        <v>406</v>
      </c>
    </row>
    <row r="13" spans="1:7">
      <c r="A13" t="s">
        <v>881</v>
      </c>
      <c r="B13" t="s">
        <v>1316</v>
      </c>
      <c r="C13" t="s">
        <v>873</v>
      </c>
      <c r="D13" t="s">
        <v>1511</v>
      </c>
      <c r="E13" t="s">
        <v>1325</v>
      </c>
      <c r="F13" t="s">
        <v>881</v>
      </c>
      <c r="G13" t="s">
        <v>406</v>
      </c>
    </row>
    <row r="14" spans="1:7">
      <c r="A14" t="s">
        <v>881</v>
      </c>
      <c r="B14" t="s">
        <v>1316</v>
      </c>
      <c r="C14" t="s">
        <v>865</v>
      </c>
      <c r="D14" t="s">
        <v>1584</v>
      </c>
      <c r="E14" t="s">
        <v>1583</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1584</v>
      </c>
      <c r="E25" t="s">
        <v>1583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1584</v>
      </c>
      <c r="E12" t="s">
        <v>1583</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1584</v>
      </c>
      <c r="E14" t="s">
        <v>1583</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1" t="s">
        <v>1164</v>
      </c>
      <c r="B1" s="491"/>
      <c r="C1" s="491"/>
      <c r="D1" s="491"/>
      <c r="E1" s="491"/>
      <c r="F1" s="491"/>
      <c r="G1" s="491"/>
      <c r="H1" s="61"/>
      <c r="I1" s="115" t="s">
        <v>904</v>
      </c>
      <c r="J1" s="116" t="s">
        <v>905</v>
      </c>
      <c r="K1" s="112" t="s">
        <v>906</v>
      </c>
      <c r="L1" s="112" t="s">
        <v>907</v>
      </c>
      <c r="M1" s="63"/>
      <c r="N1" s="63"/>
      <c r="O1" s="63"/>
      <c r="P1" s="63"/>
    </row>
    <row r="2" spans="1:16" ht="14.7" customHeight="1">
      <c r="A2" s="492" t="str">
        <f>CONCATENATE(TEXT(Planning!B41,"[$-x-sysdate]dddd, mmmm dd, yyyy")," (Technology test)")</f>
        <v>Thursday, 08 April 2021 (Technology test)</v>
      </c>
      <c r="B2" s="492"/>
      <c r="C2" s="492"/>
      <c r="D2" s="492"/>
      <c r="E2" s="492"/>
      <c r="F2" s="492"/>
      <c r="G2" s="492"/>
      <c r="H2" s="61"/>
      <c r="I2" s="112"/>
      <c r="J2" s="112"/>
      <c r="K2" s="112"/>
      <c r="L2" s="63"/>
      <c r="M2" s="63"/>
      <c r="N2" s="63"/>
      <c r="O2" s="63"/>
      <c r="P2" s="63"/>
    </row>
    <row r="3" spans="1:16">
      <c r="A3" s="481" t="str">
        <f>J3</f>
        <v>Day 1-2</v>
      </c>
      <c r="B3" s="481"/>
      <c r="C3" s="484" t="str">
        <f>CONCATENATE(TEXT(I3,"[$-x-sysdate]dddd, mmmm dd, yyyy")," to ",TEXT(K3,"[$-x-sysdate]dddd, mmmm dd, yyyy"))</f>
        <v>Saturday, 10 April 2021 to Sunday, 11 April 2021</v>
      </c>
      <c r="D3" s="484"/>
      <c r="E3" s="484"/>
      <c r="F3" s="481" t="str">
        <f>A3</f>
        <v>Day 1-2</v>
      </c>
      <c r="G3" s="481"/>
      <c r="H3" s="61"/>
      <c r="I3" s="117">
        <f>Planning!B42</f>
        <v>44296</v>
      </c>
      <c r="J3" s="118" t="str">
        <f>_xlfn.CONCAT("Day 1-",L3)</f>
        <v>Day 1-2</v>
      </c>
      <c r="K3" s="119">
        <f>Planning!B42+Planning!B44-1</f>
        <v>44297</v>
      </c>
      <c r="L3" s="112">
        <f>K3-I3+1</f>
        <v>2</v>
      </c>
      <c r="M3" s="63"/>
      <c r="N3" s="63"/>
      <c r="O3" s="63"/>
      <c r="P3" s="63"/>
    </row>
    <row r="4" spans="1:16" ht="28.8">
      <c r="A4" s="481" t="s">
        <v>908</v>
      </c>
      <c r="B4" s="481"/>
      <c r="C4" s="64" t="e">
        <f>J11</f>
        <v>#REF!</v>
      </c>
      <c r="D4" s="64" t="e">
        <f>M11</f>
        <v>#REF!</v>
      </c>
      <c r="E4" s="64" t="str">
        <f>CONCATENATE("LA team: ",'Agreement 3'!B7," and ATMs if applicable")</f>
        <v>LA team: Dr Pieter van Zyl and ATMs if applicable</v>
      </c>
      <c r="F4" s="481" t="s">
        <v>909</v>
      </c>
      <c r="G4" s="481"/>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0" t="s">
        <v>910</v>
      </c>
      <c r="D5" s="470" t="s">
        <v>910</v>
      </c>
      <c r="E5" s="470"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0"/>
      <c r="D6" s="470"/>
      <c r="E6" s="470"/>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0"/>
      <c r="D7" s="470"/>
      <c r="E7" s="470"/>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0"/>
      <c r="D8" s="470"/>
      <c r="E8" s="470"/>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0"/>
      <c r="D9" s="470"/>
      <c r="E9" s="470"/>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0"/>
      <c r="D10" s="470"/>
      <c r="E10" s="470"/>
      <c r="F10" s="66">
        <v>0.375</v>
      </c>
      <c r="G10" s="66">
        <v>0.41666666666666669</v>
      </c>
      <c r="H10" s="61"/>
      <c r="I10" s="119"/>
      <c r="J10" s="63"/>
      <c r="K10" s="63"/>
      <c r="L10" s="63"/>
      <c r="M10" s="63"/>
      <c r="N10" s="63"/>
      <c r="O10" s="63"/>
      <c r="P10" s="63"/>
    </row>
    <row r="11" spans="1:16" ht="18" customHeight="1">
      <c r="A11" s="66">
        <v>0.66666666666666696</v>
      </c>
      <c r="B11" s="66">
        <v>0.70833333333333337</v>
      </c>
      <c r="C11" s="470"/>
      <c r="D11" s="470"/>
      <c r="E11" s="470"/>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0"/>
      <c r="D12" s="470"/>
      <c r="E12" s="47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0"/>
      <c r="D13" s="470"/>
      <c r="E13" s="470"/>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7" t="str">
        <f>CONCATENATE("Schedule above includes ",Planning!B43," non-working day(s).")</f>
        <v>Schedule above includes 0 non-working day(s).</v>
      </c>
      <c r="B15" s="487"/>
      <c r="C15" s="487"/>
      <c r="D15" s="487"/>
      <c r="E15" s="487"/>
      <c r="F15" s="487"/>
      <c r="G15" s="487"/>
      <c r="H15" s="61"/>
      <c r="I15" s="112"/>
      <c r="K15" s="114"/>
      <c r="L15" s="112" t="e">
        <f>'P1-OrgScope'!#REF!</f>
        <v>#REF!</v>
      </c>
      <c r="M15" s="63"/>
      <c r="N15" s="63"/>
      <c r="O15" s="63"/>
      <c r="P15" s="63"/>
    </row>
    <row r="16" spans="1:16">
      <c r="A16" s="485" t="str">
        <f>J4</f>
        <v>Day 3</v>
      </c>
      <c r="B16" s="485"/>
      <c r="C16" s="486">
        <f>I4</f>
        <v>44298</v>
      </c>
      <c r="D16" s="486"/>
      <c r="E16" s="486"/>
      <c r="F16" s="485" t="str">
        <f>A16</f>
        <v>Day 3</v>
      </c>
      <c r="G16" s="485"/>
      <c r="H16" s="61"/>
      <c r="I16" s="112"/>
      <c r="K16" s="114"/>
      <c r="L16" s="112" t="e">
        <f>'P1-OrgScope'!#REF!</f>
        <v>#REF!</v>
      </c>
      <c r="M16" s="63"/>
      <c r="N16" s="63"/>
      <c r="O16" s="63"/>
      <c r="P16" s="63"/>
    </row>
    <row r="17" spans="1:18" ht="28.8">
      <c r="A17" s="485" t="s">
        <v>908</v>
      </c>
      <c r="B17" s="485"/>
      <c r="C17" s="67" t="e">
        <f>C4</f>
        <v>#REF!</v>
      </c>
      <c r="D17" s="67" t="e">
        <f>D4</f>
        <v>#REF!</v>
      </c>
      <c r="E17" s="67" t="str">
        <f>E4</f>
        <v>LA team: Dr Pieter van Zyl and ATMs if applicable</v>
      </c>
      <c r="F17" s="485" t="s">
        <v>909</v>
      </c>
      <c r="G17" s="48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8" t="s">
        <v>963</v>
      </c>
      <c r="D19" s="489"/>
      <c r="E19" s="490"/>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0" t="s">
        <v>915</v>
      </c>
      <c r="D22" s="470"/>
      <c r="E22" s="47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0"/>
      <c r="D23" s="470"/>
      <c r="E23" s="47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2" t="s">
        <v>965</v>
      </c>
      <c r="D24" s="482"/>
      <c r="E24" s="482"/>
      <c r="F24" s="66">
        <v>0.29166666666666669</v>
      </c>
      <c r="G24" s="66">
        <v>0.3125</v>
      </c>
      <c r="H24" s="61"/>
      <c r="I24" s="63"/>
      <c r="J24" s="63"/>
      <c r="K24" s="120"/>
      <c r="L24" s="120"/>
      <c r="M24" s="120"/>
      <c r="N24" s="63"/>
      <c r="O24" s="63"/>
      <c r="P24" s="63"/>
    </row>
    <row r="25" spans="1:18" ht="18.600000000000001" customHeight="1">
      <c r="A25" s="66">
        <v>0.5625</v>
      </c>
      <c r="B25" s="66">
        <v>0.58333333333333337</v>
      </c>
      <c r="C25" s="482"/>
      <c r="D25" s="482"/>
      <c r="E25" s="48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2"/>
      <c r="D26" s="482"/>
      <c r="E26" s="48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2"/>
      <c r="E27" s="482"/>
      <c r="F27" s="66">
        <v>0.35416666666666669</v>
      </c>
      <c r="G27" s="66">
        <v>0.375</v>
      </c>
      <c r="H27" s="61"/>
      <c r="I27" s="63"/>
      <c r="J27" s="63"/>
      <c r="K27" s="63"/>
      <c r="L27" s="63"/>
      <c r="M27" s="63"/>
      <c r="N27" s="63"/>
      <c r="O27" s="63"/>
      <c r="P27" s="63"/>
    </row>
    <row r="28" spans="1:18" ht="18.600000000000001" customHeight="1">
      <c r="A28" s="66">
        <v>0.625</v>
      </c>
      <c r="B28" s="66">
        <v>0.64583333333333337</v>
      </c>
      <c r="C28" s="470" t="s">
        <v>916</v>
      </c>
      <c r="D28" s="470"/>
      <c r="E28" s="47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2" t="s">
        <v>1592</v>
      </c>
      <c r="D29" s="482"/>
      <c r="E29" s="48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2"/>
      <c r="D30" s="482"/>
      <c r="E30" s="48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2"/>
      <c r="D31" s="482"/>
      <c r="E31" s="48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2"/>
      <c r="E32" s="48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0" t="s">
        <v>916</v>
      </c>
      <c r="D33" s="470"/>
      <c r="E33" s="470"/>
      <c r="F33" s="66">
        <v>0.47916666666666669</v>
      </c>
      <c r="G33" s="66">
        <v>0.5</v>
      </c>
      <c r="H33" s="61"/>
      <c r="I33" s="63"/>
      <c r="J33" s="63"/>
      <c r="K33" s="63"/>
      <c r="L33" s="63"/>
      <c r="M33" s="63"/>
      <c r="N33" s="63"/>
      <c r="O33" s="63"/>
      <c r="P33" s="63"/>
    </row>
    <row r="34" spans="1:16" ht="18.600000000000001" customHeight="1">
      <c r="A34" s="66">
        <v>0.75</v>
      </c>
      <c r="B34" s="66">
        <v>0.83333333333333337</v>
      </c>
      <c r="C34" s="470" t="s">
        <v>917</v>
      </c>
      <c r="D34" s="470"/>
      <c r="E34" s="470"/>
      <c r="F34" s="66">
        <v>0.5</v>
      </c>
      <c r="G34" s="66">
        <v>0.58333333333333337</v>
      </c>
      <c r="H34" s="61"/>
      <c r="I34" s="63"/>
      <c r="J34" s="63"/>
      <c r="K34" s="63"/>
      <c r="L34" s="63"/>
      <c r="M34" s="63"/>
      <c r="N34" s="63"/>
      <c r="O34" s="63"/>
      <c r="P34" s="63"/>
    </row>
    <row r="35" spans="1:16">
      <c r="A35" s="485" t="str">
        <f>J5</f>
        <v>Day 4</v>
      </c>
      <c r="B35" s="485"/>
      <c r="C35" s="486">
        <f>I5</f>
        <v>44299</v>
      </c>
      <c r="D35" s="486"/>
      <c r="E35" s="486"/>
      <c r="F35" s="485" t="str">
        <f>A35</f>
        <v>Day 4</v>
      </c>
      <c r="G35" s="485"/>
      <c r="H35" s="70"/>
    </row>
    <row r="36" spans="1:16" ht="28.8">
      <c r="A36" s="485" t="s">
        <v>908</v>
      </c>
      <c r="B36" s="485"/>
      <c r="C36" s="67" t="e">
        <f>C17</f>
        <v>#REF!</v>
      </c>
      <c r="D36" s="67" t="e">
        <f>D17</f>
        <v>#REF!</v>
      </c>
      <c r="E36" s="67" t="str">
        <f>E17</f>
        <v>LA team: Dr Pieter van Zyl and ATMs if applicable</v>
      </c>
      <c r="F36" s="485" t="s">
        <v>909</v>
      </c>
      <c r="G36" s="485"/>
      <c r="H36" s="70"/>
    </row>
    <row r="37" spans="1:16" ht="18" customHeight="1">
      <c r="A37" s="66">
        <v>0.41666666666666669</v>
      </c>
      <c r="B37" s="66">
        <v>0.4375</v>
      </c>
      <c r="C37" s="470" t="s">
        <v>916</v>
      </c>
      <c r="D37" s="470"/>
      <c r="E37" s="68" t="s">
        <v>914</v>
      </c>
      <c r="F37" s="66">
        <v>0.16666666666666666</v>
      </c>
      <c r="G37" s="66">
        <v>0.1875</v>
      </c>
      <c r="H37" s="70"/>
    </row>
    <row r="38" spans="1:16" ht="18" customHeight="1">
      <c r="A38" s="66">
        <v>0.4375</v>
      </c>
      <c r="B38" s="66">
        <v>0.45833333333333331</v>
      </c>
      <c r="C38" s="482" t="s">
        <v>966</v>
      </c>
      <c r="D38" s="482"/>
      <c r="E38" s="482"/>
      <c r="F38" s="66">
        <v>0.1875</v>
      </c>
      <c r="G38" s="66">
        <v>0.20833333333333334</v>
      </c>
      <c r="H38" s="70"/>
    </row>
    <row r="39" spans="1:16" ht="18" customHeight="1">
      <c r="A39" s="66">
        <v>0.45833333333333331</v>
      </c>
      <c r="B39" s="66">
        <v>0.47916666666666669</v>
      </c>
      <c r="C39" s="482"/>
      <c r="D39" s="482"/>
      <c r="E39" s="482"/>
      <c r="F39" s="66">
        <v>0.20833333333333334</v>
      </c>
      <c r="G39" s="66">
        <v>0.22916666666666666</v>
      </c>
      <c r="H39" s="70"/>
    </row>
    <row r="40" spans="1:16" ht="18" customHeight="1">
      <c r="A40" s="66">
        <v>0.47916666666666669</v>
      </c>
      <c r="B40" s="66">
        <v>0.5</v>
      </c>
      <c r="C40" s="482"/>
      <c r="D40" s="482"/>
      <c r="E40" s="482"/>
      <c r="F40" s="66">
        <v>0.22916666666666666</v>
      </c>
      <c r="G40" s="66">
        <v>0.25</v>
      </c>
      <c r="H40" s="70"/>
    </row>
    <row r="41" spans="1:16" ht="18" customHeight="1">
      <c r="A41" s="66">
        <v>0.5</v>
      </c>
      <c r="B41" s="66">
        <v>0.52083333333333337</v>
      </c>
      <c r="C41" s="470" t="s">
        <v>915</v>
      </c>
      <c r="D41" s="470"/>
      <c r="E41" s="470"/>
      <c r="F41" s="66">
        <v>0.25</v>
      </c>
      <c r="G41" s="66">
        <v>0.27083333333333331</v>
      </c>
      <c r="H41" s="70"/>
    </row>
    <row r="42" spans="1:16" ht="18" customHeight="1">
      <c r="A42" s="66">
        <v>0.52083333333333337</v>
      </c>
      <c r="B42" s="66">
        <v>0.54166666666666663</v>
      </c>
      <c r="C42" s="470"/>
      <c r="D42" s="470"/>
      <c r="E42" s="470"/>
      <c r="F42" s="66">
        <v>0.27083333333333331</v>
      </c>
      <c r="G42" s="66">
        <v>0.29166666666666669</v>
      </c>
      <c r="H42" s="70"/>
    </row>
    <row r="43" spans="1:16" ht="18" customHeight="1">
      <c r="A43" s="66">
        <v>0.54166666666666663</v>
      </c>
      <c r="B43" s="66">
        <v>0.5625</v>
      </c>
      <c r="C43" s="482" t="s">
        <v>1593</v>
      </c>
      <c r="D43" s="482"/>
      <c r="E43" s="482"/>
      <c r="F43" s="66">
        <v>0.29166666666666669</v>
      </c>
      <c r="G43" s="66">
        <v>0.3125</v>
      </c>
      <c r="H43" s="70"/>
    </row>
    <row r="44" spans="1:16" ht="18" customHeight="1">
      <c r="A44" s="66">
        <v>0.5625</v>
      </c>
      <c r="B44" s="66">
        <v>0.58333333333333337</v>
      </c>
      <c r="C44" s="482"/>
      <c r="D44" s="482"/>
      <c r="E44" s="482"/>
      <c r="F44" s="66">
        <v>0.3125</v>
      </c>
      <c r="G44" s="66">
        <v>0.33333333333333331</v>
      </c>
      <c r="H44" s="70"/>
    </row>
    <row r="45" spans="1:16" ht="18" customHeight="1">
      <c r="A45" s="66">
        <v>0.58333333333333337</v>
      </c>
      <c r="B45" s="66">
        <v>0.60416666666666663</v>
      </c>
      <c r="C45" s="482"/>
      <c r="D45" s="482"/>
      <c r="E45" s="482"/>
      <c r="F45" s="66">
        <v>0.33333333333333331</v>
      </c>
      <c r="G45" s="66">
        <v>0.35416666666666669</v>
      </c>
      <c r="H45" s="70"/>
    </row>
    <row r="46" spans="1:16" ht="18" customHeight="1">
      <c r="A46" s="66">
        <v>0.60416666666666663</v>
      </c>
      <c r="B46" s="66">
        <v>0.625</v>
      </c>
      <c r="C46" s="482"/>
      <c r="D46" s="482"/>
      <c r="E46" s="482"/>
      <c r="F46" s="66">
        <v>0.35416666666666669</v>
      </c>
      <c r="G46" s="66">
        <v>0.375</v>
      </c>
      <c r="H46" s="70"/>
    </row>
    <row r="47" spans="1:16" ht="18" customHeight="1">
      <c r="A47" s="66">
        <v>0.625</v>
      </c>
      <c r="B47" s="66">
        <v>0.64583333333333337</v>
      </c>
      <c r="C47" s="482"/>
      <c r="D47" s="482"/>
      <c r="E47" s="482"/>
      <c r="F47" s="66">
        <v>0.375</v>
      </c>
      <c r="G47" s="66">
        <v>0.39583333333333331</v>
      </c>
      <c r="H47" s="70"/>
    </row>
    <row r="48" spans="1:16" ht="18" customHeight="1">
      <c r="A48" s="66">
        <v>0.64583333333333337</v>
      </c>
      <c r="B48" s="66">
        <v>0.66666666666666663</v>
      </c>
      <c r="C48" s="470" t="s">
        <v>916</v>
      </c>
      <c r="D48" s="470"/>
      <c r="E48" s="470" t="s">
        <v>914</v>
      </c>
      <c r="F48" s="66">
        <v>0.39583333333333331</v>
      </c>
      <c r="G48" s="66">
        <v>0.41666666666666669</v>
      </c>
      <c r="H48" s="70"/>
    </row>
    <row r="49" spans="1:8" ht="18" customHeight="1">
      <c r="A49" s="66">
        <v>0.66666666666666663</v>
      </c>
      <c r="B49" s="66">
        <v>0.6875</v>
      </c>
      <c r="C49" s="470"/>
      <c r="D49" s="470"/>
      <c r="E49" s="470"/>
      <c r="F49" s="66">
        <v>0.41666666666666669</v>
      </c>
      <c r="G49" s="66">
        <v>0.4375</v>
      </c>
      <c r="H49" s="70"/>
    </row>
    <row r="50" spans="1:8" ht="18" customHeight="1">
      <c r="A50" s="66">
        <v>0.6875</v>
      </c>
      <c r="B50" s="66">
        <v>0.70833333333333337</v>
      </c>
      <c r="C50" s="482" t="s">
        <v>967</v>
      </c>
      <c r="D50" s="482"/>
      <c r="E50" s="482"/>
      <c r="F50" s="66">
        <v>0.4375</v>
      </c>
      <c r="G50" s="66">
        <v>0.45833333333333331</v>
      </c>
      <c r="H50" s="70"/>
    </row>
    <row r="51" spans="1:8" ht="18" customHeight="1">
      <c r="A51" s="66">
        <v>0.70833333333333337</v>
      </c>
      <c r="B51" s="66">
        <v>0.72916666666666663</v>
      </c>
      <c r="C51" s="482"/>
      <c r="D51" s="482"/>
      <c r="E51" s="482"/>
      <c r="F51" s="66">
        <v>0.45833333333333331</v>
      </c>
      <c r="G51" s="66">
        <v>0.47916666666666669</v>
      </c>
      <c r="H51" s="70"/>
    </row>
    <row r="52" spans="1:8" ht="18" customHeight="1">
      <c r="A52" s="66">
        <v>0.72916666666666663</v>
      </c>
      <c r="B52" s="66">
        <v>0.75</v>
      </c>
      <c r="C52" s="470" t="s">
        <v>916</v>
      </c>
      <c r="D52" s="470"/>
      <c r="E52" s="470"/>
      <c r="F52" s="66">
        <v>0.47916666666666669</v>
      </c>
      <c r="G52" s="66">
        <v>0.5</v>
      </c>
      <c r="H52" s="70"/>
    </row>
    <row r="53" spans="1:8" ht="18" customHeight="1">
      <c r="A53" s="66">
        <v>0.75</v>
      </c>
      <c r="B53" s="66">
        <v>0.83333333333333337</v>
      </c>
      <c r="C53" s="470" t="s">
        <v>917</v>
      </c>
      <c r="D53" s="470"/>
      <c r="E53" s="470"/>
      <c r="F53" s="66">
        <v>0.5</v>
      </c>
      <c r="G53" s="66">
        <v>0.58333333333333337</v>
      </c>
      <c r="H53" s="70"/>
    </row>
    <row r="54" spans="1:8">
      <c r="A54" s="481" t="str">
        <f>J6</f>
        <v>Day 5</v>
      </c>
      <c r="B54" s="481"/>
      <c r="C54" s="484">
        <f>I6</f>
        <v>44300</v>
      </c>
      <c r="D54" s="484"/>
      <c r="E54" s="484"/>
      <c r="F54" s="481" t="str">
        <f>A54</f>
        <v>Day 5</v>
      </c>
      <c r="G54" s="481"/>
      <c r="H54" s="70"/>
    </row>
    <row r="55" spans="1:8" ht="28.8">
      <c r="A55" s="481" t="s">
        <v>908</v>
      </c>
      <c r="B55" s="481"/>
      <c r="C55" s="64" t="e">
        <f>C36</f>
        <v>#REF!</v>
      </c>
      <c r="D55" s="64" t="e">
        <f>D36</f>
        <v>#REF!</v>
      </c>
      <c r="E55" s="64" t="str">
        <f>E36</f>
        <v>LA team: Dr Pieter van Zyl and ATMs if applicable</v>
      </c>
      <c r="F55" s="481" t="s">
        <v>909</v>
      </c>
      <c r="G55" s="481"/>
      <c r="H55" s="70"/>
    </row>
    <row r="56" spans="1:8" ht="18" customHeight="1">
      <c r="A56" s="66">
        <v>0.41666666666666669</v>
      </c>
      <c r="B56" s="66">
        <v>0.4375</v>
      </c>
      <c r="C56" s="470" t="s">
        <v>918</v>
      </c>
      <c r="D56" s="470"/>
      <c r="E56" s="68" t="s">
        <v>914</v>
      </c>
      <c r="F56" s="66">
        <v>0.16666666666666666</v>
      </c>
      <c r="G56" s="66">
        <v>0.1875</v>
      </c>
      <c r="H56" s="70"/>
    </row>
    <row r="57" spans="1:8" ht="18" customHeight="1">
      <c r="A57" s="66">
        <v>0.4375</v>
      </c>
      <c r="B57" s="66">
        <v>0.45833333333333331</v>
      </c>
      <c r="C57" s="482" t="s">
        <v>968</v>
      </c>
      <c r="D57" s="482"/>
      <c r="E57" s="482"/>
      <c r="F57" s="66">
        <v>0.1875</v>
      </c>
      <c r="G57" s="66">
        <v>0.20833333333333334</v>
      </c>
      <c r="H57" s="70"/>
    </row>
    <row r="58" spans="1:8" ht="18" customHeight="1">
      <c r="A58" s="66">
        <v>0.45833333333333331</v>
      </c>
      <c r="B58" s="66">
        <v>0.47916666666666669</v>
      </c>
      <c r="C58" s="482"/>
      <c r="D58" s="482"/>
      <c r="E58" s="482"/>
      <c r="F58" s="66">
        <v>0.20833333333333334</v>
      </c>
      <c r="G58" s="66">
        <v>0.22916666666666666</v>
      </c>
      <c r="H58" s="70"/>
    </row>
    <row r="59" spans="1:8" ht="18" customHeight="1">
      <c r="A59" s="66">
        <v>0.47916666666666669</v>
      </c>
      <c r="B59" s="66">
        <v>0.5</v>
      </c>
      <c r="C59" s="482"/>
      <c r="D59" s="482"/>
      <c r="E59" s="482"/>
      <c r="F59" s="66">
        <v>0.22916666666666666</v>
      </c>
      <c r="G59" s="66">
        <v>0.25</v>
      </c>
      <c r="H59" s="70"/>
    </row>
    <row r="60" spans="1:8" ht="18" customHeight="1">
      <c r="A60" s="66">
        <v>0.5</v>
      </c>
      <c r="B60" s="66">
        <v>0.52083333333333337</v>
      </c>
      <c r="C60" s="470" t="s">
        <v>915</v>
      </c>
      <c r="D60" s="470"/>
      <c r="E60" s="470"/>
      <c r="F60" s="66">
        <v>0.25</v>
      </c>
      <c r="G60" s="66">
        <v>0.27083333333333331</v>
      </c>
      <c r="H60" s="70"/>
    </row>
    <row r="61" spans="1:8" ht="18" customHeight="1">
      <c r="A61" s="66">
        <v>0.52083333333333337</v>
      </c>
      <c r="B61" s="66">
        <v>0.54166666666666663</v>
      </c>
      <c r="C61" s="470"/>
      <c r="D61" s="470"/>
      <c r="E61" s="470"/>
      <c r="F61" s="66">
        <v>0.27083333333333331</v>
      </c>
      <c r="G61" s="66">
        <v>0.29166666666666669</v>
      </c>
      <c r="H61" s="70"/>
    </row>
    <row r="62" spans="1:8" ht="18" customHeight="1">
      <c r="A62" s="66">
        <v>0.54166666666666663</v>
      </c>
      <c r="B62" s="66">
        <v>0.5625</v>
      </c>
      <c r="C62" s="482" t="s">
        <v>1594</v>
      </c>
      <c r="D62" s="482"/>
      <c r="E62" s="482"/>
      <c r="F62" s="66">
        <v>0.29166666666666669</v>
      </c>
      <c r="G62" s="66">
        <v>0.3125</v>
      </c>
      <c r="H62" s="70"/>
    </row>
    <row r="63" spans="1:8" ht="18" customHeight="1">
      <c r="A63" s="66">
        <v>0.5625</v>
      </c>
      <c r="B63" s="66">
        <v>0.58333333333333337</v>
      </c>
      <c r="C63" s="482"/>
      <c r="D63" s="482"/>
      <c r="E63" s="482"/>
      <c r="F63" s="66">
        <v>0.3125</v>
      </c>
      <c r="G63" s="66">
        <v>0.33333333333333331</v>
      </c>
      <c r="H63" s="70"/>
    </row>
    <row r="64" spans="1:8" ht="18" customHeight="1">
      <c r="A64" s="66">
        <v>0.58333333333333337</v>
      </c>
      <c r="B64" s="66">
        <v>0.60416666666666663</v>
      </c>
      <c r="C64" s="482"/>
      <c r="D64" s="482"/>
      <c r="E64" s="482"/>
      <c r="F64" s="66">
        <v>0.33333333333333331</v>
      </c>
      <c r="G64" s="66">
        <v>0.35416666666666669</v>
      </c>
      <c r="H64" s="70"/>
    </row>
    <row r="65" spans="1:8" ht="18" customHeight="1">
      <c r="A65" s="66">
        <v>0.60416666666666663</v>
      </c>
      <c r="B65" s="66">
        <v>0.625</v>
      </c>
      <c r="C65" s="482"/>
      <c r="D65" s="482"/>
      <c r="E65" s="482"/>
      <c r="F65" s="66">
        <v>0.35416666666666669</v>
      </c>
      <c r="G65" s="66">
        <v>0.375</v>
      </c>
      <c r="H65" s="70"/>
    </row>
    <row r="66" spans="1:8" ht="18" customHeight="1">
      <c r="A66" s="66">
        <v>0.625</v>
      </c>
      <c r="B66" s="66">
        <v>0.64583333333333337</v>
      </c>
      <c r="C66" s="482"/>
      <c r="D66" s="482"/>
      <c r="E66" s="482"/>
      <c r="F66" s="66">
        <v>0.375</v>
      </c>
      <c r="G66" s="66">
        <v>0.39583333333333331</v>
      </c>
      <c r="H66" s="70"/>
    </row>
    <row r="67" spans="1:8" ht="18" customHeight="1">
      <c r="A67" s="66">
        <v>0.64583333333333337</v>
      </c>
      <c r="B67" s="66">
        <v>0.66666666666666663</v>
      </c>
      <c r="C67" s="482"/>
      <c r="D67" s="482"/>
      <c r="E67" s="482"/>
      <c r="F67" s="66">
        <v>0.39583333333333331</v>
      </c>
      <c r="G67" s="66">
        <v>0.41666666666666669</v>
      </c>
      <c r="H67" s="70"/>
    </row>
    <row r="68" spans="1:8" ht="18" customHeight="1">
      <c r="A68" s="66">
        <v>0.66666666666666663</v>
      </c>
      <c r="B68" s="66">
        <v>0.6875</v>
      </c>
      <c r="C68" s="470" t="s">
        <v>916</v>
      </c>
      <c r="D68" s="470"/>
      <c r="E68" s="470"/>
      <c r="F68" s="66">
        <v>0.41666666666666669</v>
      </c>
      <c r="G68" s="66">
        <v>0.4375</v>
      </c>
      <c r="H68" s="70"/>
    </row>
    <row r="69" spans="1:8" ht="18" customHeight="1">
      <c r="A69" s="66">
        <v>0.6875</v>
      </c>
      <c r="B69" s="66">
        <v>0.70833333333333337</v>
      </c>
      <c r="C69" s="482" t="s">
        <v>969</v>
      </c>
      <c r="D69" s="482"/>
      <c r="E69" s="482"/>
      <c r="F69" s="66">
        <v>0.4375</v>
      </c>
      <c r="G69" s="66">
        <v>0.45833333333333331</v>
      </c>
      <c r="H69" s="70"/>
    </row>
    <row r="70" spans="1:8" ht="18" customHeight="1">
      <c r="A70" s="66">
        <v>0.70833333333333337</v>
      </c>
      <c r="B70" s="66">
        <v>0.72916666666666663</v>
      </c>
      <c r="C70" s="482"/>
      <c r="D70" s="482"/>
      <c r="E70" s="482"/>
      <c r="F70" s="66">
        <v>0.45833333333333331</v>
      </c>
      <c r="G70" s="66">
        <v>0.47916666666666669</v>
      </c>
      <c r="H70" s="70"/>
    </row>
    <row r="71" spans="1:8" ht="18" customHeight="1">
      <c r="A71" s="66">
        <v>0.72916666666666663</v>
      </c>
      <c r="B71" s="66">
        <v>0.75</v>
      </c>
      <c r="C71" s="470" t="s">
        <v>916</v>
      </c>
      <c r="D71" s="470"/>
      <c r="E71" s="470"/>
      <c r="F71" s="66">
        <v>0.47916666666666669</v>
      </c>
      <c r="G71" s="66">
        <v>0.5</v>
      </c>
      <c r="H71" s="70"/>
    </row>
    <row r="72" spans="1:8" ht="18" customHeight="1">
      <c r="A72" s="66">
        <v>0.75</v>
      </c>
      <c r="B72" s="66">
        <v>0.83333333333333337</v>
      </c>
      <c r="C72" s="470" t="s">
        <v>917</v>
      </c>
      <c r="D72" s="470"/>
      <c r="E72" s="470"/>
      <c r="F72" s="66">
        <v>0.5</v>
      </c>
      <c r="G72" s="66">
        <v>0.58333333333333337</v>
      </c>
      <c r="H72" s="70"/>
    </row>
    <row r="73" spans="1:8">
      <c r="A73" s="481" t="str">
        <f>J7</f>
        <v>Day 6</v>
      </c>
      <c r="B73" s="481"/>
      <c r="C73" s="484">
        <f>I7</f>
        <v>44301</v>
      </c>
      <c r="D73" s="484"/>
      <c r="E73" s="484"/>
      <c r="F73" s="481" t="str">
        <f>A73</f>
        <v>Day 6</v>
      </c>
      <c r="G73" s="481"/>
      <c r="H73" s="70"/>
    </row>
    <row r="74" spans="1:8" ht="28.8">
      <c r="A74" s="481" t="s">
        <v>908</v>
      </c>
      <c r="B74" s="481"/>
      <c r="C74" s="64" t="e">
        <f>C55</f>
        <v>#REF!</v>
      </c>
      <c r="D74" s="64" t="e">
        <f>D55</f>
        <v>#REF!</v>
      </c>
      <c r="E74" s="64" t="str">
        <f>E55</f>
        <v>LA team: Dr Pieter van Zyl and ATMs if applicable</v>
      </c>
      <c r="F74" s="481" t="s">
        <v>909</v>
      </c>
      <c r="G74" s="481"/>
      <c r="H74" s="70"/>
    </row>
    <row r="75" spans="1:8" ht="18" customHeight="1">
      <c r="A75" s="66">
        <v>0.41666666666666669</v>
      </c>
      <c r="B75" s="66">
        <v>0.4375</v>
      </c>
      <c r="C75" s="470" t="s">
        <v>916</v>
      </c>
      <c r="D75" s="470"/>
      <c r="E75" s="470"/>
      <c r="F75" s="66">
        <v>0.16666666666666666</v>
      </c>
      <c r="G75" s="66">
        <v>0.1875</v>
      </c>
      <c r="H75" s="70"/>
    </row>
    <row r="76" spans="1:8" ht="18" customHeight="1">
      <c r="A76" s="66">
        <v>0.4375</v>
      </c>
      <c r="B76" s="66">
        <v>0.45833333333333331</v>
      </c>
      <c r="C76" s="482" t="s">
        <v>970</v>
      </c>
      <c r="D76" s="482"/>
      <c r="E76" s="482"/>
      <c r="F76" s="66">
        <v>0.1875</v>
      </c>
      <c r="G76" s="66">
        <v>0.20833333333333334</v>
      </c>
      <c r="H76" s="70"/>
    </row>
    <row r="77" spans="1:8" ht="18" customHeight="1">
      <c r="A77" s="66">
        <v>0.45833333333333331</v>
      </c>
      <c r="B77" s="66">
        <v>0.47916666666666669</v>
      </c>
      <c r="C77" s="482"/>
      <c r="D77" s="482"/>
      <c r="E77" s="482"/>
      <c r="F77" s="66">
        <v>0.20833333333333334</v>
      </c>
      <c r="G77" s="66">
        <v>0.22916666666666666</v>
      </c>
      <c r="H77" s="70"/>
    </row>
    <row r="78" spans="1:8" ht="18" customHeight="1">
      <c r="A78" s="66">
        <v>0.47916666666666669</v>
      </c>
      <c r="B78" s="66">
        <v>0.5</v>
      </c>
      <c r="C78" s="470" t="s">
        <v>916</v>
      </c>
      <c r="D78" s="470"/>
      <c r="E78" s="470"/>
      <c r="F78" s="66">
        <v>0.22916666666666666</v>
      </c>
      <c r="G78" s="66">
        <v>0.25</v>
      </c>
      <c r="H78" s="70"/>
    </row>
    <row r="79" spans="1:8" ht="18" customHeight="1">
      <c r="A79" s="66">
        <v>0.5</v>
      </c>
      <c r="B79" s="66">
        <v>0.52083333333333337</v>
      </c>
      <c r="C79" s="470" t="s">
        <v>915</v>
      </c>
      <c r="D79" s="470"/>
      <c r="E79" s="470"/>
      <c r="F79" s="66">
        <v>0.25</v>
      </c>
      <c r="G79" s="66">
        <v>0.27083333333333331</v>
      </c>
      <c r="H79" s="70"/>
    </row>
    <row r="80" spans="1:8" ht="18" customHeight="1">
      <c r="A80" s="66">
        <v>0.52083333333333337</v>
      </c>
      <c r="B80" s="66">
        <v>0.54166666666666663</v>
      </c>
      <c r="C80" s="470"/>
      <c r="D80" s="470"/>
      <c r="E80" s="470"/>
      <c r="F80" s="66">
        <v>0.27083333333333331</v>
      </c>
      <c r="G80" s="66">
        <v>0.29166666666666669</v>
      </c>
      <c r="H80" s="70"/>
    </row>
    <row r="81" spans="1:8" ht="18" customHeight="1">
      <c r="A81" s="66">
        <v>0.54166666666666663</v>
      </c>
      <c r="B81" s="66">
        <v>0.5625</v>
      </c>
      <c r="C81" s="483" t="s">
        <v>919</v>
      </c>
      <c r="D81" s="483"/>
      <c r="E81" s="483"/>
      <c r="F81" s="66">
        <v>0.29166666666666669</v>
      </c>
      <c r="G81" s="66">
        <v>0.3125</v>
      </c>
      <c r="H81" s="70"/>
    </row>
    <row r="82" spans="1:8" ht="18" customHeight="1">
      <c r="A82" s="66">
        <v>0.5625</v>
      </c>
      <c r="B82" s="66">
        <v>0.58333333333333337</v>
      </c>
      <c r="C82" s="483"/>
      <c r="D82" s="483"/>
      <c r="E82" s="483"/>
      <c r="F82" s="66">
        <v>0.3125</v>
      </c>
      <c r="G82" s="66">
        <v>0.33333333333333331</v>
      </c>
      <c r="H82" s="70"/>
    </row>
    <row r="83" spans="1:8" ht="18" customHeight="1">
      <c r="A83" s="66">
        <v>0.58333333333333337</v>
      </c>
      <c r="B83" s="66">
        <v>0.60416666666666663</v>
      </c>
      <c r="C83" s="483"/>
      <c r="D83" s="483"/>
      <c r="E83" s="483"/>
      <c r="F83" s="66">
        <v>0.33333333333333331</v>
      </c>
      <c r="G83" s="66">
        <v>0.35416666666666669</v>
      </c>
      <c r="H83" s="70"/>
    </row>
    <row r="84" spans="1:8" ht="18" customHeight="1">
      <c r="A84" s="66">
        <v>0.60416666666666663</v>
      </c>
      <c r="B84" s="66">
        <v>0.625</v>
      </c>
      <c r="C84" s="483"/>
      <c r="D84" s="483"/>
      <c r="E84" s="483"/>
      <c r="F84" s="66">
        <v>0.35416666666666669</v>
      </c>
      <c r="G84" s="66">
        <v>0.375</v>
      </c>
      <c r="H84" s="70"/>
    </row>
    <row r="85" spans="1:8" ht="18" customHeight="1">
      <c r="A85" s="66">
        <v>0.625</v>
      </c>
      <c r="B85" s="66">
        <v>0.64583333333333337</v>
      </c>
      <c r="C85" s="482" t="s">
        <v>971</v>
      </c>
      <c r="D85" s="482"/>
      <c r="E85" s="482"/>
      <c r="F85" s="66">
        <v>0.375</v>
      </c>
      <c r="G85" s="66">
        <v>0.39583333333333331</v>
      </c>
      <c r="H85" s="70"/>
    </row>
    <row r="86" spans="1:8" ht="18" customHeight="1">
      <c r="A86" s="66">
        <v>0.64583333333333337</v>
      </c>
      <c r="B86" s="66">
        <v>0.66666666666666663</v>
      </c>
      <c r="C86" s="482"/>
      <c r="D86" s="482"/>
      <c r="E86" s="482"/>
      <c r="F86" s="66">
        <v>0.39583333333333331</v>
      </c>
      <c r="G86" s="66">
        <v>0.41666666666666669</v>
      </c>
      <c r="H86" s="70"/>
    </row>
    <row r="87" spans="1:8" ht="18" customHeight="1">
      <c r="A87" s="66">
        <v>0.66666666666666663</v>
      </c>
      <c r="B87" s="66">
        <v>0.6875</v>
      </c>
      <c r="C87" s="470" t="s">
        <v>916</v>
      </c>
      <c r="D87" s="470"/>
      <c r="E87" s="470"/>
      <c r="F87" s="66">
        <v>0.41666666666666669</v>
      </c>
      <c r="G87" s="66">
        <v>0.4375</v>
      </c>
      <c r="H87" s="70"/>
    </row>
    <row r="88" spans="1:8" ht="18" customHeight="1">
      <c r="A88" s="66">
        <v>0.6875</v>
      </c>
      <c r="B88" s="66">
        <v>0.70833333333333337</v>
      </c>
      <c r="C88" s="470"/>
      <c r="D88" s="470"/>
      <c r="E88" s="470"/>
      <c r="F88" s="66">
        <v>0.4375</v>
      </c>
      <c r="G88" s="66">
        <v>0.45833333333333331</v>
      </c>
      <c r="H88" s="70"/>
    </row>
    <row r="89" spans="1:8" ht="18" customHeight="1">
      <c r="A89" s="66">
        <v>0.70833333333333337</v>
      </c>
      <c r="B89" s="66">
        <v>0.72916666666666663</v>
      </c>
      <c r="C89" s="470"/>
      <c r="D89" s="470"/>
      <c r="E89" s="470"/>
      <c r="F89" s="66">
        <v>0.45833333333333331</v>
      </c>
      <c r="G89" s="66">
        <v>0.47916666666666669</v>
      </c>
      <c r="H89" s="70"/>
    </row>
    <row r="90" spans="1:8" ht="18" customHeight="1">
      <c r="A90" s="66">
        <v>0.72916666666666663</v>
      </c>
      <c r="B90" s="66">
        <v>0.75</v>
      </c>
      <c r="C90" s="470"/>
      <c r="D90" s="470"/>
      <c r="E90" s="470"/>
      <c r="F90" s="66">
        <v>0.47916666666666669</v>
      </c>
      <c r="G90" s="66">
        <v>0.5</v>
      </c>
      <c r="H90" s="70"/>
    </row>
    <row r="91" spans="1:8" ht="18" customHeight="1">
      <c r="A91" s="66">
        <v>0.75</v>
      </c>
      <c r="B91" s="66">
        <v>0.83333333333333337</v>
      </c>
      <c r="C91" s="470" t="s">
        <v>917</v>
      </c>
      <c r="D91" s="470"/>
      <c r="E91" s="470"/>
      <c r="F91" s="66">
        <v>0.5</v>
      </c>
      <c r="G91" s="66">
        <v>0.58333333333333337</v>
      </c>
      <c r="H91" s="70"/>
    </row>
    <row r="92" spans="1:8">
      <c r="A92" s="481" t="str">
        <f>J8</f>
        <v>Day 7</v>
      </c>
      <c r="B92" s="481"/>
      <c r="C92" s="484">
        <f>I8</f>
        <v>44302</v>
      </c>
      <c r="D92" s="484"/>
      <c r="E92" s="484"/>
      <c r="F92" s="481" t="str">
        <f>A92</f>
        <v>Day 7</v>
      </c>
      <c r="G92" s="481"/>
      <c r="H92" s="70"/>
    </row>
    <row r="93" spans="1:8" ht="28.8">
      <c r="A93" s="481" t="s">
        <v>908</v>
      </c>
      <c r="B93" s="481"/>
      <c r="C93" s="64" t="e">
        <f>C74</f>
        <v>#REF!</v>
      </c>
      <c r="D93" s="64" t="e">
        <f>D74</f>
        <v>#REF!</v>
      </c>
      <c r="E93" s="64" t="str">
        <f>E74</f>
        <v>LA team: Dr Pieter van Zyl and ATMs if applicable</v>
      </c>
      <c r="F93" s="481" t="s">
        <v>909</v>
      </c>
      <c r="G93" s="481"/>
      <c r="H93" s="70"/>
    </row>
    <row r="94" spans="1:8" ht="18" customHeight="1">
      <c r="A94" s="66">
        <v>0.41666666666666669</v>
      </c>
      <c r="B94" s="66">
        <v>0.4375</v>
      </c>
      <c r="C94" s="470" t="s">
        <v>916</v>
      </c>
      <c r="D94" s="470"/>
      <c r="E94" s="470"/>
      <c r="F94" s="66">
        <v>0.16666666666666666</v>
      </c>
      <c r="G94" s="66">
        <v>0.1875</v>
      </c>
      <c r="H94" s="70"/>
    </row>
    <row r="95" spans="1:8" ht="18" customHeight="1">
      <c r="A95" s="66">
        <v>0.4375</v>
      </c>
      <c r="B95" s="66">
        <v>0.45833333333333331</v>
      </c>
      <c r="C95" s="464" t="s">
        <v>972</v>
      </c>
      <c r="D95" s="465"/>
      <c r="E95" s="466"/>
      <c r="F95" s="66">
        <v>0.1875</v>
      </c>
      <c r="G95" s="66">
        <v>0.20833333333333334</v>
      </c>
      <c r="H95" s="70"/>
    </row>
    <row r="96" spans="1:8" ht="18" customHeight="1">
      <c r="A96" s="66">
        <v>0.45833333333333331</v>
      </c>
      <c r="B96" s="66">
        <v>0.47916666666666669</v>
      </c>
      <c r="C96" s="467"/>
      <c r="D96" s="468"/>
      <c r="E96" s="469"/>
      <c r="F96" s="66">
        <v>0.20833333333333334</v>
      </c>
      <c r="G96" s="66">
        <v>0.22916666666666666</v>
      </c>
      <c r="H96" s="70"/>
    </row>
    <row r="97" spans="1:8" ht="18" customHeight="1">
      <c r="A97" s="66">
        <v>0.47916666666666669</v>
      </c>
      <c r="B97" s="66">
        <v>0.5</v>
      </c>
      <c r="C97" s="464" t="s">
        <v>973</v>
      </c>
      <c r="D97" s="465"/>
      <c r="E97" s="466"/>
      <c r="F97" s="66">
        <v>0.22916666666666666</v>
      </c>
      <c r="G97" s="66">
        <v>0.25</v>
      </c>
      <c r="H97" s="70"/>
    </row>
    <row r="98" spans="1:8" ht="18" customHeight="1">
      <c r="A98" s="66">
        <v>0.5</v>
      </c>
      <c r="B98" s="66">
        <v>0.52083333333333337</v>
      </c>
      <c r="C98" s="467"/>
      <c r="D98" s="468"/>
      <c r="E98" s="469"/>
      <c r="F98" s="66">
        <v>0.25</v>
      </c>
      <c r="G98" s="66">
        <v>0.27083333333333331</v>
      </c>
      <c r="H98" s="70"/>
    </row>
    <row r="99" spans="1:8" ht="18" customHeight="1">
      <c r="A99" s="66">
        <v>0.52083333333333337</v>
      </c>
      <c r="B99" s="66">
        <v>0.54166666666666663</v>
      </c>
      <c r="C99" s="471" t="s">
        <v>915</v>
      </c>
      <c r="D99" s="472"/>
      <c r="E99" s="473"/>
      <c r="F99" s="66">
        <v>0.27083333333333331</v>
      </c>
      <c r="G99" s="66">
        <v>0.29166666666666669</v>
      </c>
      <c r="H99" s="70"/>
    </row>
    <row r="100" spans="1:8" ht="18" customHeight="1">
      <c r="A100" s="66">
        <v>0.54166666666666663</v>
      </c>
      <c r="B100" s="66">
        <v>0.5625</v>
      </c>
      <c r="C100" s="477"/>
      <c r="D100" s="478"/>
      <c r="E100" s="479"/>
      <c r="F100" s="66">
        <v>0.29166666666666669</v>
      </c>
      <c r="G100" s="66">
        <v>0.3125</v>
      </c>
      <c r="H100" s="70"/>
    </row>
    <row r="101" spans="1:8" ht="18" customHeight="1">
      <c r="A101" s="66">
        <v>0.5625</v>
      </c>
      <c r="B101" s="66">
        <v>0.58333333333333337</v>
      </c>
      <c r="C101" s="471" t="s">
        <v>1601</v>
      </c>
      <c r="D101" s="472"/>
      <c r="E101" s="473"/>
      <c r="F101" s="66">
        <v>0.3125</v>
      </c>
      <c r="G101" s="66">
        <v>0.33333333333333331</v>
      </c>
      <c r="H101" s="70"/>
    </row>
    <row r="102" spans="1:8" ht="18" customHeight="1">
      <c r="A102" s="66">
        <v>0.58333333333333337</v>
      </c>
      <c r="B102" s="66">
        <v>0.60416666666666663</v>
      </c>
      <c r="C102" s="474"/>
      <c r="D102" s="475"/>
      <c r="E102" s="476"/>
      <c r="F102" s="66">
        <v>0.33333333333333331</v>
      </c>
      <c r="G102" s="66">
        <v>0.35416666666666669</v>
      </c>
      <c r="H102" s="70"/>
    </row>
    <row r="103" spans="1:8" ht="18" customHeight="1">
      <c r="A103" s="66">
        <v>0.60416666666666663</v>
      </c>
      <c r="B103" s="66">
        <v>0.625</v>
      </c>
      <c r="C103" s="477"/>
      <c r="D103" s="478"/>
      <c r="E103" s="479"/>
      <c r="F103" s="66">
        <v>0.35416666666666669</v>
      </c>
      <c r="G103" s="66">
        <v>0.375</v>
      </c>
      <c r="H103" s="70"/>
    </row>
    <row r="104" spans="1:8" ht="18" customHeight="1">
      <c r="A104" s="66">
        <v>0.625</v>
      </c>
      <c r="B104" s="66">
        <v>0.64583333333333337</v>
      </c>
      <c r="C104" s="480" t="s">
        <v>1600</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0" t="s">
        <v>920</v>
      </c>
      <c r="D106" s="470"/>
      <c r="E106" s="470"/>
      <c r="F106" s="66">
        <v>0.41666666666666669</v>
      </c>
      <c r="G106" s="66">
        <v>0.4375</v>
      </c>
      <c r="H106" s="70"/>
    </row>
    <row r="107" spans="1:8" ht="18" customHeight="1">
      <c r="A107" s="66">
        <v>0.6875</v>
      </c>
      <c r="B107" s="66">
        <v>0.70833333333333337</v>
      </c>
      <c r="C107" s="470"/>
      <c r="D107" s="470"/>
      <c r="E107" s="470"/>
      <c r="F107" s="66">
        <v>0.4375</v>
      </c>
      <c r="G107" s="66">
        <v>0.45833333333333331</v>
      </c>
      <c r="H107" s="70"/>
    </row>
    <row r="108" spans="1:8" ht="18" customHeight="1">
      <c r="A108" s="66">
        <v>0.70833333333333337</v>
      </c>
      <c r="B108" s="66">
        <v>0.72916666666666663</v>
      </c>
      <c r="C108" s="470" t="s">
        <v>921</v>
      </c>
      <c r="D108" s="470"/>
      <c r="E108" s="470"/>
      <c r="F108" s="66">
        <v>0.45833333333333331</v>
      </c>
      <c r="G108" s="66">
        <v>0.47916666666666669</v>
      </c>
      <c r="H108" s="70"/>
    </row>
    <row r="109" spans="1:8" ht="18" customHeight="1">
      <c r="A109" s="66">
        <v>0.72916666666666663</v>
      </c>
      <c r="B109" s="66">
        <v>0.75</v>
      </c>
      <c r="C109" s="470"/>
      <c r="D109" s="470"/>
      <c r="E109" s="470"/>
      <c r="F109" s="66">
        <v>0.47916666666666669</v>
      </c>
      <c r="G109" s="66">
        <v>0.5</v>
      </c>
      <c r="H109" s="70"/>
    </row>
    <row r="110" spans="1:8" ht="18" customHeight="1">
      <c r="A110" s="66">
        <v>0.75</v>
      </c>
      <c r="B110" s="66">
        <v>0.83333333333333337</v>
      </c>
      <c r="C110" s="470"/>
      <c r="D110" s="470"/>
      <c r="E110" s="470"/>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1" t="s">
        <v>1165</v>
      </c>
      <c r="B1" s="491"/>
      <c r="C1" s="491"/>
      <c r="D1" s="491"/>
      <c r="E1" s="491"/>
      <c r="F1" s="491"/>
      <c r="G1" s="491"/>
      <c r="H1" s="61"/>
      <c r="I1" s="115" t="s">
        <v>904</v>
      </c>
      <c r="J1" s="116" t="s">
        <v>905</v>
      </c>
      <c r="K1" s="112" t="s">
        <v>906</v>
      </c>
      <c r="L1" s="112" t="s">
        <v>907</v>
      </c>
      <c r="M1" s="63"/>
      <c r="N1" s="63"/>
      <c r="O1" s="63"/>
      <c r="P1" s="63"/>
    </row>
    <row r="2" spans="1:16" ht="14.7" customHeight="1">
      <c r="A2" s="492" t="str">
        <f>CONCATENATE(TEXT(Planning!B41,"[$-x-sysdate]dddd, mmmm dd, yyyy")," (Technology test)")</f>
        <v>Thursday, 08 April 2021 (Technology test)</v>
      </c>
      <c r="B2" s="492"/>
      <c r="C2" s="492"/>
      <c r="D2" s="492"/>
      <c r="E2" s="492"/>
      <c r="F2" s="492"/>
      <c r="G2" s="492"/>
      <c r="H2" s="61"/>
      <c r="I2" s="112"/>
      <c r="J2" s="112"/>
      <c r="K2" s="112"/>
      <c r="L2" s="63"/>
      <c r="M2" s="63"/>
      <c r="N2" s="63"/>
      <c r="O2" s="63"/>
      <c r="P2" s="63"/>
    </row>
    <row r="3" spans="1:16">
      <c r="A3" s="481" t="str">
        <f>J3</f>
        <v>Day 1-2</v>
      </c>
      <c r="B3" s="481"/>
      <c r="C3" s="484" t="str">
        <f>CONCATENATE(TEXT(I3,"[$-x-sysdate]dddd, mmmm dd, yyyy")," to ",TEXT(K3,"[$-x-sysdate]dddd, mmmm dd, yyyy"))</f>
        <v>Saturday, 10 April 2021 to Sunday, 11 April 2021</v>
      </c>
      <c r="D3" s="484"/>
      <c r="E3" s="484"/>
      <c r="F3" s="481" t="str">
        <f>A3</f>
        <v>Day 1-2</v>
      </c>
      <c r="G3" s="481"/>
      <c r="H3" s="61"/>
      <c r="I3" s="117">
        <f>Planning!B42</f>
        <v>44296</v>
      </c>
      <c r="J3" s="118" t="str">
        <f>_xlfn.CONCAT("Day 1-",L3)</f>
        <v>Day 1-2</v>
      </c>
      <c r="K3" s="119">
        <f>Planning!B42+Planning!B44-1</f>
        <v>44297</v>
      </c>
      <c r="L3" s="112">
        <f>K3-I3+1</f>
        <v>2</v>
      </c>
      <c r="M3" s="63"/>
      <c r="N3" s="63"/>
      <c r="O3" s="63"/>
      <c r="P3" s="63"/>
    </row>
    <row r="4" spans="1:16" ht="49.5" customHeight="1">
      <c r="A4" s="481" t="s">
        <v>908</v>
      </c>
      <c r="B4" s="481"/>
      <c r="C4" s="64" t="e">
        <f>'Schedule4-1P'!C4</f>
        <v>#REF!</v>
      </c>
      <c r="D4" s="64" t="e">
        <f>'Schedule4-1P'!D4</f>
        <v>#REF!</v>
      </c>
      <c r="E4" s="64" t="str">
        <f>'Schedule4-1P'!E4</f>
        <v>LA team: Dr Pieter van Zyl and ATMs if applicable</v>
      </c>
      <c r="F4" s="481" t="s">
        <v>909</v>
      </c>
      <c r="G4" s="481"/>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0" t="s">
        <v>910</v>
      </c>
      <c r="D5" s="470" t="s">
        <v>910</v>
      </c>
      <c r="E5" s="470"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0"/>
      <c r="D6" s="470"/>
      <c r="E6" s="470"/>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0"/>
      <c r="D7" s="470"/>
      <c r="E7" s="470"/>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0"/>
      <c r="D8" s="470"/>
      <c r="E8" s="470"/>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0"/>
      <c r="D9" s="470"/>
      <c r="E9" s="470"/>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0"/>
      <c r="D10" s="470"/>
      <c r="E10" s="470"/>
      <c r="F10" s="66">
        <v>0.375</v>
      </c>
      <c r="G10" s="66">
        <v>0.41666666666666669</v>
      </c>
      <c r="H10" s="61"/>
      <c r="I10" s="119"/>
      <c r="J10" s="63"/>
      <c r="K10" s="63"/>
      <c r="L10" s="63"/>
      <c r="M10" s="63"/>
      <c r="N10" s="63"/>
      <c r="O10" s="63"/>
      <c r="P10" s="63"/>
    </row>
    <row r="11" spans="1:16" ht="18" customHeight="1">
      <c r="A11" s="66">
        <v>0.66666666666666696</v>
      </c>
      <c r="B11" s="66">
        <v>0.70833333333333337</v>
      </c>
      <c r="C11" s="470"/>
      <c r="D11" s="470"/>
      <c r="E11" s="470"/>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0"/>
      <c r="D12" s="470"/>
      <c r="E12" s="470"/>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0"/>
      <c r="D13" s="470"/>
      <c r="E13" s="470"/>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7" t="str">
        <f>CONCATENATE("Schedule above includes ",Planning!B43," non-working day(s).")</f>
        <v>Schedule above includes 0 non-working day(s).</v>
      </c>
      <c r="B15" s="487"/>
      <c r="C15" s="487"/>
      <c r="D15" s="487"/>
      <c r="E15" s="487"/>
      <c r="F15" s="487"/>
      <c r="G15" s="487"/>
      <c r="H15" s="61"/>
      <c r="K15" s="114"/>
      <c r="L15" s="112" t="e">
        <f>'P1-OrgScope'!#REF!</f>
        <v>#REF!</v>
      </c>
      <c r="M15" s="63"/>
      <c r="N15" s="63"/>
      <c r="O15" s="63"/>
      <c r="P15" s="63"/>
    </row>
    <row r="16" spans="1:16">
      <c r="A16" s="485" t="str">
        <f>J4</f>
        <v>Day 3</v>
      </c>
      <c r="B16" s="485"/>
      <c r="C16" s="486">
        <f>I4</f>
        <v>44298</v>
      </c>
      <c r="D16" s="486"/>
      <c r="E16" s="486"/>
      <c r="F16" s="485" t="str">
        <f>A16</f>
        <v>Day 3</v>
      </c>
      <c r="G16" s="485"/>
      <c r="H16" s="61"/>
      <c r="K16" s="114"/>
      <c r="L16" s="112" t="e">
        <f>'P1-OrgScope'!#REF!</f>
        <v>#REF!</v>
      </c>
      <c r="M16" s="63"/>
      <c r="N16" s="63"/>
      <c r="O16" s="63"/>
      <c r="P16" s="63"/>
    </row>
    <row r="17" spans="1:18" ht="28.8">
      <c r="A17" s="485" t="s">
        <v>908</v>
      </c>
      <c r="B17" s="485"/>
      <c r="C17" s="67" t="e">
        <f>C4</f>
        <v>#REF!</v>
      </c>
      <c r="D17" s="67" t="e">
        <f>D4</f>
        <v>#REF!</v>
      </c>
      <c r="E17" s="67" t="str">
        <f>E4</f>
        <v>LA team: Dr Pieter van Zyl and ATMs if applicable</v>
      </c>
      <c r="F17" s="485" t="s">
        <v>909</v>
      </c>
      <c r="G17" s="48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2"/>
      <c r="E19" s="48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0" t="s">
        <v>964</v>
      </c>
      <c r="D20" s="480"/>
      <c r="E20" s="48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0"/>
      <c r="D21" s="480"/>
      <c r="E21" s="480"/>
      <c r="F21" s="66">
        <v>0.22916666666666666</v>
      </c>
      <c r="G21" s="66">
        <v>0.25</v>
      </c>
      <c r="H21" s="61"/>
      <c r="I21" s="63"/>
      <c r="J21" s="63"/>
      <c r="K21" s="63"/>
      <c r="L21" s="63"/>
      <c r="M21" s="63"/>
      <c r="N21" s="63"/>
      <c r="O21" s="63"/>
      <c r="P21" s="63"/>
    </row>
    <row r="22" spans="1:18" ht="18.600000000000001" customHeight="1">
      <c r="A22" s="66">
        <v>0.5</v>
      </c>
      <c r="B22" s="66">
        <v>0.52083333333333337</v>
      </c>
      <c r="C22" s="470" t="s">
        <v>915</v>
      </c>
      <c r="D22" s="470"/>
      <c r="E22" s="47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0"/>
      <c r="D23" s="470"/>
      <c r="E23" s="470"/>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2" t="s">
        <v>965</v>
      </c>
      <c r="D24" s="482"/>
      <c r="E24" s="482"/>
      <c r="F24" s="66">
        <v>0.29166666666666669</v>
      </c>
      <c r="G24" s="66">
        <v>0.3125</v>
      </c>
      <c r="H24" s="61"/>
      <c r="I24" s="63"/>
      <c r="J24" s="63"/>
      <c r="K24" s="120"/>
      <c r="L24" s="120"/>
      <c r="M24" s="120"/>
      <c r="N24" s="63"/>
      <c r="O24" s="63"/>
      <c r="P24" s="63"/>
    </row>
    <row r="25" spans="1:18" ht="18.600000000000001" customHeight="1">
      <c r="A25" s="66">
        <v>0.5625</v>
      </c>
      <c r="B25" s="66">
        <v>0.58333333333333337</v>
      </c>
      <c r="C25" s="482"/>
      <c r="D25" s="482"/>
      <c r="E25" s="48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2"/>
      <c r="D26" s="482"/>
      <c r="E26" s="48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2"/>
      <c r="E27" s="482"/>
      <c r="F27" s="66">
        <v>0.35416666666666669</v>
      </c>
      <c r="G27" s="66">
        <v>0.375</v>
      </c>
      <c r="H27" s="61"/>
      <c r="I27" s="63"/>
      <c r="J27" s="63"/>
      <c r="K27" s="63"/>
      <c r="L27" s="63"/>
      <c r="M27" s="63"/>
      <c r="N27" s="63"/>
      <c r="O27" s="63"/>
      <c r="P27" s="63"/>
    </row>
    <row r="28" spans="1:18" ht="18.600000000000001" customHeight="1">
      <c r="A28" s="66">
        <v>0.625</v>
      </c>
      <c r="B28" s="66">
        <v>0.64583333333333337</v>
      </c>
      <c r="C28" s="470" t="s">
        <v>916</v>
      </c>
      <c r="D28" s="470"/>
      <c r="E28" s="47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2" t="s">
        <v>965</v>
      </c>
      <c r="D29" s="482"/>
      <c r="E29" s="48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2"/>
      <c r="D30" s="482"/>
      <c r="E30" s="48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2"/>
      <c r="D31" s="482"/>
      <c r="E31" s="48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2"/>
      <c r="E32" s="48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0" t="s">
        <v>1099</v>
      </c>
      <c r="D33" s="470"/>
      <c r="E33" s="470"/>
      <c r="F33" s="66">
        <v>0.47916666666666669</v>
      </c>
      <c r="G33" s="66">
        <v>0.5</v>
      </c>
      <c r="H33" s="61"/>
      <c r="I33" s="63"/>
      <c r="J33" s="63"/>
      <c r="K33" s="63"/>
      <c r="L33" s="63"/>
      <c r="M33" s="63"/>
      <c r="N33" s="63"/>
      <c r="O33" s="63"/>
      <c r="P33" s="63"/>
    </row>
    <row r="34" spans="1:16" ht="18.600000000000001" customHeight="1">
      <c r="A34" s="66">
        <v>0.75</v>
      </c>
      <c r="B34" s="66">
        <v>0.83333333333333337</v>
      </c>
      <c r="C34" s="470" t="s">
        <v>917</v>
      </c>
      <c r="D34" s="470"/>
      <c r="E34" s="470"/>
      <c r="F34" s="66">
        <v>0.5</v>
      </c>
      <c r="G34" s="66">
        <v>0.58333333333333337</v>
      </c>
      <c r="H34" s="61"/>
      <c r="I34" s="63"/>
      <c r="J34" s="63"/>
      <c r="K34" s="63"/>
      <c r="L34" s="63"/>
      <c r="M34" s="63"/>
      <c r="N34" s="63"/>
      <c r="O34" s="63"/>
      <c r="P34" s="63"/>
    </row>
    <row r="35" spans="1:16">
      <c r="A35" s="485" t="str">
        <f>J5</f>
        <v>Day 4</v>
      </c>
      <c r="B35" s="485"/>
      <c r="C35" s="486">
        <f>I5</f>
        <v>44299</v>
      </c>
      <c r="D35" s="486"/>
      <c r="E35" s="486"/>
      <c r="F35" s="485" t="str">
        <f>A35</f>
        <v>Day 4</v>
      </c>
      <c r="G35" s="485"/>
      <c r="H35" s="70"/>
    </row>
    <row r="36" spans="1:16" ht="28.8">
      <c r="A36" s="485" t="s">
        <v>908</v>
      </c>
      <c r="B36" s="485"/>
      <c r="C36" s="67" t="e">
        <f>C17</f>
        <v>#REF!</v>
      </c>
      <c r="D36" s="67" t="e">
        <f>D17</f>
        <v>#REF!</v>
      </c>
      <c r="E36" s="67" t="str">
        <f>E17</f>
        <v>LA team: Dr Pieter van Zyl and ATMs if applicable</v>
      </c>
      <c r="F36" s="485" t="s">
        <v>909</v>
      </c>
      <c r="G36" s="485"/>
      <c r="H36" s="70"/>
    </row>
    <row r="37" spans="1:16" ht="18" customHeight="1">
      <c r="A37" s="66">
        <v>0.41666666666666669</v>
      </c>
      <c r="B37" s="66">
        <v>0.4375</v>
      </c>
      <c r="C37" s="470" t="s">
        <v>916</v>
      </c>
      <c r="D37" s="470"/>
      <c r="E37" s="68" t="s">
        <v>914</v>
      </c>
      <c r="F37" s="66">
        <v>0.16666666666666666</v>
      </c>
      <c r="G37" s="66">
        <v>0.1875</v>
      </c>
      <c r="H37" s="70"/>
    </row>
    <row r="38" spans="1:16" ht="18" customHeight="1">
      <c r="A38" s="66">
        <v>0.4375</v>
      </c>
      <c r="B38" s="66">
        <v>0.45833333333333331</v>
      </c>
      <c r="C38" s="482" t="s">
        <v>966</v>
      </c>
      <c r="D38" s="482"/>
      <c r="E38" s="482"/>
      <c r="F38" s="66">
        <v>0.1875</v>
      </c>
      <c r="G38" s="66">
        <v>0.20833333333333334</v>
      </c>
      <c r="H38" s="70"/>
    </row>
    <row r="39" spans="1:16" ht="18" customHeight="1">
      <c r="A39" s="66">
        <v>0.45833333333333331</v>
      </c>
      <c r="B39" s="66">
        <v>0.47916666666666669</v>
      </c>
      <c r="C39" s="482"/>
      <c r="D39" s="482"/>
      <c r="E39" s="482"/>
      <c r="F39" s="66">
        <v>0.20833333333333334</v>
      </c>
      <c r="G39" s="66">
        <v>0.22916666666666666</v>
      </c>
      <c r="H39" s="70"/>
    </row>
    <row r="40" spans="1:16" ht="18" customHeight="1">
      <c r="A40" s="66">
        <v>0.47916666666666669</v>
      </c>
      <c r="B40" s="66">
        <v>0.5</v>
      </c>
      <c r="C40" s="482"/>
      <c r="D40" s="482"/>
      <c r="E40" s="482"/>
      <c r="F40" s="66">
        <v>0.22916666666666666</v>
      </c>
      <c r="G40" s="66">
        <v>0.25</v>
      </c>
      <c r="H40" s="70"/>
    </row>
    <row r="41" spans="1:16" ht="18" customHeight="1">
      <c r="A41" s="66">
        <v>0.5</v>
      </c>
      <c r="B41" s="66">
        <v>0.52083333333333337</v>
      </c>
      <c r="C41" s="470" t="s">
        <v>915</v>
      </c>
      <c r="D41" s="470"/>
      <c r="E41" s="470"/>
      <c r="F41" s="66">
        <v>0.25</v>
      </c>
      <c r="G41" s="66">
        <v>0.27083333333333331</v>
      </c>
      <c r="H41" s="70"/>
    </row>
    <row r="42" spans="1:16" ht="18" customHeight="1">
      <c r="A42" s="66">
        <v>0.52083333333333337</v>
      </c>
      <c r="B42" s="66">
        <v>0.54166666666666663</v>
      </c>
      <c r="C42" s="470"/>
      <c r="D42" s="470"/>
      <c r="E42" s="470"/>
      <c r="F42" s="66">
        <v>0.27083333333333331</v>
      </c>
      <c r="G42" s="66">
        <v>0.29166666666666669</v>
      </c>
      <c r="H42" s="70"/>
    </row>
    <row r="43" spans="1:16" ht="18" customHeight="1">
      <c r="A43" s="66">
        <v>0.54166666666666663</v>
      </c>
      <c r="B43" s="66">
        <v>0.5625</v>
      </c>
      <c r="C43" s="482" t="s">
        <v>966</v>
      </c>
      <c r="D43" s="482"/>
      <c r="E43" s="482"/>
      <c r="F43" s="66">
        <v>0.29166666666666669</v>
      </c>
      <c r="G43" s="66">
        <v>0.3125</v>
      </c>
      <c r="H43" s="70"/>
    </row>
    <row r="44" spans="1:16" ht="18" customHeight="1">
      <c r="A44" s="66">
        <v>0.5625</v>
      </c>
      <c r="B44" s="66">
        <v>0.58333333333333337</v>
      </c>
      <c r="C44" s="482"/>
      <c r="D44" s="482"/>
      <c r="E44" s="482"/>
      <c r="F44" s="66">
        <v>0.3125</v>
      </c>
      <c r="G44" s="66">
        <v>0.33333333333333331</v>
      </c>
      <c r="H44" s="70"/>
    </row>
    <row r="45" spans="1:16" ht="18" customHeight="1">
      <c r="A45" s="66">
        <v>0.58333333333333337</v>
      </c>
      <c r="B45" s="66">
        <v>0.60416666666666663</v>
      </c>
      <c r="C45" s="482"/>
      <c r="D45" s="482"/>
      <c r="E45" s="482"/>
      <c r="F45" s="66">
        <v>0.33333333333333331</v>
      </c>
      <c r="G45" s="66">
        <v>0.35416666666666669</v>
      </c>
      <c r="H45" s="70"/>
    </row>
    <row r="46" spans="1:16" ht="18" customHeight="1">
      <c r="A46" s="66">
        <v>0.60416666666666663</v>
      </c>
      <c r="B46" s="66">
        <v>0.625</v>
      </c>
      <c r="C46" s="482"/>
      <c r="D46" s="482"/>
      <c r="E46" s="482"/>
      <c r="F46" s="66">
        <v>0.35416666666666669</v>
      </c>
      <c r="G46" s="66">
        <v>0.375</v>
      </c>
      <c r="H46" s="70"/>
    </row>
    <row r="47" spans="1:16" ht="18" customHeight="1">
      <c r="A47" s="66">
        <v>0.625</v>
      </c>
      <c r="B47" s="66">
        <v>0.64583333333333337</v>
      </c>
      <c r="C47" s="482"/>
      <c r="D47" s="482"/>
      <c r="E47" s="482"/>
      <c r="F47" s="66">
        <v>0.375</v>
      </c>
      <c r="G47" s="66">
        <v>0.39583333333333331</v>
      </c>
      <c r="H47" s="70"/>
    </row>
    <row r="48" spans="1:16" ht="18" customHeight="1">
      <c r="A48" s="66">
        <v>0.64583333333333337</v>
      </c>
      <c r="B48" s="66">
        <v>0.66666666666666663</v>
      </c>
      <c r="C48" s="470" t="s">
        <v>916</v>
      </c>
      <c r="D48" s="470"/>
      <c r="E48" s="470" t="s">
        <v>914</v>
      </c>
      <c r="F48" s="66">
        <v>0.39583333333333331</v>
      </c>
      <c r="G48" s="66">
        <v>0.41666666666666669</v>
      </c>
      <c r="H48" s="70"/>
    </row>
    <row r="49" spans="1:8" ht="18" customHeight="1">
      <c r="A49" s="66">
        <v>0.66666666666666663</v>
      </c>
      <c r="B49" s="66">
        <v>0.6875</v>
      </c>
      <c r="C49" s="470"/>
      <c r="D49" s="470"/>
      <c r="E49" s="470"/>
      <c r="F49" s="66">
        <v>0.41666666666666669</v>
      </c>
      <c r="G49" s="66">
        <v>0.4375</v>
      </c>
      <c r="H49" s="70"/>
    </row>
    <row r="50" spans="1:8" ht="18" customHeight="1">
      <c r="A50" s="66">
        <v>0.6875</v>
      </c>
      <c r="B50" s="66">
        <v>0.70833333333333337</v>
      </c>
      <c r="C50" s="482" t="s">
        <v>967</v>
      </c>
      <c r="D50" s="482"/>
      <c r="E50" s="482"/>
      <c r="F50" s="66">
        <v>0.4375</v>
      </c>
      <c r="G50" s="66">
        <v>0.45833333333333331</v>
      </c>
      <c r="H50" s="70"/>
    </row>
    <row r="51" spans="1:8" ht="18" customHeight="1">
      <c r="A51" s="66">
        <v>0.70833333333333337</v>
      </c>
      <c r="B51" s="66">
        <v>0.72916666666666663</v>
      </c>
      <c r="C51" s="482"/>
      <c r="D51" s="482"/>
      <c r="E51" s="482"/>
      <c r="F51" s="66">
        <v>0.45833333333333331</v>
      </c>
      <c r="G51" s="66">
        <v>0.47916666666666669</v>
      </c>
      <c r="H51" s="70"/>
    </row>
    <row r="52" spans="1:8" ht="18" customHeight="1">
      <c r="A52" s="66">
        <v>0.72916666666666663</v>
      </c>
      <c r="B52" s="66">
        <v>0.75</v>
      </c>
      <c r="C52" s="470" t="s">
        <v>1099</v>
      </c>
      <c r="D52" s="470"/>
      <c r="E52" s="470"/>
      <c r="F52" s="66">
        <v>0.47916666666666669</v>
      </c>
      <c r="G52" s="66">
        <v>0.5</v>
      </c>
      <c r="H52" s="70"/>
    </row>
    <row r="53" spans="1:8" ht="18" customHeight="1">
      <c r="A53" s="66">
        <v>0.75</v>
      </c>
      <c r="B53" s="66">
        <v>0.83333333333333337</v>
      </c>
      <c r="C53" s="470" t="s">
        <v>917</v>
      </c>
      <c r="D53" s="470"/>
      <c r="E53" s="470"/>
      <c r="F53" s="66">
        <v>0.5</v>
      </c>
      <c r="G53" s="66">
        <v>0.58333333333333337</v>
      </c>
      <c r="H53" s="70"/>
    </row>
    <row r="54" spans="1:8">
      <c r="A54" s="481" t="str">
        <f>J6</f>
        <v>Day 5</v>
      </c>
      <c r="B54" s="481"/>
      <c r="C54" s="484">
        <f>I6</f>
        <v>44300</v>
      </c>
      <c r="D54" s="484"/>
      <c r="E54" s="484"/>
      <c r="F54" s="481" t="str">
        <f>A54</f>
        <v>Day 5</v>
      </c>
      <c r="G54" s="481"/>
      <c r="H54" s="70"/>
    </row>
    <row r="55" spans="1:8" ht="28.8">
      <c r="A55" s="481" t="s">
        <v>908</v>
      </c>
      <c r="B55" s="481"/>
      <c r="C55" s="64" t="e">
        <f>C36</f>
        <v>#REF!</v>
      </c>
      <c r="D55" s="64" t="e">
        <f>D36</f>
        <v>#REF!</v>
      </c>
      <c r="E55" s="64" t="str">
        <f>E36</f>
        <v>LA team: Dr Pieter van Zyl and ATMs if applicable</v>
      </c>
      <c r="F55" s="481" t="s">
        <v>909</v>
      </c>
      <c r="G55" s="481"/>
      <c r="H55" s="70"/>
    </row>
    <row r="56" spans="1:8" ht="18" customHeight="1">
      <c r="A56" s="66">
        <v>0.41666666666666669</v>
      </c>
      <c r="B56" s="66">
        <v>0.4375</v>
      </c>
      <c r="C56" s="470" t="s">
        <v>918</v>
      </c>
      <c r="D56" s="470"/>
      <c r="E56" s="68" t="s">
        <v>914</v>
      </c>
      <c r="F56" s="66">
        <v>0.16666666666666666</v>
      </c>
      <c r="G56" s="66">
        <v>0.1875</v>
      </c>
      <c r="H56" s="70"/>
    </row>
    <row r="57" spans="1:8" ht="18" customHeight="1">
      <c r="A57" s="66">
        <v>0.4375</v>
      </c>
      <c r="B57" s="66">
        <v>0.45833333333333331</v>
      </c>
      <c r="C57" s="482" t="s">
        <v>968</v>
      </c>
      <c r="D57" s="482"/>
      <c r="E57" s="482"/>
      <c r="F57" s="66">
        <v>0.1875</v>
      </c>
      <c r="G57" s="66">
        <v>0.20833333333333334</v>
      </c>
      <c r="H57" s="70"/>
    </row>
    <row r="58" spans="1:8" ht="18" customHeight="1">
      <c r="A58" s="66">
        <v>0.45833333333333331</v>
      </c>
      <c r="B58" s="66">
        <v>0.47916666666666669</v>
      </c>
      <c r="C58" s="482"/>
      <c r="D58" s="482"/>
      <c r="E58" s="482"/>
      <c r="F58" s="66">
        <v>0.20833333333333334</v>
      </c>
      <c r="G58" s="66">
        <v>0.22916666666666666</v>
      </c>
      <c r="H58" s="70"/>
    </row>
    <row r="59" spans="1:8" ht="18" customHeight="1">
      <c r="A59" s="66">
        <v>0.47916666666666669</v>
      </c>
      <c r="B59" s="66">
        <v>0.5</v>
      </c>
      <c r="C59" s="482"/>
      <c r="D59" s="482"/>
      <c r="E59" s="482"/>
      <c r="F59" s="66">
        <v>0.22916666666666666</v>
      </c>
      <c r="G59" s="66">
        <v>0.25</v>
      </c>
      <c r="H59" s="70"/>
    </row>
    <row r="60" spans="1:8" ht="18" customHeight="1">
      <c r="A60" s="66">
        <v>0.5</v>
      </c>
      <c r="B60" s="66">
        <v>0.52083333333333337</v>
      </c>
      <c r="C60" s="470" t="s">
        <v>915</v>
      </c>
      <c r="D60" s="470"/>
      <c r="E60" s="470"/>
      <c r="F60" s="66">
        <v>0.25</v>
      </c>
      <c r="G60" s="66">
        <v>0.27083333333333331</v>
      </c>
      <c r="H60" s="70"/>
    </row>
    <row r="61" spans="1:8" ht="18" customHeight="1">
      <c r="A61" s="66">
        <v>0.52083333333333337</v>
      </c>
      <c r="B61" s="66">
        <v>0.54166666666666663</v>
      </c>
      <c r="C61" s="470"/>
      <c r="D61" s="470"/>
      <c r="E61" s="470"/>
      <c r="F61" s="66">
        <v>0.27083333333333331</v>
      </c>
      <c r="G61" s="66">
        <v>0.29166666666666669</v>
      </c>
      <c r="H61" s="70"/>
    </row>
    <row r="62" spans="1:8" ht="18" customHeight="1">
      <c r="A62" s="66">
        <v>0.54166666666666663</v>
      </c>
      <c r="B62" s="66">
        <v>0.5625</v>
      </c>
      <c r="C62" s="482" t="s">
        <v>968</v>
      </c>
      <c r="D62" s="482"/>
      <c r="E62" s="482"/>
      <c r="F62" s="66">
        <v>0.29166666666666669</v>
      </c>
      <c r="G62" s="66">
        <v>0.3125</v>
      </c>
      <c r="H62" s="70"/>
    </row>
    <row r="63" spans="1:8" ht="18" customHeight="1">
      <c r="A63" s="66">
        <v>0.5625</v>
      </c>
      <c r="B63" s="66">
        <v>0.58333333333333337</v>
      </c>
      <c r="C63" s="482"/>
      <c r="D63" s="482"/>
      <c r="E63" s="482"/>
      <c r="F63" s="66">
        <v>0.3125</v>
      </c>
      <c r="G63" s="66">
        <v>0.33333333333333331</v>
      </c>
      <c r="H63" s="70"/>
    </row>
    <row r="64" spans="1:8" ht="18" customHeight="1">
      <c r="A64" s="66">
        <v>0.58333333333333337</v>
      </c>
      <c r="B64" s="66">
        <v>0.60416666666666663</v>
      </c>
      <c r="C64" s="482"/>
      <c r="D64" s="482"/>
      <c r="E64" s="482"/>
      <c r="F64" s="66">
        <v>0.33333333333333331</v>
      </c>
      <c r="G64" s="66">
        <v>0.35416666666666669</v>
      </c>
      <c r="H64" s="70"/>
    </row>
    <row r="65" spans="1:8" ht="18" customHeight="1">
      <c r="A65" s="66">
        <v>0.60416666666666663</v>
      </c>
      <c r="B65" s="66">
        <v>0.625</v>
      </c>
      <c r="C65" s="482"/>
      <c r="D65" s="482"/>
      <c r="E65" s="482"/>
      <c r="F65" s="66">
        <v>0.35416666666666669</v>
      </c>
      <c r="G65" s="66">
        <v>0.375</v>
      </c>
      <c r="H65" s="70"/>
    </row>
    <row r="66" spans="1:8" ht="18" customHeight="1">
      <c r="A66" s="66">
        <v>0.625</v>
      </c>
      <c r="B66" s="66">
        <v>0.64583333333333337</v>
      </c>
      <c r="C66" s="482"/>
      <c r="D66" s="482"/>
      <c r="E66" s="482"/>
      <c r="F66" s="66">
        <v>0.375</v>
      </c>
      <c r="G66" s="66">
        <v>0.39583333333333331</v>
      </c>
      <c r="H66" s="70"/>
    </row>
    <row r="67" spans="1:8" ht="18" customHeight="1">
      <c r="A67" s="66">
        <v>0.64583333333333337</v>
      </c>
      <c r="B67" s="66">
        <v>0.66666666666666663</v>
      </c>
      <c r="C67" s="482"/>
      <c r="D67" s="482"/>
      <c r="E67" s="482"/>
      <c r="F67" s="66">
        <v>0.39583333333333331</v>
      </c>
      <c r="G67" s="66">
        <v>0.41666666666666669</v>
      </c>
      <c r="H67" s="70"/>
    </row>
    <row r="68" spans="1:8" ht="18" customHeight="1">
      <c r="A68" s="66">
        <v>0.66666666666666663</v>
      </c>
      <c r="B68" s="66">
        <v>0.6875</v>
      </c>
      <c r="C68" s="470" t="s">
        <v>916</v>
      </c>
      <c r="D68" s="470"/>
      <c r="E68" s="470"/>
      <c r="F68" s="66">
        <v>0.41666666666666669</v>
      </c>
      <c r="G68" s="66">
        <v>0.4375</v>
      </c>
      <c r="H68" s="70"/>
    </row>
    <row r="69" spans="1:8" ht="18" customHeight="1">
      <c r="A69" s="66">
        <v>0.6875</v>
      </c>
      <c r="B69" s="66">
        <v>0.70833333333333337</v>
      </c>
      <c r="C69" s="482" t="s">
        <v>969</v>
      </c>
      <c r="D69" s="482"/>
      <c r="E69" s="482"/>
      <c r="F69" s="66">
        <v>0.4375</v>
      </c>
      <c r="G69" s="66">
        <v>0.45833333333333331</v>
      </c>
      <c r="H69" s="70"/>
    </row>
    <row r="70" spans="1:8" ht="18" customHeight="1">
      <c r="A70" s="66">
        <v>0.70833333333333337</v>
      </c>
      <c r="B70" s="66">
        <v>0.72916666666666663</v>
      </c>
      <c r="C70" s="482"/>
      <c r="D70" s="482"/>
      <c r="E70" s="48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81" t="str">
        <f>J7</f>
        <v>Day 6</v>
      </c>
      <c r="B73" s="481"/>
      <c r="C73" s="484">
        <f>I7</f>
        <v>44301</v>
      </c>
      <c r="D73" s="484"/>
      <c r="E73" s="484"/>
      <c r="F73" s="481" t="str">
        <f>A73</f>
        <v>Day 6</v>
      </c>
      <c r="G73" s="481"/>
      <c r="H73" s="70"/>
    </row>
    <row r="74" spans="1:8" ht="28.8">
      <c r="A74" s="481" t="s">
        <v>908</v>
      </c>
      <c r="B74" s="481"/>
      <c r="C74" s="64" t="e">
        <f>C55</f>
        <v>#REF!</v>
      </c>
      <c r="D74" s="64" t="e">
        <f>D55</f>
        <v>#REF!</v>
      </c>
      <c r="E74" s="64" t="str">
        <f>E55</f>
        <v>LA team: Dr Pieter van Zyl and ATMs if applicable</v>
      </c>
      <c r="F74" s="481" t="s">
        <v>909</v>
      </c>
      <c r="G74" s="481"/>
      <c r="H74" s="70"/>
    </row>
    <row r="75" spans="1:8" ht="18" customHeight="1">
      <c r="A75" s="66">
        <v>0.41666666666666669</v>
      </c>
      <c r="B75" s="66">
        <v>0.4375</v>
      </c>
      <c r="C75" s="470" t="s">
        <v>916</v>
      </c>
      <c r="D75" s="470"/>
      <c r="E75" s="470"/>
      <c r="F75" s="66">
        <v>0.16666666666666666</v>
      </c>
      <c r="G75" s="66">
        <v>0.1875</v>
      </c>
      <c r="H75" s="70"/>
    </row>
    <row r="76" spans="1:8" ht="18" customHeight="1">
      <c r="A76" s="66">
        <v>0.4375</v>
      </c>
      <c r="B76" s="66">
        <v>0.45833333333333331</v>
      </c>
      <c r="C76" s="482" t="s">
        <v>970</v>
      </c>
      <c r="D76" s="482"/>
      <c r="E76" s="482"/>
      <c r="F76" s="66">
        <v>0.1875</v>
      </c>
      <c r="G76" s="66">
        <v>0.20833333333333334</v>
      </c>
      <c r="H76" s="70"/>
    </row>
    <row r="77" spans="1:8" ht="18" customHeight="1">
      <c r="A77" s="66">
        <v>0.45833333333333331</v>
      </c>
      <c r="B77" s="66">
        <v>0.47916666666666669</v>
      </c>
      <c r="C77" s="482"/>
      <c r="D77" s="482"/>
      <c r="E77" s="482"/>
      <c r="F77" s="66">
        <v>0.20833333333333334</v>
      </c>
      <c r="G77" s="66">
        <v>0.22916666666666666</v>
      </c>
      <c r="H77" s="70"/>
    </row>
    <row r="78" spans="1:8" ht="18" customHeight="1">
      <c r="A78" s="66">
        <v>0.47916666666666669</v>
      </c>
      <c r="B78" s="66">
        <v>0.5</v>
      </c>
      <c r="C78" s="470" t="s">
        <v>916</v>
      </c>
      <c r="D78" s="470"/>
      <c r="E78" s="470"/>
      <c r="F78" s="66">
        <v>0.22916666666666666</v>
      </c>
      <c r="G78" s="66">
        <v>0.25</v>
      </c>
      <c r="H78" s="70"/>
    </row>
    <row r="79" spans="1:8" ht="18" customHeight="1">
      <c r="A79" s="66">
        <v>0.5</v>
      </c>
      <c r="B79" s="66">
        <v>0.52083333333333337</v>
      </c>
      <c r="C79" s="470" t="s">
        <v>915</v>
      </c>
      <c r="D79" s="470"/>
      <c r="E79" s="470"/>
      <c r="F79" s="66">
        <v>0.25</v>
      </c>
      <c r="G79" s="66">
        <v>0.27083333333333331</v>
      </c>
      <c r="H79" s="70"/>
    </row>
    <row r="80" spans="1:8" ht="18" customHeight="1">
      <c r="A80" s="66">
        <v>0.52083333333333337</v>
      </c>
      <c r="B80" s="66">
        <v>0.54166666666666663</v>
      </c>
      <c r="C80" s="470"/>
      <c r="D80" s="470"/>
      <c r="E80" s="470"/>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99" t="s">
        <v>919</v>
      </c>
      <c r="D83" s="500"/>
      <c r="E83" s="501"/>
      <c r="F83" s="66">
        <v>0.33333333333333331</v>
      </c>
      <c r="G83" s="66">
        <v>0.35416666666666669</v>
      </c>
      <c r="H83" s="70"/>
    </row>
    <row r="84" spans="1:8" ht="18" customHeight="1">
      <c r="A84" s="66">
        <v>0.60416666666666663</v>
      </c>
      <c r="B84" s="66">
        <v>0.625</v>
      </c>
      <c r="C84" s="502"/>
      <c r="D84" s="503"/>
      <c r="E84" s="504"/>
      <c r="F84" s="66">
        <v>0.35416666666666669</v>
      </c>
      <c r="G84" s="66">
        <v>0.375</v>
      </c>
      <c r="H84" s="70"/>
    </row>
    <row r="85" spans="1:8" ht="18" customHeight="1">
      <c r="A85" s="66">
        <v>0.625</v>
      </c>
      <c r="B85" s="66">
        <v>0.64583333333333337</v>
      </c>
      <c r="C85" s="482" t="s">
        <v>971</v>
      </c>
      <c r="D85" s="482"/>
      <c r="E85" s="482"/>
      <c r="F85" s="66">
        <v>0.375</v>
      </c>
      <c r="G85" s="66">
        <v>0.39583333333333331</v>
      </c>
      <c r="H85" s="70"/>
    </row>
    <row r="86" spans="1:8" ht="18" customHeight="1">
      <c r="A86" s="66">
        <v>0.64583333333333337</v>
      </c>
      <c r="B86" s="66">
        <v>0.66666666666666663</v>
      </c>
      <c r="C86" s="482"/>
      <c r="D86" s="482"/>
      <c r="E86" s="482"/>
      <c r="F86" s="66">
        <v>0.39583333333333331</v>
      </c>
      <c r="G86" s="66">
        <v>0.41666666666666669</v>
      </c>
      <c r="H86" s="70"/>
    </row>
    <row r="87" spans="1:8" ht="18" customHeight="1">
      <c r="A87" s="66">
        <v>0.66666666666666663</v>
      </c>
      <c r="B87" s="66">
        <v>0.6875</v>
      </c>
      <c r="C87" s="470" t="s">
        <v>916</v>
      </c>
      <c r="D87" s="470"/>
      <c r="E87" s="470"/>
      <c r="F87" s="66">
        <v>0.41666666666666669</v>
      </c>
      <c r="G87" s="66">
        <v>0.4375</v>
      </c>
      <c r="H87" s="70"/>
    </row>
    <row r="88" spans="1:8" ht="18" customHeight="1">
      <c r="A88" s="66">
        <v>0.6875</v>
      </c>
      <c r="B88" s="66">
        <v>0.70833333333333337</v>
      </c>
      <c r="C88" s="470"/>
      <c r="D88" s="470"/>
      <c r="E88" s="470"/>
      <c r="F88" s="66">
        <v>0.4375</v>
      </c>
      <c r="G88" s="66">
        <v>0.45833333333333331</v>
      </c>
      <c r="H88" s="70"/>
    </row>
    <row r="89" spans="1:8" ht="18" customHeight="1">
      <c r="A89" s="66">
        <v>0.70833333333333337</v>
      </c>
      <c r="B89" s="66">
        <v>0.72916666666666663</v>
      </c>
      <c r="C89" s="470"/>
      <c r="D89" s="470"/>
      <c r="E89" s="470"/>
      <c r="F89" s="66">
        <v>0.45833333333333331</v>
      </c>
      <c r="G89" s="66">
        <v>0.47916666666666669</v>
      </c>
      <c r="H89" s="70"/>
    </row>
    <row r="90" spans="1:8" ht="18" customHeight="1">
      <c r="A90" s="66">
        <v>0.72916666666666663</v>
      </c>
      <c r="B90" s="66">
        <v>0.75</v>
      </c>
      <c r="C90" s="470"/>
      <c r="D90" s="470"/>
      <c r="E90" s="470"/>
      <c r="F90" s="66">
        <v>0.47916666666666669</v>
      </c>
      <c r="G90" s="66">
        <v>0.5</v>
      </c>
      <c r="H90" s="70"/>
    </row>
    <row r="91" spans="1:8" ht="18" customHeight="1">
      <c r="A91" s="66">
        <v>0.75</v>
      </c>
      <c r="B91" s="66">
        <v>0.83333333333333337</v>
      </c>
      <c r="C91" s="470" t="s">
        <v>917</v>
      </c>
      <c r="D91" s="470"/>
      <c r="E91" s="470"/>
      <c r="F91" s="66">
        <v>0.5</v>
      </c>
      <c r="G91" s="66">
        <v>0.58333333333333337</v>
      </c>
      <c r="H91" s="70"/>
    </row>
    <row r="92" spans="1:8">
      <c r="A92" s="481" t="str">
        <f>J8</f>
        <v>Day 7</v>
      </c>
      <c r="B92" s="481"/>
      <c r="C92" s="484">
        <f>I8</f>
        <v>44302</v>
      </c>
      <c r="D92" s="484"/>
      <c r="E92" s="484"/>
      <c r="F92" s="481" t="str">
        <f>A92</f>
        <v>Day 7</v>
      </c>
      <c r="G92" s="481"/>
      <c r="H92" s="70"/>
    </row>
    <row r="93" spans="1:8" ht="28.8">
      <c r="A93" s="481" t="s">
        <v>908</v>
      </c>
      <c r="B93" s="481"/>
      <c r="C93" s="64" t="e">
        <f>C74</f>
        <v>#REF!</v>
      </c>
      <c r="D93" s="64" t="e">
        <f>D74</f>
        <v>#REF!</v>
      </c>
      <c r="E93" s="64" t="str">
        <f>E74</f>
        <v>LA team: Dr Pieter van Zyl and ATMs if applicable</v>
      </c>
      <c r="F93" s="481" t="s">
        <v>909</v>
      </c>
      <c r="G93" s="481"/>
      <c r="H93" s="70"/>
    </row>
    <row r="94" spans="1:8" ht="18" customHeight="1">
      <c r="A94" s="66">
        <v>0.41666666666666669</v>
      </c>
      <c r="B94" s="66">
        <v>0.4375</v>
      </c>
      <c r="C94" s="470" t="s">
        <v>916</v>
      </c>
      <c r="D94" s="470"/>
      <c r="E94" s="470"/>
      <c r="F94" s="66">
        <v>0.16666666666666666</v>
      </c>
      <c r="G94" s="66">
        <v>0.1875</v>
      </c>
      <c r="H94" s="70"/>
    </row>
    <row r="95" spans="1:8" ht="18" customHeight="1">
      <c r="A95" s="66">
        <v>0.4375</v>
      </c>
      <c r="B95" s="66">
        <v>0.45833333333333331</v>
      </c>
      <c r="C95" s="464" t="s">
        <v>972</v>
      </c>
      <c r="D95" s="465"/>
      <c r="E95" s="466"/>
      <c r="F95" s="66">
        <v>0.1875</v>
      </c>
      <c r="G95" s="66">
        <v>0.20833333333333334</v>
      </c>
      <c r="H95" s="70"/>
    </row>
    <row r="96" spans="1:8" ht="18" customHeight="1">
      <c r="A96" s="66">
        <v>0.45833333333333331</v>
      </c>
      <c r="B96" s="66">
        <v>0.47916666666666669</v>
      </c>
      <c r="C96" s="467"/>
      <c r="D96" s="468"/>
      <c r="E96" s="469"/>
      <c r="F96" s="66">
        <v>0.20833333333333334</v>
      </c>
      <c r="G96" s="66">
        <v>0.22916666666666666</v>
      </c>
      <c r="H96" s="70"/>
    </row>
    <row r="97" spans="1:8" ht="18" customHeight="1">
      <c r="A97" s="66">
        <v>0.47916666666666669</v>
      </c>
      <c r="B97" s="66">
        <v>0.5</v>
      </c>
      <c r="C97" s="464" t="s">
        <v>973</v>
      </c>
      <c r="D97" s="465"/>
      <c r="E97" s="466"/>
      <c r="F97" s="66">
        <v>0.22916666666666666</v>
      </c>
      <c r="G97" s="66">
        <v>0.25</v>
      </c>
      <c r="H97" s="70"/>
    </row>
    <row r="98" spans="1:8" ht="18" customHeight="1">
      <c r="A98" s="66">
        <v>0.5</v>
      </c>
      <c r="B98" s="66">
        <v>0.52083333333333337</v>
      </c>
      <c r="C98" s="467"/>
      <c r="D98" s="468"/>
      <c r="E98" s="469"/>
      <c r="F98" s="66">
        <v>0.25</v>
      </c>
      <c r="G98" s="66">
        <v>0.27083333333333331</v>
      </c>
      <c r="H98" s="70"/>
    </row>
    <row r="99" spans="1:8" ht="18" customHeight="1">
      <c r="A99" s="66">
        <v>0.52083333333333337</v>
      </c>
      <c r="B99" s="66">
        <v>0.54166666666666663</v>
      </c>
      <c r="C99" s="471" t="s">
        <v>915</v>
      </c>
      <c r="D99" s="472"/>
      <c r="E99" s="473"/>
      <c r="F99" s="66">
        <v>0.27083333333333331</v>
      </c>
      <c r="G99" s="66">
        <v>0.29166666666666669</v>
      </c>
      <c r="H99" s="70"/>
    </row>
    <row r="100" spans="1:8" ht="18" customHeight="1">
      <c r="A100" s="66">
        <v>0.54166666666666663</v>
      </c>
      <c r="B100" s="66">
        <v>0.5625</v>
      </c>
      <c r="C100" s="477"/>
      <c r="D100" s="478"/>
      <c r="E100" s="479"/>
      <c r="F100" s="66">
        <v>0.29166666666666669</v>
      </c>
      <c r="G100" s="66">
        <v>0.3125</v>
      </c>
      <c r="H100" s="70"/>
    </row>
    <row r="101" spans="1:8" ht="18" customHeight="1">
      <c r="A101" s="66">
        <v>0.5625</v>
      </c>
      <c r="B101" s="66">
        <v>0.58333333333333337</v>
      </c>
      <c r="C101" s="471" t="s">
        <v>1601</v>
      </c>
      <c r="D101" s="472"/>
      <c r="E101" s="473"/>
      <c r="F101" s="66">
        <v>0.3125</v>
      </c>
      <c r="G101" s="66">
        <v>0.33333333333333331</v>
      </c>
      <c r="H101" s="70"/>
    </row>
    <row r="102" spans="1:8" ht="18" customHeight="1">
      <c r="A102" s="66">
        <v>0.58333333333333337</v>
      </c>
      <c r="B102" s="66">
        <v>0.60416666666666663</v>
      </c>
      <c r="C102" s="474"/>
      <c r="D102" s="475"/>
      <c r="E102" s="476"/>
      <c r="F102" s="66">
        <v>0.33333333333333331</v>
      </c>
      <c r="G102" s="66">
        <v>0.35416666666666669</v>
      </c>
      <c r="H102" s="70"/>
    </row>
    <row r="103" spans="1:8" ht="18" customHeight="1">
      <c r="A103" s="66">
        <v>0.60416666666666663</v>
      </c>
      <c r="B103" s="66">
        <v>0.625</v>
      </c>
      <c r="C103" s="477"/>
      <c r="D103" s="478"/>
      <c r="E103" s="479"/>
      <c r="F103" s="66">
        <v>0.35416666666666669</v>
      </c>
      <c r="G103" s="66">
        <v>0.375</v>
      </c>
      <c r="H103" s="70"/>
    </row>
    <row r="104" spans="1:8" ht="18" customHeight="1">
      <c r="A104" s="66">
        <v>0.625</v>
      </c>
      <c r="B104" s="66">
        <v>0.64583333333333337</v>
      </c>
      <c r="C104" s="480" t="s">
        <v>1600</v>
      </c>
      <c r="D104" s="480"/>
      <c r="E104" s="480"/>
      <c r="F104" s="66">
        <v>0.375</v>
      </c>
      <c r="G104" s="66">
        <v>0.39583333333333331</v>
      </c>
      <c r="H104" s="70"/>
    </row>
    <row r="105" spans="1:8" ht="18" customHeight="1">
      <c r="A105" s="66">
        <v>0.64583333333333337</v>
      </c>
      <c r="B105" s="66">
        <v>0.66666666666666663</v>
      </c>
      <c r="C105" s="480"/>
      <c r="D105" s="480"/>
      <c r="E105" s="480"/>
      <c r="F105" s="66">
        <v>0.39583333333333331</v>
      </c>
      <c r="G105" s="66">
        <v>0.41666666666666669</v>
      </c>
      <c r="H105" s="70"/>
    </row>
    <row r="106" spans="1:8" ht="18" customHeight="1">
      <c r="A106" s="66">
        <v>0.66666666666666663</v>
      </c>
      <c r="B106" s="66">
        <v>0.6875</v>
      </c>
      <c r="C106" s="470" t="s">
        <v>920</v>
      </c>
      <c r="D106" s="470"/>
      <c r="E106" s="470"/>
      <c r="F106" s="66">
        <v>0.41666666666666669</v>
      </c>
      <c r="G106" s="66">
        <v>0.4375</v>
      </c>
      <c r="H106" s="70"/>
    </row>
    <row r="107" spans="1:8" ht="18" customHeight="1">
      <c r="A107" s="66">
        <v>0.6875</v>
      </c>
      <c r="B107" s="66">
        <v>0.70833333333333337</v>
      </c>
      <c r="C107" s="470"/>
      <c r="D107" s="470"/>
      <c r="E107" s="470"/>
      <c r="F107" s="66">
        <v>0.4375</v>
      </c>
      <c r="G107" s="66">
        <v>0.45833333333333331</v>
      </c>
      <c r="H107" s="70"/>
    </row>
    <row r="108" spans="1:8" ht="18" customHeight="1">
      <c r="A108" s="66">
        <v>0.70833333333333337</v>
      </c>
      <c r="B108" s="66">
        <v>0.72916666666666663</v>
      </c>
      <c r="C108" s="470" t="s">
        <v>921</v>
      </c>
      <c r="D108" s="470"/>
      <c r="E108" s="470"/>
      <c r="F108" s="66">
        <v>0.45833333333333331</v>
      </c>
      <c r="G108" s="66">
        <v>0.47916666666666669</v>
      </c>
      <c r="H108" s="70"/>
    </row>
    <row r="109" spans="1:8" ht="18" customHeight="1">
      <c r="A109" s="66">
        <v>0.72916666666666663</v>
      </c>
      <c r="B109" s="66">
        <v>0.75</v>
      </c>
      <c r="C109" s="470"/>
      <c r="D109" s="470"/>
      <c r="E109" s="470"/>
      <c r="F109" s="66">
        <v>0.47916666666666669</v>
      </c>
      <c r="G109" s="66">
        <v>0.5</v>
      </c>
      <c r="H109" s="70"/>
    </row>
    <row r="110" spans="1:8" ht="18" customHeight="1">
      <c r="A110" s="66">
        <v>0.75</v>
      </c>
      <c r="B110" s="66">
        <v>0.83333333333333337</v>
      </c>
      <c r="C110" s="470"/>
      <c r="D110" s="470"/>
      <c r="E110" s="470"/>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8" t="s">
        <v>1400</v>
      </c>
      <c r="C3" s="283" t="s">
        <v>1401</v>
      </c>
      <c r="D3" s="284" t="s">
        <v>1402</v>
      </c>
      <c r="E3" s="284" t="s">
        <v>1402</v>
      </c>
      <c r="F3" s="505" t="s">
        <v>1403</v>
      </c>
      <c r="G3" s="505" t="s">
        <v>1404</v>
      </c>
      <c r="H3" s="285">
        <f t="shared" ref="H3:H19" si="1">+A3-0.25</f>
        <v>0.16666666666666702</v>
      </c>
    </row>
    <row r="4" spans="1:8">
      <c r="A4" s="282">
        <v>0.4375</v>
      </c>
      <c r="B4" s="518"/>
      <c r="C4" s="286" t="s">
        <v>1405</v>
      </c>
      <c r="D4" s="506" t="s">
        <v>1406</v>
      </c>
      <c r="E4" s="506" t="s">
        <v>1407</v>
      </c>
      <c r="F4" s="505"/>
      <c r="G4" s="505"/>
      <c r="H4" s="285">
        <f t="shared" si="1"/>
        <v>0.1875</v>
      </c>
    </row>
    <row r="5" spans="1:8">
      <c r="A5" s="282">
        <v>0.45833333333333398</v>
      </c>
      <c r="B5" s="519" t="s">
        <v>1408</v>
      </c>
      <c r="C5" s="517" t="s">
        <v>1409</v>
      </c>
      <c r="D5" s="506"/>
      <c r="E5" s="506"/>
      <c r="F5" s="505"/>
      <c r="G5" s="505"/>
      <c r="H5" s="285">
        <f t="shared" si="1"/>
        <v>0.20833333333333398</v>
      </c>
    </row>
    <row r="6" spans="1:8">
      <c r="A6" s="282">
        <v>0.47916666666666702</v>
      </c>
      <c r="B6" s="519"/>
      <c r="C6" s="517"/>
      <c r="D6" s="506"/>
      <c r="E6" s="506"/>
      <c r="F6" s="505"/>
      <c r="G6" s="283" t="s">
        <v>1405</v>
      </c>
      <c r="H6" s="285">
        <f t="shared" si="1"/>
        <v>0.22916666666666702</v>
      </c>
    </row>
    <row r="7" spans="1:8">
      <c r="A7" s="282">
        <v>0.5</v>
      </c>
      <c r="B7" s="519"/>
      <c r="C7" s="506" t="s">
        <v>1410</v>
      </c>
      <c r="D7" s="506"/>
      <c r="E7" s="506"/>
      <c r="F7" s="513" t="s">
        <v>915</v>
      </c>
      <c r="G7" s="513" t="s">
        <v>915</v>
      </c>
      <c r="H7" s="285">
        <f t="shared" si="1"/>
        <v>0.25</v>
      </c>
    </row>
    <row r="8" spans="1:8" ht="28.8">
      <c r="A8" s="282">
        <v>0.52083333333333404</v>
      </c>
      <c r="B8" s="287" t="s">
        <v>1400</v>
      </c>
      <c r="C8" s="506"/>
      <c r="D8" s="506"/>
      <c r="E8" s="506"/>
      <c r="F8" s="513"/>
      <c r="G8" s="513"/>
      <c r="H8" s="285">
        <f t="shared" si="1"/>
        <v>0.27083333333333404</v>
      </c>
    </row>
    <row r="9" spans="1:8">
      <c r="A9" s="282">
        <v>0.54166666666666696</v>
      </c>
      <c r="B9" s="512" t="s">
        <v>915</v>
      </c>
      <c r="C9" s="513" t="s">
        <v>915</v>
      </c>
      <c r="D9" s="513" t="s">
        <v>915</v>
      </c>
      <c r="E9" s="513" t="s">
        <v>915</v>
      </c>
      <c r="F9" s="283" t="s">
        <v>1405</v>
      </c>
      <c r="G9" s="517" t="s">
        <v>774</v>
      </c>
      <c r="H9" s="285">
        <f t="shared" si="1"/>
        <v>0.29166666666666696</v>
      </c>
    </row>
    <row r="10" spans="1:8">
      <c r="A10" s="282">
        <v>0.5625</v>
      </c>
      <c r="B10" s="512"/>
      <c r="C10" s="513"/>
      <c r="D10" s="513"/>
      <c r="E10" s="513"/>
      <c r="F10" s="517" t="s">
        <v>1411</v>
      </c>
      <c r="G10" s="517"/>
      <c r="H10" s="285">
        <f t="shared" si="1"/>
        <v>0.3125</v>
      </c>
    </row>
    <row r="11" spans="1:8">
      <c r="A11" s="282">
        <v>0.58333333333333304</v>
      </c>
      <c r="B11" s="518" t="s">
        <v>1412</v>
      </c>
      <c r="C11" s="506" t="s">
        <v>1413</v>
      </c>
      <c r="D11" s="506" t="s">
        <v>1414</v>
      </c>
      <c r="E11" s="506" t="s">
        <v>1415</v>
      </c>
      <c r="F11" s="517"/>
      <c r="G11" s="505" t="s">
        <v>1416</v>
      </c>
      <c r="H11" s="285">
        <f t="shared" si="1"/>
        <v>0.33333333333333304</v>
      </c>
    </row>
    <row r="12" spans="1:8">
      <c r="A12" s="282">
        <v>0.60416666666666696</v>
      </c>
      <c r="B12" s="518"/>
      <c r="C12" s="506"/>
      <c r="D12" s="506"/>
      <c r="E12" s="506"/>
      <c r="F12" s="517" t="s">
        <v>1417</v>
      </c>
      <c r="G12" s="505"/>
      <c r="H12" s="285">
        <f t="shared" si="1"/>
        <v>0.35416666666666696</v>
      </c>
    </row>
    <row r="13" spans="1:8">
      <c r="A13" s="282">
        <v>0.625</v>
      </c>
      <c r="B13" s="518"/>
      <c r="C13" s="506"/>
      <c r="D13" s="506" t="s">
        <v>1418</v>
      </c>
      <c r="E13" s="506"/>
      <c r="F13" s="517"/>
      <c r="G13" s="505"/>
      <c r="H13" s="285">
        <f t="shared" si="1"/>
        <v>0.375</v>
      </c>
    </row>
    <row r="14" spans="1:8">
      <c r="A14" s="282">
        <v>0.64583333333333304</v>
      </c>
      <c r="B14" s="518"/>
      <c r="C14" s="506"/>
      <c r="D14" s="506"/>
      <c r="E14" s="506"/>
      <c r="F14" s="505" t="s">
        <v>1404</v>
      </c>
      <c r="G14" s="520" t="s">
        <v>1419</v>
      </c>
      <c r="H14" s="285">
        <f t="shared" si="1"/>
        <v>0.39583333333333304</v>
      </c>
    </row>
    <row r="15" spans="1:8">
      <c r="A15" s="282">
        <v>0.66666666666666696</v>
      </c>
      <c r="B15" s="518"/>
      <c r="C15" s="286" t="s">
        <v>1405</v>
      </c>
      <c r="D15" s="506"/>
      <c r="E15" s="505" t="s">
        <v>1403</v>
      </c>
      <c r="F15" s="505"/>
      <c r="G15" s="520"/>
      <c r="H15" s="285">
        <f t="shared" si="1"/>
        <v>0.41666666666666696</v>
      </c>
    </row>
    <row r="16" spans="1:8">
      <c r="A16" s="282">
        <v>0.6875</v>
      </c>
      <c r="B16" s="518"/>
      <c r="C16" s="506" t="s">
        <v>1420</v>
      </c>
      <c r="D16" s="506" t="s">
        <v>1421</v>
      </c>
      <c r="E16" s="505"/>
      <c r="F16" s="505"/>
      <c r="G16" s="520"/>
      <c r="H16" s="285">
        <f t="shared" si="1"/>
        <v>0.4375</v>
      </c>
    </row>
    <row r="17" spans="1:8">
      <c r="A17" s="282">
        <v>0.70833333333333304</v>
      </c>
      <c r="B17" s="288" t="s">
        <v>1422</v>
      </c>
      <c r="C17" s="506"/>
      <c r="D17" s="506"/>
      <c r="E17" s="505"/>
      <c r="F17" s="505"/>
      <c r="G17" s="520"/>
      <c r="H17" s="285">
        <f t="shared" si="1"/>
        <v>0.45833333333333304</v>
      </c>
    </row>
    <row r="18" spans="1:8">
      <c r="A18" s="282">
        <v>0.72916666666666663</v>
      </c>
      <c r="B18" s="289" t="s">
        <v>1402</v>
      </c>
      <c r="C18" s="284" t="s">
        <v>1402</v>
      </c>
      <c r="D18" s="284" t="s">
        <v>1402</v>
      </c>
      <c r="E18" s="284" t="s">
        <v>1402</v>
      </c>
      <c r="F18" s="284" t="s">
        <v>1402</v>
      </c>
      <c r="G18" s="520"/>
      <c r="H18" s="285">
        <f t="shared" si="1"/>
        <v>0.47916666666666663</v>
      </c>
    </row>
    <row r="19" spans="1:8" ht="15" thickBot="1">
      <c r="A19" s="290">
        <v>0.75</v>
      </c>
      <c r="B19" s="514" t="s">
        <v>917</v>
      </c>
      <c r="C19" s="515"/>
      <c r="D19" s="515"/>
      <c r="E19" s="515"/>
      <c r="F19" s="515"/>
      <c r="G19" s="515"/>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8" t="s">
        <v>1400</v>
      </c>
      <c r="C23" s="283" t="s">
        <v>1401</v>
      </c>
      <c r="D23" s="284" t="s">
        <v>1402</v>
      </c>
      <c r="E23" s="284" t="s">
        <v>1402</v>
      </c>
      <c r="F23" s="507" t="s">
        <v>1403</v>
      </c>
      <c r="G23" s="507" t="s">
        <v>1404</v>
      </c>
      <c r="H23" s="285">
        <f t="shared" ref="H23:H39" si="3">+A23-0.25</f>
        <v>0.16666666666666702</v>
      </c>
    </row>
    <row r="24" spans="1:8">
      <c r="A24" s="282">
        <v>0.4375</v>
      </c>
      <c r="B24" s="518"/>
      <c r="C24" s="286" t="s">
        <v>1405</v>
      </c>
      <c r="D24" s="506" t="s">
        <v>1406</v>
      </c>
      <c r="E24" s="506" t="s">
        <v>1407</v>
      </c>
      <c r="F24" s="516"/>
      <c r="G24" s="516"/>
      <c r="H24" s="285">
        <f t="shared" si="3"/>
        <v>0.1875</v>
      </c>
    </row>
    <row r="25" spans="1:8">
      <c r="A25" s="282">
        <v>0.45833333333333398</v>
      </c>
      <c r="B25" s="519" t="s">
        <v>1408</v>
      </c>
      <c r="C25" s="517" t="s">
        <v>1409</v>
      </c>
      <c r="D25" s="506"/>
      <c r="E25" s="506"/>
      <c r="F25" s="516"/>
      <c r="G25" s="516"/>
      <c r="H25" s="285">
        <f t="shared" si="3"/>
        <v>0.20833333333333398</v>
      </c>
    </row>
    <row r="26" spans="1:8">
      <c r="A26" s="282">
        <v>0.47916666666666702</v>
      </c>
      <c r="B26" s="519"/>
      <c r="C26" s="517"/>
      <c r="D26" s="506"/>
      <c r="E26" s="506"/>
      <c r="F26" s="516"/>
      <c r="G26" s="516"/>
      <c r="H26" s="285">
        <f t="shared" si="3"/>
        <v>0.22916666666666702</v>
      </c>
    </row>
    <row r="27" spans="1:8">
      <c r="A27" s="282">
        <v>0.5</v>
      </c>
      <c r="B27" s="519"/>
      <c r="C27" s="506" t="s">
        <v>1410</v>
      </c>
      <c r="D27" s="506"/>
      <c r="E27" s="506"/>
      <c r="F27" s="516"/>
      <c r="G27" s="516"/>
      <c r="H27" s="285">
        <f t="shared" si="3"/>
        <v>0.25</v>
      </c>
    </row>
    <row r="28" spans="1:8" ht="28.8">
      <c r="A28" s="282">
        <v>0.52083333333333404</v>
      </c>
      <c r="B28" s="287" t="s">
        <v>1400</v>
      </c>
      <c r="C28" s="506"/>
      <c r="D28" s="506"/>
      <c r="E28" s="506"/>
      <c r="F28" s="508"/>
      <c r="G28" s="508"/>
      <c r="H28" s="285">
        <f t="shared" si="3"/>
        <v>0.27083333333333404</v>
      </c>
    </row>
    <row r="29" spans="1:8">
      <c r="A29" s="282">
        <v>0.54166666666666696</v>
      </c>
      <c r="B29" s="512" t="s">
        <v>915</v>
      </c>
      <c r="C29" s="513" t="s">
        <v>915</v>
      </c>
      <c r="D29" s="513" t="s">
        <v>915</v>
      </c>
      <c r="E29" s="513" t="s">
        <v>915</v>
      </c>
      <c r="F29" s="513" t="s">
        <v>915</v>
      </c>
      <c r="G29" s="513" t="s">
        <v>915</v>
      </c>
      <c r="H29" s="285">
        <f t="shared" si="3"/>
        <v>0.29166666666666696</v>
      </c>
    </row>
    <row r="30" spans="1:8">
      <c r="A30" s="282">
        <v>0.5625</v>
      </c>
      <c r="B30" s="512"/>
      <c r="C30" s="513"/>
      <c r="D30" s="513"/>
      <c r="E30" s="513"/>
      <c r="F30" s="513"/>
      <c r="G30" s="513"/>
      <c r="H30" s="285">
        <f t="shared" si="3"/>
        <v>0.3125</v>
      </c>
    </row>
    <row r="31" spans="1:8">
      <c r="A31" s="282">
        <v>0.58333333333333304</v>
      </c>
      <c r="B31" s="507" t="s">
        <v>1412</v>
      </c>
      <c r="C31" s="506" t="s">
        <v>1413</v>
      </c>
      <c r="D31" s="506" t="s">
        <v>1414</v>
      </c>
      <c r="E31" s="506" t="s">
        <v>1415</v>
      </c>
      <c r="F31" s="284" t="s">
        <v>1405</v>
      </c>
      <c r="G31" s="284" t="s">
        <v>1405</v>
      </c>
      <c r="H31" s="285">
        <f t="shared" si="3"/>
        <v>0.33333333333333304</v>
      </c>
    </row>
    <row r="32" spans="1:8">
      <c r="A32" s="282">
        <v>0.60416666666666696</v>
      </c>
      <c r="B32" s="516"/>
      <c r="C32" s="506"/>
      <c r="D32" s="506"/>
      <c r="E32" s="506"/>
      <c r="F32" s="517" t="s">
        <v>1411</v>
      </c>
      <c r="G32" s="517" t="s">
        <v>1599</v>
      </c>
      <c r="H32" s="285">
        <f t="shared" si="3"/>
        <v>0.35416666666666696</v>
      </c>
    </row>
    <row r="33" spans="1:8">
      <c r="A33" s="282">
        <v>0.625</v>
      </c>
      <c r="B33" s="516"/>
      <c r="C33" s="506"/>
      <c r="D33" s="506" t="s">
        <v>1418</v>
      </c>
      <c r="E33" s="506"/>
      <c r="F33" s="517"/>
      <c r="G33" s="517"/>
      <c r="H33" s="285">
        <f t="shared" si="3"/>
        <v>0.375</v>
      </c>
    </row>
    <row r="34" spans="1:8">
      <c r="A34" s="282">
        <v>0.64583333333333304</v>
      </c>
      <c r="B34" s="516"/>
      <c r="C34" s="506"/>
      <c r="D34" s="506"/>
      <c r="E34" s="506"/>
      <c r="F34" s="517" t="s">
        <v>1417</v>
      </c>
      <c r="G34" s="509" t="s">
        <v>1424</v>
      </c>
      <c r="H34" s="285">
        <f t="shared" si="3"/>
        <v>0.39583333333333304</v>
      </c>
    </row>
    <row r="35" spans="1:8">
      <c r="A35" s="282">
        <v>0.66666666666666696</v>
      </c>
      <c r="B35" s="508"/>
      <c r="C35" s="286" t="s">
        <v>1405</v>
      </c>
      <c r="D35" s="506"/>
      <c r="E35" s="505" t="s">
        <v>1403</v>
      </c>
      <c r="F35" s="517"/>
      <c r="G35" s="510"/>
      <c r="H35" s="285">
        <f t="shared" si="3"/>
        <v>0.41666666666666696</v>
      </c>
    </row>
    <row r="36" spans="1:8">
      <c r="A36" s="282">
        <v>0.6875</v>
      </c>
      <c r="B36" s="292" t="s">
        <v>1425</v>
      </c>
      <c r="C36" s="506" t="s">
        <v>1420</v>
      </c>
      <c r="D36" s="506" t="s">
        <v>1421</v>
      </c>
      <c r="E36" s="505"/>
      <c r="F36" s="507" t="s">
        <v>1404</v>
      </c>
      <c r="G36" s="509" t="s">
        <v>1426</v>
      </c>
      <c r="H36" s="285">
        <f t="shared" si="3"/>
        <v>0.4375</v>
      </c>
    </row>
    <row r="37" spans="1:8">
      <c r="A37" s="282">
        <v>0.70833333333333304</v>
      </c>
      <c r="B37" s="288" t="s">
        <v>1422</v>
      </c>
      <c r="C37" s="506"/>
      <c r="D37" s="506"/>
      <c r="E37" s="505"/>
      <c r="F37" s="508"/>
      <c r="G37" s="510"/>
      <c r="H37" s="285">
        <f t="shared" si="3"/>
        <v>0.45833333333333304</v>
      </c>
    </row>
    <row r="38" spans="1:8">
      <c r="A38" s="282">
        <v>0.72916666666666663</v>
      </c>
      <c r="B38" s="289" t="s">
        <v>1402</v>
      </c>
      <c r="C38" s="284" t="s">
        <v>1402</v>
      </c>
      <c r="D38" s="284" t="s">
        <v>1402</v>
      </c>
      <c r="E38" s="284" t="s">
        <v>1402</v>
      </c>
      <c r="F38" s="284" t="s">
        <v>1402</v>
      </c>
      <c r="G38" s="511"/>
      <c r="H38" s="285">
        <f t="shared" si="3"/>
        <v>0.47916666666666663</v>
      </c>
    </row>
    <row r="39" spans="1:8" ht="15" thickBot="1">
      <c r="A39" s="290">
        <v>0.75</v>
      </c>
      <c r="B39" s="514" t="s">
        <v>917</v>
      </c>
      <c r="C39" s="515"/>
      <c r="D39" s="515"/>
      <c r="E39" s="515"/>
      <c r="F39" s="515"/>
      <c r="G39" s="515"/>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1721</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1802</v>
      </c>
      <c r="B1" s="409" t="s">
        <v>1292</v>
      </c>
      <c r="C1" s="409" t="s">
        <v>1275</v>
      </c>
      <c r="D1" s="409" t="s">
        <v>1276</v>
      </c>
      <c r="E1" s="409" t="s">
        <v>1803</v>
      </c>
      <c r="F1" s="409" t="s">
        <v>1294</v>
      </c>
      <c r="G1" s="409" t="s">
        <v>1279</v>
      </c>
      <c r="H1" s="409" t="s">
        <v>1280</v>
      </c>
      <c r="I1" s="409" t="s">
        <v>1296</v>
      </c>
      <c r="J1" s="409" t="s">
        <v>1804</v>
      </c>
      <c r="K1" s="409" t="s">
        <v>1805</v>
      </c>
      <c r="L1" s="409" t="s">
        <v>31</v>
      </c>
      <c r="M1" s="409" t="s">
        <v>32</v>
      </c>
      <c r="N1" s="409" t="s">
        <v>33</v>
      </c>
      <c r="O1" s="409" t="s">
        <v>34</v>
      </c>
      <c r="P1" s="409" t="s">
        <v>35</v>
      </c>
      <c r="Q1" s="409" t="s">
        <v>1806</v>
      </c>
      <c r="R1" s="409" t="s">
        <v>1807</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1754</v>
      </c>
      <c r="C2">
        <v>5</v>
      </c>
      <c r="D2" t="s">
        <v>1757</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1753</v>
      </c>
      <c r="C3">
        <v>5</v>
      </c>
      <c r="D3" t="s">
        <v>1758</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1752</v>
      </c>
      <c r="C4">
        <v>5</v>
      </c>
      <c r="D4" t="s">
        <v>1759</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1751</v>
      </c>
      <c r="C5">
        <v>5</v>
      </c>
      <c r="D5" t="s">
        <v>1760</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1808</v>
      </c>
      <c r="B1" s="408" t="s">
        <v>1809</v>
      </c>
      <c r="C1" s="408" t="s">
        <v>1275</v>
      </c>
      <c r="D1" s="408" t="s">
        <v>1276</v>
      </c>
      <c r="E1" s="408" t="s">
        <v>1810</v>
      </c>
      <c r="F1" s="408" t="s">
        <v>1278</v>
      </c>
      <c r="G1" s="408" t="s">
        <v>1279</v>
      </c>
      <c r="H1" s="408" t="s">
        <v>1280</v>
      </c>
      <c r="I1" s="408" t="s">
        <v>1811</v>
      </c>
      <c r="J1" s="408" t="s">
        <v>1812</v>
      </c>
      <c r="K1" s="408" t="s">
        <v>1813</v>
      </c>
      <c r="L1" s="408" t="s">
        <v>1286</v>
      </c>
      <c r="M1" s="408" t="s">
        <v>1814</v>
      </c>
      <c r="N1" s="408" t="s">
        <v>1805</v>
      </c>
      <c r="O1" s="408" t="s">
        <v>1288</v>
      </c>
      <c r="P1" s="408" t="s">
        <v>32</v>
      </c>
      <c r="Q1" s="408" t="s">
        <v>1289</v>
      </c>
      <c r="R1" s="408" t="s">
        <v>34</v>
      </c>
      <c r="S1" s="408" t="s">
        <v>35</v>
      </c>
      <c r="T1" s="408" t="s">
        <v>1815</v>
      </c>
      <c r="U1" s="408" t="s">
        <v>1807</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0" t="s">
        <v>1057</v>
      </c>
      <c r="C2" s="530" t="s">
        <v>1058</v>
      </c>
      <c r="D2" s="521" t="s">
        <v>1059</v>
      </c>
      <c r="E2" s="523"/>
      <c r="F2" s="524" t="s">
        <v>1060</v>
      </c>
      <c r="G2" s="526"/>
      <c r="H2" s="521" t="s">
        <v>1061</v>
      </c>
      <c r="I2" s="522"/>
      <c r="J2" s="522"/>
      <c r="K2" s="523"/>
      <c r="L2" s="524" t="s">
        <v>1062</v>
      </c>
      <c r="M2" s="525"/>
      <c r="N2" s="526"/>
      <c r="O2" s="179" t="s">
        <v>1063</v>
      </c>
      <c r="P2" s="180" t="s">
        <v>1064</v>
      </c>
      <c r="Q2" s="521" t="s">
        <v>1065</v>
      </c>
      <c r="R2" s="522"/>
      <c r="S2" s="523"/>
      <c r="T2" s="524" t="s">
        <v>1066</v>
      </c>
      <c r="U2" s="525"/>
      <c r="V2" s="526"/>
      <c r="W2" s="176" t="s">
        <v>1067</v>
      </c>
    </row>
    <row r="3" spans="2:28" ht="15.6">
      <c r="B3" s="531"/>
      <c r="C3" s="531"/>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7" t="s">
        <v>1068</v>
      </c>
      <c r="C5" s="183"/>
      <c r="D5" s="248"/>
      <c r="E5" s="248"/>
      <c r="F5" s="248"/>
      <c r="G5" s="248"/>
      <c r="H5" s="248"/>
      <c r="I5" s="248"/>
      <c r="J5" s="248"/>
      <c r="K5" s="248"/>
      <c r="L5" s="248"/>
      <c r="M5" s="248"/>
      <c r="N5" s="248"/>
      <c r="O5" s="248"/>
      <c r="P5" s="248"/>
      <c r="Q5" s="248"/>
      <c r="R5" s="248"/>
      <c r="S5" s="248"/>
      <c r="T5" s="248"/>
      <c r="U5" s="248"/>
      <c r="V5" s="248"/>
      <c r="W5" s="166" t="s">
        <v>1073</v>
      </c>
      <c r="Z5" s="388" t="s">
        <v>1640</v>
      </c>
    </row>
    <row r="6" spans="2:28" ht="15" customHeight="1">
      <c r="B6" s="528"/>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8"/>
      <c r="C7" s="182">
        <v>1.2</v>
      </c>
      <c r="D7" s="249"/>
      <c r="E7" s="249"/>
      <c r="F7" s="249"/>
      <c r="G7" s="249"/>
      <c r="H7" s="249"/>
      <c r="I7" s="249"/>
      <c r="J7" s="249"/>
      <c r="K7" s="249"/>
      <c r="L7" s="249"/>
      <c r="M7" s="249"/>
      <c r="N7" s="249"/>
      <c r="O7" s="249"/>
      <c r="P7" s="249"/>
      <c r="Q7" s="249"/>
      <c r="R7" s="249"/>
      <c r="S7" s="249"/>
      <c r="T7" s="249"/>
      <c r="U7" s="249"/>
      <c r="V7" s="249"/>
      <c r="W7" s="166" t="s">
        <v>891</v>
      </c>
      <c r="Z7" s="8" t="s">
        <v>1638</v>
      </c>
      <c r="AB7" s="387" t="s">
        <v>1072</v>
      </c>
    </row>
    <row r="8" spans="2:28" ht="15" customHeight="1">
      <c r="B8" s="529"/>
      <c r="C8" s="182">
        <v>1.3</v>
      </c>
      <c r="D8" s="249"/>
      <c r="E8" s="249"/>
      <c r="F8" s="249"/>
      <c r="G8" s="249"/>
      <c r="H8" s="249"/>
      <c r="I8" s="249"/>
      <c r="J8" s="249"/>
      <c r="K8" s="249"/>
      <c r="L8" s="249"/>
      <c r="M8" s="249"/>
      <c r="N8" s="249"/>
      <c r="O8" s="249"/>
      <c r="P8" s="249"/>
      <c r="Q8" s="249"/>
      <c r="R8" s="249"/>
      <c r="S8" s="249"/>
      <c r="T8" s="249"/>
      <c r="U8" s="249"/>
      <c r="V8" s="249"/>
      <c r="W8" s="166" t="s">
        <v>1070</v>
      </c>
      <c r="Z8" s="8" t="s">
        <v>1639</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7"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1646</v>
      </c>
    </row>
    <row r="11" spans="2:28" ht="15" customHeight="1">
      <c r="B11" s="528"/>
      <c r="C11" s="182">
        <v>2.1</v>
      </c>
      <c r="D11" s="183"/>
      <c r="E11" s="183"/>
      <c r="F11" s="183"/>
      <c r="G11" s="183"/>
      <c r="H11" s="183"/>
      <c r="I11" s="362" t="s">
        <v>1578</v>
      </c>
      <c r="J11" s="183"/>
      <c r="K11" s="183"/>
      <c r="L11" s="183"/>
      <c r="M11" s="183"/>
      <c r="N11" s="183"/>
      <c r="O11" s="183"/>
      <c r="P11" s="183"/>
      <c r="Q11" s="183"/>
      <c r="R11" s="183"/>
      <c r="S11" s="183"/>
      <c r="T11" s="183"/>
      <c r="U11" s="183"/>
      <c r="V11" s="183"/>
      <c r="W11" s="166"/>
    </row>
    <row r="12" spans="2:28" ht="15" customHeight="1">
      <c r="B12" s="528"/>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1641</v>
      </c>
      <c r="AB12" s="386" t="s">
        <v>1069</v>
      </c>
    </row>
    <row r="13" spans="2:28" ht="15" customHeight="1">
      <c r="B13" s="528"/>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1642</v>
      </c>
      <c r="AB13" s="386" t="s">
        <v>1070</v>
      </c>
    </row>
    <row r="14" spans="2:28" ht="15" customHeight="1">
      <c r="B14" s="528"/>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1643</v>
      </c>
      <c r="AB14" s="386" t="s">
        <v>891</v>
      </c>
    </row>
    <row r="15" spans="2:28" ht="15" customHeight="1">
      <c r="B15" s="528"/>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1644</v>
      </c>
      <c r="AB15" s="386" t="s">
        <v>1071</v>
      </c>
    </row>
    <row r="16" spans="2:28" ht="15" customHeight="1">
      <c r="B16" s="528"/>
      <c r="C16" s="182">
        <v>2.6</v>
      </c>
      <c r="D16" s="183"/>
      <c r="E16" s="183"/>
      <c r="F16" s="183"/>
      <c r="G16" s="183"/>
      <c r="H16" s="183"/>
      <c r="I16" s="183"/>
      <c r="J16" s="183"/>
      <c r="K16" s="183"/>
      <c r="L16" s="183"/>
      <c r="M16" s="183"/>
      <c r="N16" s="183"/>
      <c r="O16" s="183"/>
      <c r="P16" s="183"/>
      <c r="Q16" s="183"/>
      <c r="R16" s="183"/>
      <c r="S16" s="183"/>
      <c r="T16" s="183"/>
      <c r="U16" s="183"/>
      <c r="V16" s="183"/>
      <c r="W16" s="166"/>
      <c r="Z16" s="8" t="s">
        <v>1645</v>
      </c>
      <c r="AB16" s="386" t="s">
        <v>1075</v>
      </c>
    </row>
    <row r="17" spans="2:23" ht="15" customHeight="1">
      <c r="B17" s="528"/>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9"/>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7"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8"/>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8"/>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8"/>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8"/>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8"/>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8"/>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9"/>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7"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8"/>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8"/>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8"/>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8"/>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9"/>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2"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2"/>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2"/>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2"/>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3" t="s">
        <v>1057</v>
      </c>
      <c r="C49" s="533" t="s">
        <v>1058</v>
      </c>
      <c r="D49" s="534" t="s">
        <v>1059</v>
      </c>
      <c r="E49" s="534"/>
      <c r="F49" s="535" t="s">
        <v>1060</v>
      </c>
      <c r="G49" s="535"/>
      <c r="H49" s="534" t="s">
        <v>1061</v>
      </c>
      <c r="I49" s="534"/>
      <c r="J49" s="534"/>
      <c r="K49" s="534"/>
      <c r="L49" s="535" t="s">
        <v>1062</v>
      </c>
      <c r="M49" s="535"/>
      <c r="N49" s="535"/>
      <c r="O49" s="179" t="s">
        <v>1063</v>
      </c>
      <c r="P49" s="180" t="s">
        <v>1064</v>
      </c>
      <c r="Q49" s="534" t="s">
        <v>1065</v>
      </c>
      <c r="R49" s="534"/>
      <c r="S49" s="534"/>
      <c r="T49" s="535" t="s">
        <v>1066</v>
      </c>
      <c r="U49" s="535"/>
      <c r="V49" s="535"/>
    </row>
    <row r="50" spans="2:28" ht="93.6">
      <c r="B50" s="533"/>
      <c r="C50" s="533"/>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7"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8"/>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8"/>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9"/>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2"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2"/>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2"/>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2"/>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2"/>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2"/>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2"/>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2"/>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2"/>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2"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2"/>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2"/>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2"/>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2"/>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2"/>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2"/>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2"/>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2"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2"/>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2"/>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2"/>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2"/>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2"/>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2"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2"/>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2"/>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2"/>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7" t="str">
        <f>StartupInfo!B3</f>
        <v>Software for Mars (Pty) Ltd</v>
      </c>
      <c r="C2" s="537"/>
      <c r="D2" s="537"/>
      <c r="E2" s="537"/>
      <c r="F2" s="537"/>
      <c r="G2" s="537"/>
      <c r="H2" s="537"/>
      <c r="I2" s="537"/>
      <c r="J2" s="357"/>
      <c r="K2" s="357"/>
    </row>
    <row r="3" spans="1:11" ht="19.5" customHeight="1">
      <c r="B3" s="537" t="str">
        <f>StartupInfo!B4</f>
        <v>Mars</v>
      </c>
      <c r="C3" s="537"/>
      <c r="D3" s="537"/>
      <c r="E3" s="537"/>
      <c r="F3" s="537"/>
      <c r="G3" s="537"/>
      <c r="H3" s="537"/>
      <c r="I3" s="537"/>
      <c r="J3" s="358"/>
      <c r="K3" s="202"/>
    </row>
    <row r="4" spans="1:11" ht="24" customHeight="1">
      <c r="A4" s="203"/>
      <c r="B4" s="538" t="str">
        <f>IF(StartupInfo!B18="","",StartupInfo!B18)</f>
        <v>R&amp;D Department</v>
      </c>
      <c r="C4" s="538"/>
      <c r="D4" s="538"/>
      <c r="E4" s="538"/>
      <c r="F4" s="538"/>
      <c r="G4" s="538"/>
      <c r="H4" s="538"/>
      <c r="I4" s="538"/>
    </row>
    <row r="5" spans="1:11">
      <c r="A5" s="203"/>
      <c r="B5" s="539" t="str">
        <f>IF(StartupInfo!B19="","",StartupInfo!B19)</f>
        <v/>
      </c>
      <c r="C5" s="539"/>
      <c r="D5" s="539"/>
      <c r="E5" s="539"/>
      <c r="F5" s="539"/>
      <c r="G5" s="539"/>
      <c r="H5" s="539"/>
      <c r="I5" s="539"/>
      <c r="J5" s="203"/>
      <c r="K5" s="203"/>
    </row>
    <row r="6" spans="1:11">
      <c r="A6" s="202"/>
      <c r="B6" s="358"/>
      <c r="C6" s="358"/>
      <c r="D6" s="358"/>
      <c r="E6" s="358"/>
      <c r="F6" s="358"/>
      <c r="G6" s="358"/>
      <c r="H6" s="358"/>
      <c r="I6" s="358"/>
      <c r="J6" s="358"/>
      <c r="K6" s="202"/>
    </row>
    <row r="7" spans="1:11" s="361" customFormat="1">
      <c r="A7" s="359"/>
      <c r="B7" s="540" t="str">
        <f>CONCATENATE("was rated on ",TEXT(Planning!B48,"dd mmmm yyyy")," at ",Planning!B16)</f>
        <v>was rated on 16 April 2021 at Maturity Level 5</v>
      </c>
      <c r="C7" s="540"/>
      <c r="D7" s="540"/>
      <c r="E7" s="540"/>
      <c r="F7" s="540"/>
      <c r="G7" s="540"/>
      <c r="H7" s="540"/>
      <c r="I7" s="540"/>
      <c r="J7" s="360"/>
      <c r="K7" s="359"/>
    </row>
    <row r="8" spans="1:11">
      <c r="A8" s="203"/>
      <c r="B8" s="203"/>
      <c r="C8" s="203"/>
      <c r="E8" s="541"/>
      <c r="F8" s="541"/>
      <c r="G8" s="541"/>
      <c r="H8" s="203"/>
      <c r="I8" s="203"/>
      <c r="J8" s="203"/>
      <c r="K8" s="203"/>
    </row>
    <row r="9" spans="1:11">
      <c r="A9" s="203"/>
      <c r="B9" s="203"/>
      <c r="C9" s="203"/>
      <c r="D9" s="203"/>
      <c r="E9" s="541"/>
      <c r="F9" s="541"/>
      <c r="G9" s="541"/>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2" t="str">
        <f>_xlfn.CONCAT("CAS ID",'Agreement 3'!B5)</f>
        <v>CAS ID53517</v>
      </c>
      <c r="G11" s="542"/>
      <c r="H11" s="542"/>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6" t="str">
        <f>'Agreement 3'!B7</f>
        <v>Dr Pieter van Zyl</v>
      </c>
      <c r="H13" s="536"/>
      <c r="I13" s="536"/>
      <c r="J13" s="203"/>
      <c r="K13" s="203"/>
    </row>
    <row r="14" spans="1:11">
      <c r="A14" s="203"/>
      <c r="B14" s="203"/>
      <c r="C14" s="203"/>
      <c r="D14" s="203"/>
      <c r="E14" s="203"/>
      <c r="F14" s="203"/>
      <c r="G14" s="536" t="str">
        <f>'Agreement 3'!B9</f>
        <v>CMMI V2.0 High Maturity Lead Appraiser</v>
      </c>
      <c r="H14" s="536"/>
      <c r="I14" s="536"/>
      <c r="J14" s="203"/>
      <c r="K14" s="203"/>
    </row>
    <row r="15" spans="1:11">
      <c r="A15" s="203"/>
      <c r="B15" s="203"/>
      <c r="C15" s="203"/>
      <c r="D15" s="203"/>
      <c r="E15" s="203"/>
      <c r="F15" s="203"/>
      <c r="G15" s="536" t="str">
        <f>'Agreement 3'!B11</f>
        <v>0500535-01</v>
      </c>
      <c r="H15" s="536"/>
      <c r="I15" s="536"/>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1606</v>
      </c>
      <c r="C27" s="149" t="s">
        <v>1017</v>
      </c>
      <c r="D27" s="150">
        <f>'P1-OrgScope'!B88</f>
        <v>44322</v>
      </c>
      <c r="E27" s="136"/>
      <c r="G27" s="151" t="str">
        <f>G24</f>
        <v>16 Apr 2024</v>
      </c>
      <c r="H27" s="145" t="s">
        <v>1018</v>
      </c>
    </row>
    <row r="28" spans="1:9" s="8" customFormat="1" ht="15.6">
      <c r="A28" s="134"/>
      <c r="B28" s="149" t="s">
        <v>1696</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3" t="s">
        <v>1605</v>
      </c>
      <c r="C31" s="543"/>
      <c r="D31" s="543"/>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1607</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1596</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4" t="str">
        <f>Planning!B26</f>
        <v>CMMI Development V2.0 (CMMI-DEV) without SAM</v>
      </c>
      <c r="B2" s="545"/>
      <c r="C2" s="545"/>
      <c r="D2" s="544"/>
      <c r="E2" s="545"/>
      <c r="F2" s="545"/>
      <c r="G2" s="545"/>
      <c r="H2" s="545"/>
      <c r="I2" s="545"/>
      <c r="L2" s="267" t="s">
        <v>1261</v>
      </c>
      <c r="M2" s="267">
        <f>VALUE(RIGHT(Planning!B16,1))</f>
        <v>5</v>
      </c>
      <c r="N2" s="16" t="s">
        <v>1262</v>
      </c>
    </row>
    <row r="3" spans="1:16" s="8" customFormat="1">
      <c r="A3" s="546" t="str">
        <f>'P1-OrgScope'!B48</f>
        <v>Maturity Level 5</v>
      </c>
      <c r="B3" s="547"/>
      <c r="C3" s="547"/>
      <c r="D3" s="546"/>
      <c r="E3" s="547"/>
      <c r="F3" s="547"/>
      <c r="G3" s="547"/>
      <c r="H3" s="547"/>
      <c r="I3" s="547"/>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3"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3"/>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3"/>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3"/>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8"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8"/>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9"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9"/>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9"/>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0"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0"/>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0"/>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1" t="s">
        <v>1438</v>
      </c>
      <c r="B20" s="317" t="s">
        <v>1597</v>
      </c>
      <c r="C20" s="287">
        <f t="shared" si="0"/>
        <v>4</v>
      </c>
      <c r="D20" s="321" t="s">
        <v>1597</v>
      </c>
      <c r="E20" s="322" t="str">
        <f t="shared" si="2"/>
        <v>x</v>
      </c>
      <c r="F20" s="322" t="str">
        <f t="shared" si="1"/>
        <v>x</v>
      </c>
      <c r="G20" s="322" t="str">
        <f t="shared" si="1"/>
        <v>x</v>
      </c>
      <c r="H20" s="322" t="str">
        <f t="shared" si="1"/>
        <v>x</v>
      </c>
      <c r="I20" s="322" t="str">
        <f t="shared" si="1"/>
        <v/>
      </c>
      <c r="M20" s="302">
        <v>4</v>
      </c>
    </row>
    <row r="21" spans="1:13" ht="20.7" customHeight="1">
      <c r="A21" s="551"/>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2"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2"/>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2"/>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7" t="str">
        <f>_xlfn.CONCAT('P1-OrgScope'!B133,"(",'P1-OrgScope'!B134,")")</f>
        <v>All projects(AP)</v>
      </c>
      <c r="B2" s="197" t="str">
        <f>'Project&amp;Support'!B3</f>
        <v>p1MRE</v>
      </c>
      <c r="C2" s="198" t="str">
        <f>'Project&amp;Support'!AB3</f>
        <v>xx</v>
      </c>
      <c r="D2" s="197" t="str">
        <f>'Project&amp;Support'!C3</f>
        <v xml:space="preserve">Merlyn Rocket Engine (MRE) … </v>
      </c>
      <c r="E2" s="557" t="str">
        <f>_xlfn.CONCAT(StartupInfo!B5,", ",StartupInfo!B6,", ",StartupInfo!B7,CHAR(13),CHAR(10),StartupInfo!B8,", ",StartupInfo!B9)</f>
        <v>Room 1, Dome 1, No. 1 First Street, Base Alpha City_x000D_
Tharsis, Planet04</v>
      </c>
    </row>
    <row r="3" spans="1:5" ht="63" customHeight="1">
      <c r="A3" s="557"/>
      <c r="B3" s="197" t="str">
        <f>'Project&amp;Support'!B4</f>
        <v>p2RRE</v>
      </c>
      <c r="C3" s="198" t="str">
        <f>'Project&amp;Support'!AB4</f>
        <v>xx</v>
      </c>
      <c r="D3" s="197" t="str">
        <f>'Project&amp;Support'!C4</f>
        <v>Raptor Rocket Engine (RRE) …</v>
      </c>
      <c r="E3" s="557"/>
    </row>
    <row r="4" spans="1:5" ht="63" customHeight="1">
      <c r="A4" s="557"/>
      <c r="B4" s="197" t="str">
        <f>'Project&amp;Support'!B5</f>
        <v>p3FNR</v>
      </c>
      <c r="C4" s="198" t="str">
        <f>'Project&amp;Support'!AB5</f>
        <v>xx</v>
      </c>
      <c r="D4" s="197" t="str">
        <f>'Project&amp;Support'!C5</f>
        <v>Falcon Nine Rocket (FNR) ….</v>
      </c>
      <c r="E4" s="557"/>
    </row>
    <row r="5" spans="1:5" ht="63" customHeight="1">
      <c r="A5" s="557"/>
      <c r="B5" s="197" t="str">
        <f>'Project&amp;Support'!B6</f>
        <v>p4SSH</v>
      </c>
      <c r="C5" s="198" t="str">
        <f>'Project&amp;Support'!AB6</f>
        <v>xx</v>
      </c>
      <c r="D5" s="197" t="str">
        <f>'Project&amp;Support'!C6</f>
        <v>Starship Super Heavy (SSH) ….</v>
      </c>
      <c r="E5" s="557"/>
    </row>
    <row r="6" spans="1:5" ht="42" hidden="1">
      <c r="A6" s="557"/>
      <c r="B6" s="197" t="s">
        <v>1598</v>
      </c>
      <c r="C6" s="198">
        <f>'Project&amp;Support'!AB10</f>
        <v>1</v>
      </c>
      <c r="D6" s="197" t="str">
        <f>'Project&amp;Support'!C10</f>
        <v>The Configuration Management (CM) function, manages baselines for projects and the organization.</v>
      </c>
      <c r="E6" s="557"/>
    </row>
    <row r="7" spans="1:5" ht="105" hidden="1">
      <c r="A7" s="557"/>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7"/>
    </row>
    <row r="8" spans="1:5" ht="63" hidden="1">
      <c r="A8" s="557"/>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7"/>
    </row>
    <row r="9" spans="1:5" ht="42" hidden="1">
      <c r="A9" s="557"/>
      <c r="B9" s="197" t="str">
        <f>'Project&amp;Support'!B13</f>
        <v>s4PPQA</v>
      </c>
      <c r="C9" s="198">
        <f>'Project&amp;Support'!AB13</f>
        <v>1</v>
      </c>
      <c r="D9" s="197" t="str">
        <f>'Project&amp;Support'!C13</f>
        <v xml:space="preserve">The Process and Product Quality Assurance (PPQA) team manage and performs process quality assurance. </v>
      </c>
      <c r="E9" s="557"/>
    </row>
    <row r="10" spans="1:5" ht="21" hidden="1">
      <c r="A10" s="557"/>
      <c r="B10" s="197">
        <f>'Project&amp;Support'!B14</f>
        <v>0</v>
      </c>
      <c r="C10" s="198">
        <f>'Project&amp;Support'!AB14</f>
        <v>0</v>
      </c>
      <c r="D10" s="197">
        <f>'Project&amp;Support'!C14</f>
        <v>0</v>
      </c>
      <c r="E10" s="557"/>
    </row>
    <row r="11" spans="1:5" ht="21" hidden="1">
      <c r="A11" s="557"/>
      <c r="B11" s="197">
        <f>'Project&amp;Support'!B15</f>
        <v>0</v>
      </c>
      <c r="C11" s="198">
        <f>'Project&amp;Support'!AB15</f>
        <v>0</v>
      </c>
      <c r="D11" s="197">
        <f>'Project&amp;Support'!C15</f>
        <v>0</v>
      </c>
      <c r="E11" s="557"/>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4" t="s">
        <v>1096</v>
      </c>
      <c r="B16" s="197" t="str">
        <f>'Project&amp;Support'!B10</f>
        <v>s1CM</v>
      </c>
      <c r="C16" s="199">
        <f>'Project&amp;Support'!AB10</f>
        <v>1</v>
      </c>
      <c r="D16" s="197" t="str">
        <f>'Project&amp;Support'!C10</f>
        <v>The Configuration Management (CM) function, manages baselines for projects and the organization.</v>
      </c>
      <c r="E16" s="558" t="str">
        <f>StartupInfo!B11</f>
        <v>Room 1, Dome 1, No. 1 First Street, Base Alpha City, Tharsis, Planet04, China</v>
      </c>
    </row>
    <row r="17" spans="1:5" ht="105">
      <c r="A17" s="555"/>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9"/>
    </row>
    <row r="18" spans="1:5" ht="63">
      <c r="A18" s="555"/>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9"/>
    </row>
    <row r="19" spans="1:5" ht="42">
      <c r="A19" s="555"/>
      <c r="B19" s="197" t="str">
        <f>'Project&amp;Support'!B13</f>
        <v>s4PPQA</v>
      </c>
      <c r="C19" s="199">
        <f>'Project&amp;Support'!AB13</f>
        <v>1</v>
      </c>
      <c r="D19" s="197" t="str">
        <f>'Project&amp;Support'!C13</f>
        <v xml:space="preserve">The Process and Product Quality Assurance (PPQA) team manage and performs process quality assurance. </v>
      </c>
      <c r="E19" s="559"/>
    </row>
    <row r="20" spans="1:5" ht="126" hidden="1" customHeight="1">
      <c r="A20" s="555"/>
      <c r="B20" s="197">
        <f>'Project&amp;Support'!B14</f>
        <v>0</v>
      </c>
      <c r="C20" s="199">
        <f>'Project&amp;Support'!AB14</f>
        <v>0</v>
      </c>
      <c r="D20" s="197">
        <f>'Project&amp;Support'!C14</f>
        <v>0</v>
      </c>
      <c r="E20" s="559"/>
    </row>
    <row r="21" spans="1:5" ht="126" hidden="1" customHeight="1">
      <c r="A21" s="556"/>
      <c r="B21" s="197">
        <f>'Project&amp;Support'!B15</f>
        <v>0</v>
      </c>
      <c r="C21" s="199">
        <f>'Project&amp;Support'!AB15</f>
        <v>0</v>
      </c>
      <c r="D21" s="197">
        <f>'Project&amp;Support'!C15</f>
        <v>0</v>
      </c>
      <c r="E21" s="560"/>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abSelected="1"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1" t="s">
        <v>1089</v>
      </c>
      <c r="C2" s="562"/>
      <c r="D2" s="562"/>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1" t="s">
        <v>1088</v>
      </c>
      <c r="C18" s="562"/>
      <c r="D18" s="562"/>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1579</v>
      </c>
      <c r="AP4" s="25" t="s">
        <v>1765</v>
      </c>
      <c r="AR4" s="25" t="s">
        <v>1261</v>
      </c>
    </row>
    <row r="5" spans="2:44">
      <c r="B5" t="s">
        <v>36</v>
      </c>
      <c r="D5" t="s">
        <v>293</v>
      </c>
      <c r="E5" t="s">
        <v>406</v>
      </c>
      <c r="F5" t="s">
        <v>1774</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1766</v>
      </c>
    </row>
    <row r="6" spans="2:44">
      <c r="B6" t="s">
        <v>272</v>
      </c>
      <c r="D6" t="s">
        <v>294</v>
      </c>
      <c r="E6" t="s">
        <v>406</v>
      </c>
      <c r="F6" t="s">
        <v>1775</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1776</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1777</v>
      </c>
      <c r="H8" t="s">
        <v>411</v>
      </c>
      <c r="J8" t="s">
        <v>419</v>
      </c>
      <c r="L8" t="s">
        <v>426</v>
      </c>
      <c r="N8" t="s">
        <v>440</v>
      </c>
      <c r="T8" s="16" t="s">
        <v>601</v>
      </c>
      <c r="V8" t="s">
        <v>612</v>
      </c>
      <c r="X8" t="s">
        <v>625</v>
      </c>
      <c r="Z8" t="s">
        <v>630</v>
      </c>
      <c r="AB8" t="s">
        <v>649</v>
      </c>
      <c r="AD8" t="s">
        <v>658</v>
      </c>
      <c r="AF8" t="s">
        <v>675</v>
      </c>
      <c r="AH8" t="s">
        <v>695</v>
      </c>
      <c r="AJ8" s="16" t="s">
        <v>716</v>
      </c>
      <c r="AL8" t="s">
        <v>658</v>
      </c>
      <c r="AR8" t="s">
        <v>1767</v>
      </c>
    </row>
    <row r="9" spans="2:44">
      <c r="B9" t="s">
        <v>39</v>
      </c>
      <c r="D9" t="s">
        <v>297</v>
      </c>
      <c r="E9" t="s">
        <v>406</v>
      </c>
      <c r="F9" t="s">
        <v>1778</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2023-07-01T09:07:27Z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