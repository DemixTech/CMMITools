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8EB03C4B-DADD-4A38-8EAF-352F63442042}" xr6:coauthVersionLast="46" xr6:coauthVersionMax="46" xr10:uidLastSave="{00000000-0000-0000-0000-000000000000}"/>
  <bookViews>
    <workbookView xWindow="-120" yWindow="-16320" windowWidth="29040" windowHeight="15840" activeTab="1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32" l="1"/>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<sst xmlns="http://schemas.openxmlformats.org/spreadsheetml/2006/main" count="4637" uniqueCount="1697">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</sst>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6976"/>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A7" sqref="A7:A54"/>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5" sqref="B5"/>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7" sqref="B7"/>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2021-04-09to04-16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44266</v>
      </c>
      <c r="C20" s="49"/>
    </row>
    <row r="21" spans="1:3" s="50" customFormat="1" ht="15.5">
      <c r="A21" s="50" t="s">
        <v>1014</v>
      </c>
      <c r="B21" s="146">
        <f>B24-14</f>
        <v>44267</v>
      </c>
      <c r="C21" s="49" t="s">
        <v>1011</v>
      </c>
    </row>
    <row r="22" spans="1:3" s="50" customFormat="1" ht="15.5">
      <c r="B22" s="94"/>
      <c r="C22" s="49"/>
    </row>
    <row r="23" spans="1:3" s="50" customFormat="1" ht="15.5">
      <c r="A23" s="50" t="s">
        <v>969</v>
      </c>
      <c r="B23" s="94">
        <f>B24-1</f>
        <v>44280</v>
      </c>
      <c r="C23" s="49"/>
    </row>
    <row r="24" spans="1:3" s="50" customFormat="1" ht="15.5">
      <c r="A24" s="50" t="s">
        <v>1015</v>
      </c>
      <c r="B24" s="146">
        <f>B27-14</f>
        <v>44281</v>
      </c>
      <c r="C24" s="49" t="s">
        <v>1011</v>
      </c>
    </row>
    <row r="25" spans="1:3" s="50" customFormat="1" ht="15.5">
      <c r="B25" s="94"/>
      <c r="C25" s="49"/>
    </row>
    <row r="26" spans="1:3" s="50" customFormat="1" ht="15.5">
      <c r="A26" s="50" t="s">
        <v>881</v>
      </c>
      <c r="B26" s="94">
        <f>B27-4</f>
        <v>44291</v>
      </c>
      <c r="C26" s="49"/>
    </row>
    <row r="27" spans="1:3" s="50" customFormat="1" ht="15.5">
      <c r="A27" s="50" t="s">
        <v>882</v>
      </c>
      <c r="B27" s="146">
        <f>B30-B29</f>
        <v>44295</v>
      </c>
      <c r="C27" s="50" t="s">
        <v>1011</v>
      </c>
    </row>
    <row r="28" spans="1:3" s="50" customFormat="1" ht="15.5">
      <c r="A28" s="50" t="s">
        <v>883</v>
      </c>
      <c r="B28" s="50">
        <v>0</v>
      </c>
      <c r="C28" s="49"/>
    </row>
    <row r="29" spans="1:3" s="50" customFormat="1" ht="15.5">
      <c r="A29" s="50" t="s">
        <v>1019</v>
      </c>
      <c r="B29" s="50">
        <v>3</v>
      </c>
      <c r="C29" s="49" t="s">
        <v>993</v>
      </c>
    </row>
    <row r="30" spans="1:3" s="50" customFormat="1" ht="15.5">
      <c r="A30" s="50" t="s">
        <v>884</v>
      </c>
      <c r="B30" s="93">
        <f>'Agreement 3'!B25</f>
        <v>44298</v>
      </c>
      <c r="C30" s="127"/>
    </row>
    <row r="31" spans="1:3" s="50" customFormat="1" ht="15.5">
      <c r="A31" s="50" t="s">
        <v>1139</v>
      </c>
      <c r="B31" s="50">
        <v>1</v>
      </c>
      <c r="C31" s="127"/>
    </row>
    <row r="32" spans="1:3" s="50" customFormat="1" ht="15.5">
      <c r="A32" s="50" t="s">
        <v>760</v>
      </c>
      <c r="B32" s="93">
        <f>B33-B31</f>
        <v>44301</v>
      </c>
      <c r="C32" s="127" t="s">
        <v>1011</v>
      </c>
    </row>
    <row r="33" spans="1:4" s="50" customFormat="1" ht="15.5">
      <c r="A33" s="50" t="s">
        <v>885</v>
      </c>
      <c r="B33" s="93">
        <f>'Agreement 3'!B26</f>
        <v>44302</v>
      </c>
      <c r="C33" s="49" t="s">
        <v>1010</v>
      </c>
    </row>
    <row r="34" spans="1:4" s="117" customFormat="1" ht="15.5">
      <c r="A34" s="50" t="s">
        <v>400</v>
      </c>
      <c r="B34" s="39">
        <f>B33-B27+1-B28</f>
        <v>8</v>
      </c>
      <c r="C34" s="117" t="s">
        <v>1011</v>
      </c>
    </row>
    <row r="35" spans="1:4" s="117" customFormat="1" ht="15.5">
      <c r="A35" s="117" t="s">
        <v>1141</v>
      </c>
      <c r="B35" s="50">
        <v>1</v>
      </c>
    </row>
    <row r="36" spans="1:4" s="117" customFormat="1">
      <c r="A36" s="117" t="s">
        <v>1140</v>
      </c>
      <c r="B36" s="243">
        <f>B35+B32</f>
        <v>44302</v>
      </c>
      <c r="C36" s="117" t="s">
        <v>1011</v>
      </c>
    </row>
    <row r="37" spans="1:4" s="117" customFormat="1" ht="15.5">
      <c r="A37" s="117" t="s">
        <v>1399</v>
      </c>
      <c r="B37" s="50">
        <v>16</v>
      </c>
    </row>
    <row r="38" spans="1:4" s="117" customFormat="1">
      <c r="A38" s="117" t="s">
        <v>1142</v>
      </c>
      <c r="B38" s="243">
        <f>B36+B37-1</f>
        <v>44317</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topLeftCell="A22" workbookViewId="0">
      <selection activeCell="B23" sqref="B2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1020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F1" workbookViewId="0">
      <selection activeCell="AC2" sqref="AC2:AE1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topLeftCell="D1" workbookViewId="0">
      <selection activeCell="F3" sqref="F3:X26"/>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5" sqref="L5"/>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I76" workbookViewId="0">
      <selection activeCell="B155" sqref="B155"/>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44294</v>
      </c>
      <c r="C48" s="125" t="s">
        <v>1011</v>
      </c>
    </row>
    <row r="50" spans="1:23">
      <c r="A50" s="32" t="s">
        <v>393</v>
      </c>
      <c r="B50" s="33"/>
      <c r="C50" s="188"/>
      <c r="D50" s="31" t="s">
        <v>829</v>
      </c>
    </row>
    <row r="51" spans="1:23">
      <c r="A51" s="33" t="s">
        <v>394</v>
      </c>
      <c r="B51" s="33" t="s">
        <v>727</v>
      </c>
      <c r="C51" s="188"/>
    </row>
    <row r="52" spans="1:23">
      <c r="A52" s="33" t="s">
        <v>395</v>
      </c>
      <c r="B52" s="34">
        <f>Planning!B21</f>
        <v>44267</v>
      </c>
      <c r="C52" s="188" t="s">
        <v>967</v>
      </c>
    </row>
    <row r="53" spans="1:23">
      <c r="A53" s="33" t="s">
        <v>396</v>
      </c>
      <c r="B53" s="34">
        <f>B52</f>
        <v>44267</v>
      </c>
      <c r="C53" s="188" t="s">
        <v>1011</v>
      </c>
    </row>
    <row r="54" spans="1:23">
      <c r="A54" s="33"/>
      <c r="B54" s="33"/>
      <c r="C54" s="188"/>
    </row>
    <row r="55" spans="1:23">
      <c r="A55" s="33" t="s">
        <v>394</v>
      </c>
      <c r="B55" s="33" t="s">
        <v>728</v>
      </c>
      <c r="C55" s="188"/>
    </row>
    <row r="56" spans="1:23">
      <c r="A56" s="33" t="s">
        <v>395</v>
      </c>
      <c r="B56" s="34">
        <f>Planning!B24</f>
        <v>44281</v>
      </c>
      <c r="C56" s="188" t="s">
        <v>967</v>
      </c>
    </row>
    <row r="57" spans="1:23">
      <c r="A57" s="33" t="s">
        <v>396</v>
      </c>
      <c r="B57" s="34">
        <f>B56</f>
        <v>44281</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44295</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8</v>
      </c>
      <c r="C66" s="125" t="s">
        <v>967</v>
      </c>
    </row>
    <row r="68" spans="1:22">
      <c r="A68" s="14" t="s">
        <v>401</v>
      </c>
    </row>
    <row r="69" spans="1:22">
      <c r="A69" s="11" t="s">
        <v>402</v>
      </c>
      <c r="B69" s="38">
        <f>Planning!B36</f>
        <v>44302</v>
      </c>
      <c r="C69" s="125" t="s">
        <v>967</v>
      </c>
    </row>
    <row r="70" spans="1:22">
      <c r="A70" s="11" t="s">
        <v>403</v>
      </c>
      <c r="B70" s="38">
        <f>Planning!B38</f>
        <v>44317</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52" workbookViewId="0">
      <selection activeCell="B13" sqref="B13"/>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44266</v>
      </c>
      <c r="C64" s="117" t="s">
        <v>967</v>
      </c>
    </row>
    <row r="65" spans="1:3">
      <c r="A65" s="117" t="s">
        <v>633</v>
      </c>
      <c r="B65" s="117" t="s">
        <v>746</v>
      </c>
    </row>
    <row r="67" spans="1:3">
      <c r="A67" s="117" t="s">
        <v>631</v>
      </c>
      <c r="B67" s="117" t="s">
        <v>747</v>
      </c>
    </row>
    <row r="68" spans="1:3">
      <c r="A68" s="117" t="s">
        <v>632</v>
      </c>
      <c r="B68" s="37">
        <f>Planning!B23</f>
        <v>44280</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44267</v>
      </c>
      <c r="C79" s="117" t="s">
        <v>967</v>
      </c>
    </row>
    <row r="80" spans="1:3">
      <c r="A80" s="117" t="s">
        <v>396</v>
      </c>
      <c r="B80" s="37">
        <f>B79</f>
        <v>44267</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44281</v>
      </c>
      <c r="C89" s="117" t="s">
        <v>967</v>
      </c>
    </row>
    <row r="90" spans="1:3">
      <c r="A90" s="117" t="s">
        <v>396</v>
      </c>
      <c r="B90" s="37">
        <f>B89</f>
        <v>44281</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G18" sqref="A1: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1642</v>
      </c>
      <c r="E6" t="s">
        <v>1330</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1641</v>
      </c>
      <c r="E24" t="s">
        <v>1165</v>
      </c>
      <c r="F24"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tabSelected="1"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H17"/>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125" t="s">
        <v>903</v>
      </c>
      <c r="B2" s="125" t="s">
        <v>1623</v>
      </c>
      <c r="C2" s="128" t="s">
        <v>888</v>
      </c>
      <c r="D2" s="125" t="s">
        <v>1636</v>
      </c>
      <c r="E2" s="125" t="s">
        <v>1165</v>
      </c>
      <c r="F2" s="128" t="s">
        <v>903</v>
      </c>
      <c r="G2" s="64" t="s">
        <v>411</v>
      </c>
      <c r="H2" s="327" t="str">
        <f t="shared" ref="H2" si="0">VLOOKUP(E2,tbl_RolePAlookup,2,FALSE)</f>
        <v>[4] Engineering</v>
      </c>
      <c r="I2" s="328">
        <f t="shared" ref="I2" si="1">VLOOKUP(C2,tbl_PAcount,L$1+1,FALSE)</f>
        <v>10</v>
      </c>
    </row>
    <row r="3" spans="1:13" s="125" customFormat="1">
      <c r="A3" s="125" t="s">
        <v>903</v>
      </c>
      <c r="B3" s="125" t="s">
        <v>1623</v>
      </c>
      <c r="C3" s="128" t="s">
        <v>889</v>
      </c>
      <c r="D3" s="125" t="s">
        <v>1635</v>
      </c>
      <c r="E3" s="125" t="s">
        <v>918</v>
      </c>
      <c r="F3" s="128" t="s">
        <v>903</v>
      </c>
      <c r="G3" s="64" t="s">
        <v>411</v>
      </c>
      <c r="H3" s="327" t="str">
        <f t="shared" ref="H3:H18" si="2">VLOOKUP(E3,tbl_RolePAlookup,2,FALSE)</f>
        <v>[4] Engineering</v>
      </c>
      <c r="I3" s="328">
        <f t="shared" ref="I3:I18" si="3">VLOOKUP(C3,tbl_PAcount,L$1+1,FALSE)</f>
        <v>10</v>
      </c>
    </row>
    <row r="4" spans="1:13" s="125" customFormat="1">
      <c r="A4" s="125" t="s">
        <v>904</v>
      </c>
      <c r="B4" s="125" t="s">
        <v>1624</v>
      </c>
      <c r="C4" s="128" t="s">
        <v>890</v>
      </c>
      <c r="D4" s="125" t="s">
        <v>1639</v>
      </c>
      <c r="E4" s="125" t="s">
        <v>917</v>
      </c>
      <c r="F4" s="128" t="s">
        <v>904</v>
      </c>
      <c r="G4" s="64" t="s">
        <v>411</v>
      </c>
      <c r="H4" s="327" t="str">
        <f t="shared" si="2"/>
        <v>[4] Engineering</v>
      </c>
      <c r="I4" s="328">
        <f t="shared" si="3"/>
        <v>6</v>
      </c>
    </row>
    <row r="5" spans="1:13" s="125" customFormat="1">
      <c r="A5" s="125" t="s">
        <v>904</v>
      </c>
      <c r="B5" s="125" t="s">
        <v>1624</v>
      </c>
      <c r="C5" s="128" t="s">
        <v>891</v>
      </c>
      <c r="D5" s="125" t="s">
        <v>1639</v>
      </c>
      <c r="E5" s="125" t="s">
        <v>917</v>
      </c>
      <c r="F5" s="128" t="s">
        <v>904</v>
      </c>
      <c r="G5" s="64" t="s">
        <v>411</v>
      </c>
      <c r="H5" s="327" t="str">
        <f t="shared" si="2"/>
        <v>[4] Engineering</v>
      </c>
      <c r="I5" s="328">
        <f t="shared" si="3"/>
        <v>14</v>
      </c>
    </row>
    <row r="6" spans="1:13" s="125" customFormat="1">
      <c r="A6" s="125" t="s">
        <v>904</v>
      </c>
      <c r="B6" s="125" t="s">
        <v>1624</v>
      </c>
      <c r="C6" s="128" t="s">
        <v>892</v>
      </c>
      <c r="D6" s="125" t="s">
        <v>1642</v>
      </c>
      <c r="E6" s="125" t="s">
        <v>1330</v>
      </c>
      <c r="F6" s="128" t="s">
        <v>904</v>
      </c>
      <c r="G6" s="64" t="s">
        <v>411</v>
      </c>
      <c r="H6" s="327" t="str">
        <f t="shared" si="2"/>
        <v>[4] Engineering</v>
      </c>
      <c r="I6" s="328">
        <f t="shared" si="3"/>
        <v>7</v>
      </c>
    </row>
    <row r="7" spans="1:13" s="125" customFormat="1">
      <c r="A7" s="125" t="s">
        <v>905</v>
      </c>
      <c r="B7" s="125" t="s">
        <v>1626</v>
      </c>
      <c r="C7" s="128" t="s">
        <v>897</v>
      </c>
      <c r="D7" s="125" t="s">
        <v>1648</v>
      </c>
      <c r="E7" s="125" t="s">
        <v>1442</v>
      </c>
      <c r="F7" s="128" t="s">
        <v>905</v>
      </c>
      <c r="G7" s="64" t="s">
        <v>411</v>
      </c>
      <c r="H7" s="327" t="str">
        <f t="shared" si="2"/>
        <v>[3] Project Management</v>
      </c>
      <c r="I7" s="328">
        <f t="shared" si="3"/>
        <v>6</v>
      </c>
    </row>
    <row r="8" spans="1:13" s="125" customFormat="1">
      <c r="A8" s="125" t="s">
        <v>905</v>
      </c>
      <c r="B8" s="125" t="s">
        <v>1626</v>
      </c>
      <c r="C8" s="128" t="s">
        <v>898</v>
      </c>
      <c r="D8" s="125" t="s">
        <v>1648</v>
      </c>
      <c r="E8" s="125" t="s">
        <v>1442</v>
      </c>
      <c r="F8" s="128" t="s">
        <v>905</v>
      </c>
      <c r="G8" s="64" t="s">
        <v>411</v>
      </c>
      <c r="H8" s="327" t="str">
        <f t="shared" si="2"/>
        <v>[3] Project Management</v>
      </c>
      <c r="I8" s="328">
        <f t="shared" si="3"/>
        <v>10</v>
      </c>
    </row>
    <row r="9" spans="1:13" s="125" customFormat="1">
      <c r="A9" s="125" t="s">
        <v>905</v>
      </c>
      <c r="B9" s="125" t="s">
        <v>1626</v>
      </c>
      <c r="C9" s="128" t="s">
        <v>899</v>
      </c>
      <c r="D9" s="125" t="s">
        <v>1648</v>
      </c>
      <c r="E9" s="125" t="s">
        <v>1442</v>
      </c>
      <c r="F9" s="128" t="s">
        <v>905</v>
      </c>
      <c r="G9" s="64" t="s">
        <v>411</v>
      </c>
      <c r="H9" s="327" t="str">
        <f t="shared" si="2"/>
        <v>[3] Project Management</v>
      </c>
      <c r="I9" s="328">
        <f t="shared" si="3"/>
        <v>15</v>
      </c>
    </row>
    <row r="10" spans="1:13" s="125" customFormat="1">
      <c r="A10" s="125" t="s">
        <v>906</v>
      </c>
      <c r="B10" s="125" t="s">
        <v>1628</v>
      </c>
      <c r="C10" s="128" t="s">
        <v>896</v>
      </c>
      <c r="D10" s="125" t="s">
        <v>1653</v>
      </c>
      <c r="E10" s="125" t="s">
        <v>1442</v>
      </c>
      <c r="F10" s="128" t="s">
        <v>906</v>
      </c>
      <c r="G10" s="64" t="s">
        <v>411</v>
      </c>
      <c r="H10" s="327" t="str">
        <f t="shared" si="2"/>
        <v>[3] Project Management</v>
      </c>
      <c r="I10" s="328">
        <f t="shared" si="3"/>
        <v>8</v>
      </c>
    </row>
    <row r="11" spans="1:13" s="125" customFormat="1">
      <c r="A11" s="125" t="s">
        <v>908</v>
      </c>
      <c r="B11" s="125" t="s">
        <v>1408</v>
      </c>
      <c r="C11" s="128" t="s">
        <v>756</v>
      </c>
      <c r="D11" s="125" t="s">
        <v>1654</v>
      </c>
      <c r="E11" s="125" t="s">
        <v>1441</v>
      </c>
      <c r="F11" s="128" t="s">
        <v>908</v>
      </c>
      <c r="G11" s="64" t="s">
        <v>411</v>
      </c>
      <c r="H11" s="327" t="str">
        <f t="shared" si="2"/>
        <v>[5] Configuration Management</v>
      </c>
      <c r="I11" s="328">
        <f t="shared" si="3"/>
        <v>7</v>
      </c>
    </row>
    <row r="12" spans="1:13" s="125" customFormat="1">
      <c r="A12" s="125" t="s">
        <v>909</v>
      </c>
      <c r="B12" s="125" t="s">
        <v>1409</v>
      </c>
      <c r="C12" s="128" t="s">
        <v>900</v>
      </c>
      <c r="D12" s="125" t="s">
        <v>1655</v>
      </c>
      <c r="E12" s="125" t="s">
        <v>1443</v>
      </c>
      <c r="F12" s="128" t="s">
        <v>909</v>
      </c>
      <c r="G12" s="64" t="s">
        <v>411</v>
      </c>
      <c r="H12" s="327" t="str">
        <f t="shared" si="2"/>
        <v>[6] Process Management</v>
      </c>
      <c r="I12" s="328">
        <f t="shared" si="3"/>
        <v>11</v>
      </c>
    </row>
    <row r="13" spans="1:13">
      <c r="A13" s="125" t="s">
        <v>909</v>
      </c>
      <c r="B13" s="125" t="s">
        <v>1409</v>
      </c>
      <c r="C13" s="128" t="s">
        <v>901</v>
      </c>
      <c r="D13" s="125" t="s">
        <v>1655</v>
      </c>
      <c r="E13" s="125" t="s">
        <v>1443</v>
      </c>
      <c r="F13" s="128" t="s">
        <v>909</v>
      </c>
      <c r="G13" s="64" t="s">
        <v>411</v>
      </c>
      <c r="H13" s="327" t="str">
        <f t="shared" si="2"/>
        <v>[6] Process Management</v>
      </c>
      <c r="I13" s="328">
        <f t="shared" si="3"/>
        <v>8</v>
      </c>
    </row>
    <row r="14" spans="1:13">
      <c r="A14" s="125" t="s">
        <v>909</v>
      </c>
      <c r="B14" s="125" t="s">
        <v>1409</v>
      </c>
      <c r="C14" s="128" t="s">
        <v>893</v>
      </c>
      <c r="D14" s="125" t="s">
        <v>1655</v>
      </c>
      <c r="E14" s="125" t="s">
        <v>1443</v>
      </c>
      <c r="F14" s="128" t="s">
        <v>909</v>
      </c>
      <c r="G14" s="64" t="s">
        <v>411</v>
      </c>
      <c r="H14" s="327" t="str">
        <f t="shared" si="2"/>
        <v>[6] Process Management</v>
      </c>
      <c r="I14" s="328">
        <f t="shared" si="3"/>
        <v>22</v>
      </c>
    </row>
    <row r="15" spans="1:13">
      <c r="A15" s="125" t="s">
        <v>909</v>
      </c>
      <c r="B15" s="125" t="s">
        <v>1409</v>
      </c>
      <c r="C15" s="128" t="s">
        <v>894</v>
      </c>
      <c r="D15" s="125" t="s">
        <v>1655</v>
      </c>
      <c r="E15" s="125" t="s">
        <v>1443</v>
      </c>
      <c r="F15" s="128" t="s">
        <v>909</v>
      </c>
      <c r="G15" s="64" t="s">
        <v>411</v>
      </c>
      <c r="H15" s="327" t="str">
        <f t="shared" si="2"/>
        <v>[6] Process Management</v>
      </c>
      <c r="I15" s="328">
        <f t="shared" si="3"/>
        <v>11</v>
      </c>
    </row>
    <row r="16" spans="1:13">
      <c r="A16" s="125" t="s">
        <v>909</v>
      </c>
      <c r="B16" s="125" t="s">
        <v>1409</v>
      </c>
      <c r="C16" s="128" t="s">
        <v>895</v>
      </c>
      <c r="D16" s="125" t="s">
        <v>1655</v>
      </c>
      <c r="E16" s="125" t="s">
        <v>1443</v>
      </c>
      <c r="F16" s="128" t="s">
        <v>909</v>
      </c>
      <c r="G16" s="64" t="s">
        <v>411</v>
      </c>
      <c r="H16" s="327" t="str">
        <f t="shared" si="2"/>
        <v>[6] Process Management</v>
      </c>
      <c r="I16" s="328">
        <f t="shared" si="3"/>
        <v>11</v>
      </c>
    </row>
    <row r="17" spans="1:9">
      <c r="A17" s="125" t="s">
        <v>910</v>
      </c>
      <c r="B17" s="125" t="s">
        <v>1410</v>
      </c>
      <c r="C17" s="128" t="s">
        <v>758</v>
      </c>
      <c r="D17" s="125" t="s">
        <v>1656</v>
      </c>
      <c r="E17" s="125" t="s">
        <v>1440</v>
      </c>
      <c r="F17" s="128" t="s">
        <v>910</v>
      </c>
      <c r="G17" s="64" t="s">
        <v>411</v>
      </c>
      <c r="H17" s="327" t="str">
        <f t="shared" si="2"/>
        <v>[7] Organisational Training</v>
      </c>
      <c r="I17" s="328">
        <f t="shared" si="3"/>
        <v>9</v>
      </c>
    </row>
    <row r="18" spans="1:9">
      <c r="A18" s="125" t="s">
        <v>911</v>
      </c>
      <c r="B18" s="125" t="s">
        <v>1411</v>
      </c>
      <c r="C18" s="128" t="s">
        <v>841</v>
      </c>
      <c r="D18" s="125" t="s">
        <v>1657</v>
      </c>
      <c r="E18" s="125" t="s">
        <v>1275</v>
      </c>
      <c r="F18" s="128" t="s">
        <v>911</v>
      </c>
      <c r="G18" s="64"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1220</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Monday, 05 April 2021 (Technology test)</v>
      </c>
      <c r="B2" s="453"/>
      <c r="C2" s="453"/>
      <c r="D2" s="453"/>
      <c r="E2" s="453"/>
      <c r="F2" s="453"/>
      <c r="G2" s="453"/>
      <c r="H2" s="65"/>
      <c r="I2" s="135"/>
      <c r="J2" s="135"/>
      <c r="K2" s="135"/>
      <c r="L2" s="136"/>
      <c r="M2" s="136"/>
      <c r="N2" s="67"/>
      <c r="O2" s="67"/>
      <c r="P2" s="67"/>
    </row>
    <row r="3" spans="1:16">
      <c r="A3" s="442" t="str">
        <f>J3</f>
        <v>Day 1-3</v>
      </c>
      <c r="B3" s="442"/>
      <c r="C3" s="445" t="str">
        <f>CONCATENATE(TEXT(I3,"[$-x-sysdate]dddd, mmmm dd, yyyy")," to ",TEXT(K3,"[$-x-sysdate]dddd, mmmm dd, yyyy"))</f>
        <v>Friday, 09 April 2021 to Sunday, 11 April 2021</v>
      </c>
      <c r="D3" s="445"/>
      <c r="E3" s="445"/>
      <c r="F3" s="442" t="str">
        <f>A3</f>
        <v>Day 1-3</v>
      </c>
      <c r="G3" s="442"/>
      <c r="H3" s="65"/>
      <c r="I3" s="142">
        <f>Planning!B27</f>
        <v>44295</v>
      </c>
      <c r="J3" s="143" t="str">
        <f>_xlfn.CONCAT("Day 1-",L3)</f>
        <v>Day 1-3</v>
      </c>
      <c r="K3" s="144">
        <f>Planning!B27+Planning!B29-1</f>
        <v>44297</v>
      </c>
      <c r="L3" s="135">
        <f>K3-I3+1</f>
        <v>3</v>
      </c>
      <c r="M3" s="136"/>
      <c r="N3" s="67"/>
      <c r="O3" s="67"/>
      <c r="P3" s="67"/>
    </row>
    <row r="4" spans="1:16" ht="29">
      <c r="A4" s="442" t="s">
        <v>936</v>
      </c>
      <c r="B4" s="442"/>
      <c r="C4" s="68" t="str">
        <f>J11</f>
        <v>Mini team 1:ATM-5 / ATM-6 / ATM-7</v>
      </c>
      <c r="D4" s="68" t="str">
        <f>M11</f>
        <v>Mini team 2: ATM-1 / ATM-2 / ATM-3 / ATM-4</v>
      </c>
      <c r="E4" s="68" t="str">
        <f>CONCATENATE("LA team: ",'Agreement 3'!B7," and ATMs if applicable")</f>
        <v>LA team: van Zyl, Pieter and ATMs if applicable</v>
      </c>
      <c r="F4" s="442" t="s">
        <v>937</v>
      </c>
      <c r="G4" s="442"/>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0"/>
      <c r="D12" s="440"/>
      <c r="E12" s="440"/>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0"/>
      <c r="D13" s="440"/>
      <c r="E13" s="440"/>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8" t="str">
        <f>CONCATENATE("Schedule above includes ",Planning!B28," non-working day(s).")</f>
        <v>Schedule above includes 0 non-working day(s).</v>
      </c>
      <c r="B15" s="448"/>
      <c r="C15" s="448"/>
      <c r="D15" s="448"/>
      <c r="E15" s="448"/>
      <c r="F15" s="448"/>
      <c r="G15" s="448"/>
      <c r="H15" s="65"/>
      <c r="I15" s="135"/>
      <c r="K15" s="139"/>
      <c r="L15" s="135"/>
      <c r="M15" s="136"/>
      <c r="N15" s="67"/>
      <c r="O15" s="67"/>
      <c r="P15" s="67"/>
    </row>
    <row r="16" spans="1:16">
      <c r="A16" s="446" t="str">
        <f>J4</f>
        <v>Day 4</v>
      </c>
      <c r="B16" s="446"/>
      <c r="C16" s="447">
        <f>I4</f>
        <v>44298</v>
      </c>
      <c r="D16" s="447"/>
      <c r="E16" s="447"/>
      <c r="F16" s="446" t="str">
        <f>A16</f>
        <v>Day 4</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944</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5</v>
      </c>
      <c r="B35" s="446"/>
      <c r="C35" s="447">
        <f>I5</f>
        <v>44299</v>
      </c>
      <c r="D35" s="447"/>
      <c r="E35" s="447"/>
      <c r="F35" s="446" t="str">
        <f>A35</f>
        <v>Day 5</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0" t="s">
        <v>944</v>
      </c>
      <c r="D37" s="440"/>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944</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6</v>
      </c>
      <c r="B54" s="442"/>
      <c r="C54" s="445">
        <f>I6</f>
        <v>44300</v>
      </c>
      <c r="D54" s="445"/>
      <c r="E54" s="445"/>
      <c r="F54" s="442" t="str">
        <f>A54</f>
        <v>Day 6</v>
      </c>
      <c r="G54" s="442"/>
      <c r="H54" s="74"/>
    </row>
    <row r="55" spans="1:8" ht="29">
      <c r="A55" s="442" t="s">
        <v>936</v>
      </c>
      <c r="B55" s="442"/>
      <c r="C55" s="68" t="str">
        <f>C36</f>
        <v>Mini team 1:ATM-5 / ATM-6 / ATM-7</v>
      </c>
      <c r="D55" s="68" t="str">
        <f>D36</f>
        <v>Mini team 2: ATM-1 / ATM-2 / ATM-3 / ATM-4</v>
      </c>
      <c r="E55" s="68" t="str">
        <f>E36</f>
        <v>LA team: van Zyl, Pieter and ATMs if applicable</v>
      </c>
      <c r="F55" s="442" t="s">
        <v>937</v>
      </c>
      <c r="G55" s="442"/>
      <c r="H55" s="74"/>
    </row>
    <row r="56" spans="1:8" ht="18" customHeight="1">
      <c r="A56" s="70">
        <v>0.41666666666666669</v>
      </c>
      <c r="B56" s="70">
        <v>0.4375</v>
      </c>
      <c r="C56" s="440" t="s">
        <v>946</v>
      </c>
      <c r="D56" s="440"/>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0" t="s">
        <v>944</v>
      </c>
      <c r="D71" s="440"/>
      <c r="E71" s="440"/>
      <c r="F71" s="70">
        <v>0.47916666666666669</v>
      </c>
      <c r="G71" s="70">
        <v>0.5</v>
      </c>
      <c r="H71" s="74"/>
    </row>
    <row r="72" spans="1:8" ht="18" customHeight="1">
      <c r="A72" s="70">
        <v>0.75</v>
      </c>
      <c r="B72" s="70">
        <v>0.83333333333333337</v>
      </c>
      <c r="C72" s="440" t="s">
        <v>945</v>
      </c>
      <c r="D72" s="440"/>
      <c r="E72" s="440"/>
      <c r="F72" s="70">
        <v>0.5</v>
      </c>
      <c r="G72" s="70">
        <v>0.58333333333333337</v>
      </c>
      <c r="H72" s="74"/>
    </row>
    <row r="73" spans="1:8">
      <c r="A73" s="442" t="str">
        <f>J7</f>
        <v>Day 7</v>
      </c>
      <c r="B73" s="442"/>
      <c r="C73" s="445">
        <f>I7</f>
        <v>44301</v>
      </c>
      <c r="D73" s="445"/>
      <c r="E73" s="445"/>
      <c r="F73" s="442" t="str">
        <f>A73</f>
        <v>Day 7</v>
      </c>
      <c r="G73" s="442"/>
      <c r="H73" s="74"/>
    </row>
    <row r="74" spans="1:8" ht="29">
      <c r="A74" s="442" t="s">
        <v>936</v>
      </c>
      <c r="B74" s="442"/>
      <c r="C74" s="68" t="str">
        <f>C55</f>
        <v>Mini team 1:ATM-5 / ATM-6 / ATM-7</v>
      </c>
      <c r="D74" s="68" t="str">
        <f>D55</f>
        <v>Mini team 2: ATM-1 / ATM-2 / ATM-3 / ATM-4</v>
      </c>
      <c r="E74" s="68"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44" t="s">
        <v>947</v>
      </c>
      <c r="D81" s="444"/>
      <c r="E81" s="444"/>
      <c r="F81" s="70">
        <v>0.29166666666666669</v>
      </c>
      <c r="G81" s="70">
        <v>0.3125</v>
      </c>
      <c r="H81" s="74"/>
    </row>
    <row r="82" spans="1:8" ht="18" customHeight="1">
      <c r="A82" s="70">
        <v>0.5625</v>
      </c>
      <c r="B82" s="70">
        <v>0.58333333333333337</v>
      </c>
      <c r="C82" s="444"/>
      <c r="D82" s="444"/>
      <c r="E82" s="444"/>
      <c r="F82" s="70">
        <v>0.3125</v>
      </c>
      <c r="G82" s="70">
        <v>0.33333333333333331</v>
      </c>
      <c r="H82" s="74"/>
    </row>
    <row r="83" spans="1:8" ht="18" customHeight="1">
      <c r="A83" s="70">
        <v>0.58333333333333337</v>
      </c>
      <c r="B83" s="70">
        <v>0.60416666666666663</v>
      </c>
      <c r="C83" s="444"/>
      <c r="D83" s="444"/>
      <c r="E83" s="444"/>
      <c r="F83" s="70">
        <v>0.33333333333333331</v>
      </c>
      <c r="G83" s="70">
        <v>0.35416666666666669</v>
      </c>
      <c r="H83" s="74"/>
    </row>
    <row r="84" spans="1:8" ht="18" customHeight="1">
      <c r="A84" s="70">
        <v>0.60416666666666663</v>
      </c>
      <c r="B84" s="70">
        <v>0.625</v>
      </c>
      <c r="C84" s="444"/>
      <c r="D84" s="444"/>
      <c r="E84" s="444"/>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8</v>
      </c>
      <c r="B92" s="442"/>
      <c r="C92" s="445">
        <f>I8</f>
        <v>44302</v>
      </c>
      <c r="D92" s="445"/>
      <c r="E92" s="445"/>
      <c r="F92" s="442" t="str">
        <f>A92</f>
        <v>Day 8</v>
      </c>
      <c r="G92" s="442"/>
      <c r="H92" s="74"/>
    </row>
    <row r="93" spans="1:8" ht="29">
      <c r="A93" s="442" t="s">
        <v>936</v>
      </c>
      <c r="B93" s="442"/>
      <c r="C93" s="68" t="str">
        <f>C74</f>
        <v>Mini team 1:ATM-5 / ATM-6 / ATM-7</v>
      </c>
      <c r="D93" s="68" t="str">
        <f>D74</f>
        <v>Mini team 2: ATM-1 / ATM-2 / ATM-3 / ATM-4</v>
      </c>
      <c r="E93" s="68"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1221</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Monday, 05 April 2021 (Technology test)</v>
      </c>
      <c r="B2" s="453"/>
      <c r="C2" s="453"/>
      <c r="D2" s="453"/>
      <c r="E2" s="453"/>
      <c r="F2" s="453"/>
      <c r="G2" s="453"/>
      <c r="H2" s="65"/>
      <c r="I2" s="135"/>
      <c r="J2" s="135"/>
      <c r="K2" s="135"/>
      <c r="L2" s="136"/>
      <c r="M2" s="136"/>
      <c r="N2" s="67"/>
      <c r="O2" s="67"/>
      <c r="P2" s="67"/>
    </row>
    <row r="3" spans="1:16">
      <c r="A3" s="442" t="str">
        <f>J3</f>
        <v>Day 1-3</v>
      </c>
      <c r="B3" s="442"/>
      <c r="C3" s="445" t="str">
        <f>CONCATENATE(TEXT(I3,"[$-x-sysdate]dddd, mmmm dd, yyyy")," to ",TEXT(K3,"[$-x-sysdate]dddd, mmmm dd, yyyy"))</f>
        <v>Friday, 09 April 2021 to Sunday, 11 April 2021</v>
      </c>
      <c r="D3" s="445"/>
      <c r="E3" s="445"/>
      <c r="F3" s="442" t="str">
        <f>A3</f>
        <v>Day 1-3</v>
      </c>
      <c r="G3" s="442"/>
      <c r="H3" s="65"/>
      <c r="I3" s="142">
        <f>Planning!B27</f>
        <v>44295</v>
      </c>
      <c r="J3" s="143" t="str">
        <f>_xlfn.CONCAT("Day 1-",L3)</f>
        <v>Day 1-3</v>
      </c>
      <c r="K3" s="144">
        <f>Planning!B27+Planning!B29-1</f>
        <v>44297</v>
      </c>
      <c r="L3" s="135">
        <f>K3-I3+1</f>
        <v>3</v>
      </c>
      <c r="M3" s="136"/>
      <c r="N3" s="67"/>
      <c r="O3" s="67"/>
      <c r="P3" s="67"/>
    </row>
    <row r="4" spans="1:16" ht="29">
      <c r="A4" s="442" t="s">
        <v>936</v>
      </c>
      <c r="B4" s="442"/>
      <c r="C4" s="233" t="str">
        <f>'Schedule4-1P'!C4</f>
        <v>Mini team 1:ATM-5 / ATM-6 / ATM-7</v>
      </c>
      <c r="D4" s="233" t="str">
        <f>'Schedule4-1P'!D4</f>
        <v>Mini team 2: ATM-1 / ATM-2 / ATM-3 / ATM-4</v>
      </c>
      <c r="E4" s="233" t="str">
        <f>'Schedule4-1P'!E4</f>
        <v>LA team: van Zyl, Pieter and ATMs if applicable</v>
      </c>
      <c r="F4" s="442" t="s">
        <v>937</v>
      </c>
      <c r="G4" s="442"/>
      <c r="H4" s="65"/>
      <c r="I4" s="142">
        <f>Planning!B30</f>
        <v>44298</v>
      </c>
      <c r="J4" s="143" t="str">
        <f>_xlfn.CONCAT("Day ",L4)</f>
        <v>Day 4</v>
      </c>
      <c r="K4" s="136"/>
      <c r="L4" s="145">
        <f>L3+1</f>
        <v>4</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5</v>
      </c>
      <c r="K5" s="136"/>
      <c r="L5" s="145">
        <f t="shared" ref="L5:L9" si="1">L4+1</f>
        <v>5</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6</v>
      </c>
      <c r="K6" s="136"/>
      <c r="L6" s="145">
        <f t="shared" si="1"/>
        <v>6</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7</v>
      </c>
      <c r="K7" s="136"/>
      <c r="L7" s="145">
        <f t="shared" si="1"/>
        <v>7</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8</v>
      </c>
      <c r="K8" s="136"/>
      <c r="L8" s="145">
        <f t="shared" si="1"/>
        <v>8</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9</v>
      </c>
      <c r="K9" s="136"/>
      <c r="L9" s="145">
        <f t="shared" si="1"/>
        <v>9</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0"/>
      <c r="D12" s="440"/>
      <c r="E12" s="440"/>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0"/>
      <c r="D13" s="440"/>
      <c r="E13" s="440"/>
      <c r="F13" s="70">
        <v>0.5</v>
      </c>
      <c r="G13" s="70">
        <v>0.54166666666666663</v>
      </c>
      <c r="H13" s="65"/>
      <c r="I13" s="135" t="str">
        <f>'P1PA-SS'!B95</f>
        <v>ATM-5</v>
      </c>
      <c r="K13" s="138"/>
      <c r="L13" s="135"/>
      <c r="M13" s="139"/>
      <c r="N13" s="67"/>
      <c r="O13" s="67"/>
      <c r="P13" s="67"/>
    </row>
    <row r="14" spans="1:16">
      <c r="I14" s="135"/>
      <c r="K14" s="43"/>
      <c r="L14" s="135"/>
      <c r="M14" s="139"/>
    </row>
    <row r="15" spans="1:16">
      <c r="A15" s="448" t="str">
        <f>CONCATENATE("Schedule above includes ",Planning!B28," non-working day(s).")</f>
        <v>Schedule above includes 0 non-working day(s).</v>
      </c>
      <c r="B15" s="448"/>
      <c r="C15" s="448"/>
      <c r="D15" s="448"/>
      <c r="E15" s="448"/>
      <c r="F15" s="448"/>
      <c r="G15" s="448"/>
      <c r="H15" s="65"/>
      <c r="K15" s="139"/>
      <c r="L15" s="136"/>
      <c r="M15" s="136"/>
      <c r="N15" s="67"/>
      <c r="O15" s="67"/>
      <c r="P15" s="67"/>
    </row>
    <row r="16" spans="1:16">
      <c r="A16" s="446" t="str">
        <f>J4</f>
        <v>Day 4</v>
      </c>
      <c r="B16" s="446"/>
      <c r="C16" s="447">
        <f>I4</f>
        <v>44298</v>
      </c>
      <c r="D16" s="447"/>
      <c r="E16" s="447"/>
      <c r="F16" s="446" t="str">
        <f>A16</f>
        <v>Day 4</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1138</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5</v>
      </c>
      <c r="B35" s="446"/>
      <c r="C35" s="447">
        <f>I5</f>
        <v>44299</v>
      </c>
      <c r="D35" s="447"/>
      <c r="E35" s="447"/>
      <c r="F35" s="446" t="str">
        <f>A35</f>
        <v>Day 5</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0" t="s">
        <v>944</v>
      </c>
      <c r="D37" s="440"/>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1138</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6</v>
      </c>
      <c r="B54" s="442"/>
      <c r="C54" s="445">
        <f>I6</f>
        <v>44300</v>
      </c>
      <c r="D54" s="445"/>
      <c r="E54" s="445"/>
      <c r="F54" s="442" t="str">
        <f>A54</f>
        <v>Day 6</v>
      </c>
      <c r="G54" s="442"/>
      <c r="H54" s="74"/>
    </row>
    <row r="55" spans="1:8" ht="29">
      <c r="A55" s="442" t="s">
        <v>936</v>
      </c>
      <c r="B55" s="442"/>
      <c r="C55" s="233" t="str">
        <f>C36</f>
        <v>Mini team 1:ATM-5 / ATM-6 / ATM-7</v>
      </c>
      <c r="D55" s="233" t="str">
        <f>D36</f>
        <v>Mini team 2: ATM-1 / ATM-2 / ATM-3 / ATM-4</v>
      </c>
      <c r="E55" s="233" t="str">
        <f>E36</f>
        <v>LA team: van Zyl, Pieter and ATMs if applicable</v>
      </c>
      <c r="F55" s="442" t="s">
        <v>937</v>
      </c>
      <c r="G55" s="442"/>
      <c r="H55" s="74"/>
    </row>
    <row r="56" spans="1:8" ht="18" customHeight="1">
      <c r="A56" s="70">
        <v>0.41666666666666669</v>
      </c>
      <c r="B56" s="70">
        <v>0.4375</v>
      </c>
      <c r="C56" s="440" t="s">
        <v>946</v>
      </c>
      <c r="D56" s="440"/>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4" t="s">
        <v>1137</v>
      </c>
      <c r="D71" s="455"/>
      <c r="E71" s="456"/>
      <c r="F71" s="70">
        <v>0.47916666666666669</v>
      </c>
      <c r="G71" s="70">
        <v>0.5</v>
      </c>
      <c r="H71" s="74"/>
    </row>
    <row r="72" spans="1:8" ht="18" customHeight="1">
      <c r="A72" s="70">
        <v>0.75</v>
      </c>
      <c r="B72" s="70">
        <v>0.83333333333333337</v>
      </c>
      <c r="C72" s="457"/>
      <c r="D72" s="458"/>
      <c r="E72" s="459"/>
      <c r="F72" s="70">
        <v>0.5</v>
      </c>
      <c r="G72" s="70">
        <v>0.58333333333333337</v>
      </c>
      <c r="H72" s="74"/>
    </row>
    <row r="73" spans="1:8">
      <c r="A73" s="442" t="str">
        <f>J7</f>
        <v>Day 7</v>
      </c>
      <c r="B73" s="442"/>
      <c r="C73" s="445">
        <f>I7</f>
        <v>44301</v>
      </c>
      <c r="D73" s="445"/>
      <c r="E73" s="445"/>
      <c r="F73" s="442" t="str">
        <f>A73</f>
        <v>Day 7</v>
      </c>
      <c r="G73" s="442"/>
      <c r="H73" s="74"/>
    </row>
    <row r="74" spans="1:8" ht="29">
      <c r="A74" s="442" t="s">
        <v>936</v>
      </c>
      <c r="B74" s="442"/>
      <c r="C74" s="233" t="str">
        <f>C55</f>
        <v>Mini team 1:ATM-5 / ATM-6 / ATM-7</v>
      </c>
      <c r="D74" s="233" t="str">
        <f>D55</f>
        <v>Mini team 2: ATM-1 / ATM-2 / ATM-3 / ATM-4</v>
      </c>
      <c r="E74" s="233"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54" t="s">
        <v>1137</v>
      </c>
      <c r="D81" s="455"/>
      <c r="E81" s="456"/>
      <c r="F81" s="70">
        <v>0.29166666666666669</v>
      </c>
      <c r="G81" s="70">
        <v>0.3125</v>
      </c>
      <c r="H81" s="74"/>
    </row>
    <row r="82" spans="1:8" ht="18" customHeight="1">
      <c r="A82" s="70">
        <v>0.5625</v>
      </c>
      <c r="B82" s="70">
        <v>0.58333333333333337</v>
      </c>
      <c r="C82" s="457"/>
      <c r="D82" s="458"/>
      <c r="E82" s="459"/>
      <c r="F82" s="70">
        <v>0.3125</v>
      </c>
      <c r="G82" s="70">
        <v>0.33333333333333331</v>
      </c>
      <c r="H82" s="74"/>
    </row>
    <row r="83" spans="1:8" ht="18" customHeight="1">
      <c r="A83" s="70">
        <v>0.58333333333333337</v>
      </c>
      <c r="B83" s="70">
        <v>0.60416666666666663</v>
      </c>
      <c r="C83" s="460" t="s">
        <v>947</v>
      </c>
      <c r="D83" s="461"/>
      <c r="E83" s="462"/>
      <c r="F83" s="70">
        <v>0.33333333333333331</v>
      </c>
      <c r="G83" s="70">
        <v>0.35416666666666669</v>
      </c>
      <c r="H83" s="74"/>
    </row>
    <row r="84" spans="1:8" ht="18" customHeight="1">
      <c r="A84" s="70">
        <v>0.60416666666666663</v>
      </c>
      <c r="B84" s="70">
        <v>0.625</v>
      </c>
      <c r="C84" s="463"/>
      <c r="D84" s="464"/>
      <c r="E84" s="465"/>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8</v>
      </c>
      <c r="B92" s="442"/>
      <c r="C92" s="445">
        <f>I8</f>
        <v>44302</v>
      </c>
      <c r="D92" s="445"/>
      <c r="E92" s="445"/>
      <c r="F92" s="442" t="str">
        <f>A92</f>
        <v>Day 8</v>
      </c>
      <c r="G92" s="442"/>
      <c r="H92" s="74"/>
    </row>
    <row r="93" spans="1:8" ht="29">
      <c r="A93" s="442" t="s">
        <v>936</v>
      </c>
      <c r="B93" s="442"/>
      <c r="C93" s="233" t="str">
        <f>C74</f>
        <v>Mini team 1:ATM-5 / ATM-6 / ATM-7</v>
      </c>
      <c r="D93" s="233" t="str">
        <f>D74</f>
        <v>Mini team 2: ATM-1 / ATM-2 / ATM-3 / ATM-4</v>
      </c>
      <c r="E93" s="233"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44295</v>
      </c>
      <c r="C2" s="347">
        <f>B2+1</f>
        <v>44296</v>
      </c>
      <c r="D2" s="347">
        <f t="shared" ref="D2:G2" si="0">C2+1</f>
        <v>44297</v>
      </c>
      <c r="E2" s="347">
        <f t="shared" si="0"/>
        <v>44298</v>
      </c>
      <c r="F2" s="347">
        <f t="shared" si="0"/>
        <v>44299</v>
      </c>
      <c r="G2" s="347">
        <f t="shared" si="0"/>
        <v>44300</v>
      </c>
      <c r="H2" s="348" t="s">
        <v>1533</v>
      </c>
    </row>
    <row r="3" spans="1:8" ht="29">
      <c r="A3" s="349">
        <v>0.41666666666666702</v>
      </c>
      <c r="B3" s="479" t="s">
        <v>1534</v>
      </c>
      <c r="C3" s="350" t="s">
        <v>1535</v>
      </c>
      <c r="D3" s="351" t="s">
        <v>1536</v>
      </c>
      <c r="E3" s="351" t="s">
        <v>1536</v>
      </c>
      <c r="F3" s="466" t="s">
        <v>1537</v>
      </c>
      <c r="G3" s="466" t="s">
        <v>1538</v>
      </c>
      <c r="H3" s="352">
        <f t="shared" ref="H3:H19" si="1">+A3-0.25</f>
        <v>0.16666666666666702</v>
      </c>
    </row>
    <row r="4" spans="1:8">
      <c r="A4" s="349">
        <v>0.4375</v>
      </c>
      <c r="B4" s="479"/>
      <c r="C4" s="353" t="s">
        <v>1539</v>
      </c>
      <c r="D4" s="467" t="s">
        <v>1540</v>
      </c>
      <c r="E4" s="467" t="s">
        <v>1541</v>
      </c>
      <c r="F4" s="466"/>
      <c r="G4" s="466"/>
      <c r="H4" s="352">
        <f t="shared" si="1"/>
        <v>0.1875</v>
      </c>
    </row>
    <row r="5" spans="1:8">
      <c r="A5" s="349">
        <v>0.45833333333333398</v>
      </c>
      <c r="B5" s="480" t="s">
        <v>1542</v>
      </c>
      <c r="C5" s="478" t="s">
        <v>1543</v>
      </c>
      <c r="D5" s="467"/>
      <c r="E5" s="467"/>
      <c r="F5" s="466"/>
      <c r="G5" s="466"/>
      <c r="H5" s="352">
        <f t="shared" si="1"/>
        <v>0.20833333333333398</v>
      </c>
    </row>
    <row r="6" spans="1:8">
      <c r="A6" s="349">
        <v>0.47916666666666702</v>
      </c>
      <c r="B6" s="480"/>
      <c r="C6" s="478"/>
      <c r="D6" s="467"/>
      <c r="E6" s="467"/>
      <c r="F6" s="466"/>
      <c r="G6" s="350" t="s">
        <v>1539</v>
      </c>
      <c r="H6" s="352">
        <f t="shared" si="1"/>
        <v>0.22916666666666702</v>
      </c>
    </row>
    <row r="7" spans="1:8">
      <c r="A7" s="349">
        <v>0.5</v>
      </c>
      <c r="B7" s="480"/>
      <c r="C7" s="467" t="s">
        <v>1544</v>
      </c>
      <c r="D7" s="467"/>
      <c r="E7" s="467"/>
      <c r="F7" s="474" t="s">
        <v>943</v>
      </c>
      <c r="G7" s="474" t="s">
        <v>943</v>
      </c>
      <c r="H7" s="352">
        <f t="shared" si="1"/>
        <v>0.25</v>
      </c>
    </row>
    <row r="8" spans="1:8" ht="29">
      <c r="A8" s="349">
        <v>0.52083333333333404</v>
      </c>
      <c r="B8" s="354" t="s">
        <v>1534</v>
      </c>
      <c r="C8" s="467"/>
      <c r="D8" s="467"/>
      <c r="E8" s="467"/>
      <c r="F8" s="474"/>
      <c r="G8" s="474"/>
      <c r="H8" s="352">
        <f t="shared" si="1"/>
        <v>0.27083333333333404</v>
      </c>
    </row>
    <row r="9" spans="1:8">
      <c r="A9" s="349">
        <v>0.54166666666666696</v>
      </c>
      <c r="B9" s="473" t="s">
        <v>943</v>
      </c>
      <c r="C9" s="474" t="s">
        <v>943</v>
      </c>
      <c r="D9" s="474" t="s">
        <v>943</v>
      </c>
      <c r="E9" s="474" t="s">
        <v>943</v>
      </c>
      <c r="F9" s="350" t="s">
        <v>1539</v>
      </c>
      <c r="G9" s="478" t="s">
        <v>800</v>
      </c>
      <c r="H9" s="352">
        <f t="shared" si="1"/>
        <v>0.29166666666666696</v>
      </c>
    </row>
    <row r="10" spans="1:8">
      <c r="A10" s="349">
        <v>0.5625</v>
      </c>
      <c r="B10" s="473"/>
      <c r="C10" s="474"/>
      <c r="D10" s="474"/>
      <c r="E10" s="474"/>
      <c r="F10" s="478" t="s">
        <v>1545</v>
      </c>
      <c r="G10" s="478"/>
      <c r="H10" s="352">
        <f t="shared" si="1"/>
        <v>0.3125</v>
      </c>
    </row>
    <row r="11" spans="1:8">
      <c r="A11" s="349">
        <v>0.58333333333333304</v>
      </c>
      <c r="B11" s="479" t="s">
        <v>1546</v>
      </c>
      <c r="C11" s="467" t="s">
        <v>1547</v>
      </c>
      <c r="D11" s="467" t="s">
        <v>1548</v>
      </c>
      <c r="E11" s="467" t="s">
        <v>1549</v>
      </c>
      <c r="F11" s="478"/>
      <c r="G11" s="466" t="s">
        <v>1550</v>
      </c>
      <c r="H11" s="352">
        <f t="shared" si="1"/>
        <v>0.33333333333333304</v>
      </c>
    </row>
    <row r="12" spans="1:8">
      <c r="A12" s="349">
        <v>0.60416666666666696</v>
      </c>
      <c r="B12" s="479"/>
      <c r="C12" s="467"/>
      <c r="D12" s="467"/>
      <c r="E12" s="467"/>
      <c r="F12" s="478" t="s">
        <v>1551</v>
      </c>
      <c r="G12" s="466"/>
      <c r="H12" s="352">
        <f t="shared" si="1"/>
        <v>0.35416666666666696</v>
      </c>
    </row>
    <row r="13" spans="1:8">
      <c r="A13" s="349">
        <v>0.625</v>
      </c>
      <c r="B13" s="479"/>
      <c r="C13" s="467"/>
      <c r="D13" s="467" t="s">
        <v>1552</v>
      </c>
      <c r="E13" s="467"/>
      <c r="F13" s="478"/>
      <c r="G13" s="466"/>
      <c r="H13" s="352">
        <f t="shared" si="1"/>
        <v>0.375</v>
      </c>
    </row>
    <row r="14" spans="1:8">
      <c r="A14" s="349">
        <v>0.64583333333333304</v>
      </c>
      <c r="B14" s="479"/>
      <c r="C14" s="467"/>
      <c r="D14" s="467"/>
      <c r="E14" s="467"/>
      <c r="F14" s="466" t="s">
        <v>1538</v>
      </c>
      <c r="G14" s="481" t="s">
        <v>1553</v>
      </c>
      <c r="H14" s="352">
        <f t="shared" si="1"/>
        <v>0.39583333333333304</v>
      </c>
    </row>
    <row r="15" spans="1:8">
      <c r="A15" s="349">
        <v>0.66666666666666696</v>
      </c>
      <c r="B15" s="479"/>
      <c r="C15" s="353" t="s">
        <v>1539</v>
      </c>
      <c r="D15" s="467"/>
      <c r="E15" s="466" t="s">
        <v>1537</v>
      </c>
      <c r="F15" s="466"/>
      <c r="G15" s="481"/>
      <c r="H15" s="352">
        <f t="shared" si="1"/>
        <v>0.41666666666666696</v>
      </c>
    </row>
    <row r="16" spans="1:8">
      <c r="A16" s="349">
        <v>0.6875</v>
      </c>
      <c r="B16" s="479"/>
      <c r="C16" s="467" t="s">
        <v>1554</v>
      </c>
      <c r="D16" s="467" t="s">
        <v>1555</v>
      </c>
      <c r="E16" s="466"/>
      <c r="F16" s="466"/>
      <c r="G16" s="481"/>
      <c r="H16" s="352">
        <f t="shared" si="1"/>
        <v>0.4375</v>
      </c>
    </row>
    <row r="17" spans="1:8">
      <c r="A17" s="349">
        <v>0.70833333333333304</v>
      </c>
      <c r="B17" s="355" t="s">
        <v>1556</v>
      </c>
      <c r="C17" s="467"/>
      <c r="D17" s="467"/>
      <c r="E17" s="466"/>
      <c r="F17" s="466"/>
      <c r="G17" s="481"/>
      <c r="H17" s="352">
        <f t="shared" si="1"/>
        <v>0.45833333333333304</v>
      </c>
    </row>
    <row r="18" spans="1:8">
      <c r="A18" s="349">
        <v>0.72916666666666663</v>
      </c>
      <c r="B18" s="356" t="s">
        <v>1536</v>
      </c>
      <c r="C18" s="351" t="s">
        <v>1536</v>
      </c>
      <c r="D18" s="351" t="s">
        <v>1536</v>
      </c>
      <c r="E18" s="351" t="s">
        <v>1536</v>
      </c>
      <c r="F18" s="351" t="s">
        <v>1536</v>
      </c>
      <c r="G18" s="481"/>
      <c r="H18" s="352">
        <f t="shared" si="1"/>
        <v>0.47916666666666663</v>
      </c>
    </row>
    <row r="19" spans="1:8" ht="15" thickBot="1">
      <c r="A19" s="357">
        <v>0.75</v>
      </c>
      <c r="B19" s="475" t="s">
        <v>945</v>
      </c>
      <c r="C19" s="476"/>
      <c r="D19" s="476"/>
      <c r="E19" s="476"/>
      <c r="F19" s="476"/>
      <c r="G19" s="476"/>
      <c r="H19" s="358">
        <f t="shared" si="1"/>
        <v>0.5</v>
      </c>
    </row>
    <row r="21" spans="1:8" ht="15" thickBot="1">
      <c r="A21" s="8" t="s">
        <v>1557</v>
      </c>
    </row>
    <row r="22" spans="1:8">
      <c r="A22" s="345" t="s">
        <v>1532</v>
      </c>
      <c r="B22" s="346">
        <f>Planning!B27</f>
        <v>44295</v>
      </c>
      <c r="C22" s="346">
        <f>B22+1</f>
        <v>44296</v>
      </c>
      <c r="D22" s="346">
        <f t="shared" ref="D22:F22" si="2">C22+1</f>
        <v>44297</v>
      </c>
      <c r="E22" s="346">
        <f t="shared" si="2"/>
        <v>44298</v>
      </c>
      <c r="F22" s="346">
        <f t="shared" si="2"/>
        <v>44299</v>
      </c>
      <c r="G22" s="346">
        <f>F22+1</f>
        <v>44300</v>
      </c>
      <c r="H22" s="348" t="s">
        <v>1533</v>
      </c>
    </row>
    <row r="23" spans="1:8" ht="29">
      <c r="A23" s="349">
        <v>0.41666666666666702</v>
      </c>
      <c r="B23" s="479" t="s">
        <v>1534</v>
      </c>
      <c r="C23" s="350" t="s">
        <v>1535</v>
      </c>
      <c r="D23" s="351" t="s">
        <v>1536</v>
      </c>
      <c r="E23" s="351" t="s">
        <v>1536</v>
      </c>
      <c r="F23" s="468" t="s">
        <v>1537</v>
      </c>
      <c r="G23" s="468" t="s">
        <v>1538</v>
      </c>
      <c r="H23" s="352">
        <f t="shared" ref="H23:H39" si="3">+A23-0.25</f>
        <v>0.16666666666666702</v>
      </c>
    </row>
    <row r="24" spans="1:8">
      <c r="A24" s="349">
        <v>0.4375</v>
      </c>
      <c r="B24" s="479"/>
      <c r="C24" s="353" t="s">
        <v>1539</v>
      </c>
      <c r="D24" s="467" t="s">
        <v>1540</v>
      </c>
      <c r="E24" s="467" t="s">
        <v>1541</v>
      </c>
      <c r="F24" s="477"/>
      <c r="G24" s="477"/>
      <c r="H24" s="352">
        <f t="shared" si="3"/>
        <v>0.1875</v>
      </c>
    </row>
    <row r="25" spans="1:8">
      <c r="A25" s="349">
        <v>0.45833333333333398</v>
      </c>
      <c r="B25" s="480" t="s">
        <v>1542</v>
      </c>
      <c r="C25" s="478" t="s">
        <v>1543</v>
      </c>
      <c r="D25" s="467"/>
      <c r="E25" s="467"/>
      <c r="F25" s="477"/>
      <c r="G25" s="477"/>
      <c r="H25" s="352">
        <f t="shared" si="3"/>
        <v>0.20833333333333398</v>
      </c>
    </row>
    <row r="26" spans="1:8">
      <c r="A26" s="349">
        <v>0.47916666666666702</v>
      </c>
      <c r="B26" s="480"/>
      <c r="C26" s="478"/>
      <c r="D26" s="467"/>
      <c r="E26" s="467"/>
      <c r="F26" s="477"/>
      <c r="G26" s="477"/>
      <c r="H26" s="352">
        <f t="shared" si="3"/>
        <v>0.22916666666666702</v>
      </c>
    </row>
    <row r="27" spans="1:8">
      <c r="A27" s="349">
        <v>0.5</v>
      </c>
      <c r="B27" s="480"/>
      <c r="C27" s="467" t="s">
        <v>1544</v>
      </c>
      <c r="D27" s="467"/>
      <c r="E27" s="467"/>
      <c r="F27" s="477"/>
      <c r="G27" s="477"/>
      <c r="H27" s="352">
        <f t="shared" si="3"/>
        <v>0.25</v>
      </c>
    </row>
    <row r="28" spans="1:8" ht="29">
      <c r="A28" s="349">
        <v>0.52083333333333404</v>
      </c>
      <c r="B28" s="354" t="s">
        <v>1534</v>
      </c>
      <c r="C28" s="467"/>
      <c r="D28" s="467"/>
      <c r="E28" s="467"/>
      <c r="F28" s="469"/>
      <c r="G28" s="469"/>
      <c r="H28" s="352">
        <f t="shared" si="3"/>
        <v>0.27083333333333404</v>
      </c>
    </row>
    <row r="29" spans="1:8">
      <c r="A29" s="349">
        <v>0.54166666666666696</v>
      </c>
      <c r="B29" s="473" t="s">
        <v>943</v>
      </c>
      <c r="C29" s="474" t="s">
        <v>943</v>
      </c>
      <c r="D29" s="474" t="s">
        <v>943</v>
      </c>
      <c r="E29" s="474" t="s">
        <v>943</v>
      </c>
      <c r="F29" s="474" t="s">
        <v>943</v>
      </c>
      <c r="G29" s="474" t="s">
        <v>943</v>
      </c>
      <c r="H29" s="352">
        <f t="shared" si="3"/>
        <v>0.29166666666666696</v>
      </c>
    </row>
    <row r="30" spans="1:8">
      <c r="A30" s="349">
        <v>0.5625</v>
      </c>
      <c r="B30" s="473"/>
      <c r="C30" s="474"/>
      <c r="D30" s="474"/>
      <c r="E30" s="474"/>
      <c r="F30" s="474"/>
      <c r="G30" s="474"/>
      <c r="H30" s="352">
        <f t="shared" si="3"/>
        <v>0.3125</v>
      </c>
    </row>
    <row r="31" spans="1:8">
      <c r="A31" s="349">
        <v>0.58333333333333304</v>
      </c>
      <c r="B31" s="468" t="s">
        <v>1546</v>
      </c>
      <c r="C31" s="467" t="s">
        <v>1547</v>
      </c>
      <c r="D31" s="467" t="s">
        <v>1548</v>
      </c>
      <c r="E31" s="467" t="s">
        <v>1549</v>
      </c>
      <c r="F31" s="351" t="s">
        <v>1539</v>
      </c>
      <c r="G31" s="351" t="s">
        <v>1539</v>
      </c>
      <c r="H31" s="352">
        <f t="shared" si="3"/>
        <v>0.33333333333333304</v>
      </c>
    </row>
    <row r="32" spans="1:8">
      <c r="A32" s="349">
        <v>0.60416666666666696</v>
      </c>
      <c r="B32" s="477"/>
      <c r="C32" s="467"/>
      <c r="D32" s="467"/>
      <c r="E32" s="467"/>
      <c r="F32" s="478" t="s">
        <v>1545</v>
      </c>
      <c r="G32" s="478" t="s">
        <v>800</v>
      </c>
      <c r="H32" s="352">
        <f t="shared" si="3"/>
        <v>0.35416666666666696</v>
      </c>
    </row>
    <row r="33" spans="1:8">
      <c r="A33" s="349">
        <v>0.625</v>
      </c>
      <c r="B33" s="477"/>
      <c r="C33" s="467"/>
      <c r="D33" s="467" t="s">
        <v>1552</v>
      </c>
      <c r="E33" s="467"/>
      <c r="F33" s="478"/>
      <c r="G33" s="478"/>
      <c r="H33" s="352">
        <f t="shared" si="3"/>
        <v>0.375</v>
      </c>
    </row>
    <row r="34" spans="1:8">
      <c r="A34" s="349">
        <v>0.64583333333333304</v>
      </c>
      <c r="B34" s="477"/>
      <c r="C34" s="467"/>
      <c r="D34" s="467"/>
      <c r="E34" s="467"/>
      <c r="F34" s="478" t="s">
        <v>1551</v>
      </c>
      <c r="G34" s="470" t="s">
        <v>1558</v>
      </c>
      <c r="H34" s="352">
        <f t="shared" si="3"/>
        <v>0.39583333333333304</v>
      </c>
    </row>
    <row r="35" spans="1:8">
      <c r="A35" s="349">
        <v>0.66666666666666696</v>
      </c>
      <c r="B35" s="469"/>
      <c r="C35" s="353" t="s">
        <v>1539</v>
      </c>
      <c r="D35" s="467"/>
      <c r="E35" s="466" t="s">
        <v>1537</v>
      </c>
      <c r="F35" s="478"/>
      <c r="G35" s="471"/>
      <c r="H35" s="352">
        <f t="shared" si="3"/>
        <v>0.41666666666666696</v>
      </c>
    </row>
    <row r="36" spans="1:8">
      <c r="A36" s="349">
        <v>0.6875</v>
      </c>
      <c r="B36" s="359" t="s">
        <v>1559</v>
      </c>
      <c r="C36" s="467" t="s">
        <v>1554</v>
      </c>
      <c r="D36" s="467" t="s">
        <v>1555</v>
      </c>
      <c r="E36" s="466"/>
      <c r="F36" s="468" t="s">
        <v>1538</v>
      </c>
      <c r="G36" s="470" t="s">
        <v>1560</v>
      </c>
      <c r="H36" s="352">
        <f t="shared" si="3"/>
        <v>0.4375</v>
      </c>
    </row>
    <row r="37" spans="1:8">
      <c r="A37" s="349">
        <v>0.70833333333333304</v>
      </c>
      <c r="B37" s="355" t="s">
        <v>1556</v>
      </c>
      <c r="C37" s="467"/>
      <c r="D37" s="467"/>
      <c r="E37" s="466"/>
      <c r="F37" s="469"/>
      <c r="G37" s="471"/>
      <c r="H37" s="352">
        <f t="shared" si="3"/>
        <v>0.45833333333333304</v>
      </c>
    </row>
    <row r="38" spans="1:8">
      <c r="A38" s="349">
        <v>0.72916666666666663</v>
      </c>
      <c r="B38" s="356" t="s">
        <v>1536</v>
      </c>
      <c r="C38" s="351" t="s">
        <v>1536</v>
      </c>
      <c r="D38" s="351" t="s">
        <v>1536</v>
      </c>
      <c r="E38" s="351" t="s">
        <v>1536</v>
      </c>
      <c r="F38" s="351" t="s">
        <v>1536</v>
      </c>
      <c r="G38" s="472"/>
      <c r="H38" s="352">
        <f t="shared" si="3"/>
        <v>0.47916666666666663</v>
      </c>
    </row>
    <row r="39" spans="1:8" ht="15" thickBot="1">
      <c r="A39" s="357">
        <v>0.75</v>
      </c>
      <c r="B39" s="475" t="s">
        <v>945</v>
      </c>
      <c r="C39" s="476"/>
      <c r="D39" s="476"/>
      <c r="E39" s="476"/>
      <c r="F39" s="476"/>
      <c r="G39" s="476"/>
      <c r="H39" s="35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B17" sqref="B1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D27" sqref="D2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15" sqref="B15"/>
    </sheetView>
  </sheetViews>
  <sheetFormatPr defaultRowHeight="14.5"/>
  <cols>
    <col min="1" max="3" width="35.26953125" customWidth="1"/>
  </cols>
  <sheetData>
    <row r="1" spans="1:3">
      <c r="A1" t="s">
        <v>1321</v>
      </c>
      <c r="B1" t="s">
        <v>1322</v>
      </c>
      <c r="C1" t="s">
        <v>1323</v>
      </c>
    </row>
    <row r="2" spans="1:3">
      <c r="A2" t="s">
        <v>1636</v>
      </c>
      <c r="B2" t="s">
        <v>1165</v>
      </c>
      <c r="C2" t="s">
        <v>1402</v>
      </c>
    </row>
    <row r="3" spans="1:3">
      <c r="A3" t="s">
        <v>1635</v>
      </c>
      <c r="B3" t="s">
        <v>918</v>
      </c>
      <c r="C3" t="s">
        <v>1402</v>
      </c>
    </row>
    <row r="4" spans="1:3">
      <c r="A4" t="s">
        <v>1639</v>
      </c>
      <c r="B4" t="s">
        <v>917</v>
      </c>
      <c r="C4" t="s">
        <v>1402</v>
      </c>
    </row>
    <row r="5" spans="1:3">
      <c r="A5" t="s">
        <v>1642</v>
      </c>
      <c r="B5" t="s">
        <v>1330</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A2" sqref="A2:H12"/>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1642</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16" sqref="G16"/>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1642</v>
      </c>
      <c r="D5" t="s">
        <v>1358</v>
      </c>
      <c r="E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1" t="s">
        <v>1096</v>
      </c>
      <c r="C2" s="491" t="s">
        <v>1097</v>
      </c>
      <c r="D2" s="482" t="s">
        <v>1098</v>
      </c>
      <c r="E2" s="484"/>
      <c r="F2" s="485" t="s">
        <v>1099</v>
      </c>
      <c r="G2" s="487"/>
      <c r="H2" s="482" t="s">
        <v>1100</v>
      </c>
      <c r="I2" s="483"/>
      <c r="J2" s="483"/>
      <c r="K2" s="484"/>
      <c r="L2" s="485" t="s">
        <v>1101</v>
      </c>
      <c r="M2" s="486"/>
      <c r="N2" s="487"/>
      <c r="O2" s="212" t="s">
        <v>1102</v>
      </c>
      <c r="P2" s="213" t="s">
        <v>1103</v>
      </c>
      <c r="Q2" s="482" t="s">
        <v>1104</v>
      </c>
      <c r="R2" s="483"/>
      <c r="S2" s="484"/>
      <c r="T2" s="485" t="s">
        <v>1105</v>
      </c>
      <c r="U2" s="486"/>
      <c r="V2" s="487"/>
      <c r="W2" s="209" t="s">
        <v>1106</v>
      </c>
    </row>
    <row r="3" spans="2:28" ht="15.5">
      <c r="B3" s="492"/>
      <c r="C3" s="492"/>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8"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89"/>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89"/>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89"/>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0"/>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88"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89"/>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89"/>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89"/>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89"/>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89"/>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89"/>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89"/>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0"/>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8"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89"/>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89"/>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89"/>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89"/>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89"/>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89"/>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0"/>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8"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89"/>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89"/>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89"/>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89"/>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0"/>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3"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93"/>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93"/>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93"/>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94" t="s">
        <v>1096</v>
      </c>
      <c r="C50" s="494" t="s">
        <v>1097</v>
      </c>
      <c r="D50" s="495" t="s">
        <v>1098</v>
      </c>
      <c r="E50" s="495"/>
      <c r="F50" s="496" t="s">
        <v>1099</v>
      </c>
      <c r="G50" s="496"/>
      <c r="H50" s="495" t="s">
        <v>1100</v>
      </c>
      <c r="I50" s="495"/>
      <c r="J50" s="495"/>
      <c r="K50" s="495"/>
      <c r="L50" s="496" t="s">
        <v>1101</v>
      </c>
      <c r="M50" s="496"/>
      <c r="N50" s="496"/>
      <c r="O50" s="212" t="s">
        <v>1102</v>
      </c>
      <c r="P50" s="213" t="s">
        <v>1103</v>
      </c>
      <c r="Q50" s="495" t="s">
        <v>1104</v>
      </c>
      <c r="R50" s="495"/>
      <c r="S50" s="495"/>
      <c r="T50" s="496" t="s">
        <v>1105</v>
      </c>
      <c r="U50" s="496"/>
      <c r="V50" s="496"/>
      <c r="W50" s="209" t="s">
        <v>1106</v>
      </c>
    </row>
    <row r="51" spans="2:28" ht="15.5">
      <c r="B51" s="494"/>
      <c r="C51" s="49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3"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93"/>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93"/>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93"/>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93"/>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93"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93"/>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93"/>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93"/>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93"/>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93"/>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93"/>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93"/>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93"/>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3"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93"/>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93"/>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93"/>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93"/>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93"/>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93"/>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93"/>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3"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93"/>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93"/>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93"/>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93"/>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93"/>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3"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93"/>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93"/>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93"/>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44301</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44291</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44317</v>
      </c>
      <c r="E26" s="162"/>
      <c r="G26" s="177" t="str">
        <f>G23</f>
        <v>16 Apr 2024</v>
      </c>
      <c r="H26" s="171" t="s">
        <v>1053</v>
      </c>
    </row>
    <row r="27" spans="1:9" s="8" customFormat="1" ht="15.5">
      <c r="A27" s="160"/>
      <c r="B27" s="175" t="s">
        <v>1054</v>
      </c>
      <c r="C27" s="175" t="s">
        <v>1055</v>
      </c>
      <c r="D27" s="176">
        <f>D26+14</f>
        <v>44331</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44345</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c r="B2" s="400" t="str">
        <f>IF(StartupInfo!B4="","",StartupInfo!B4)</f>
        <v>Mars</v>
      </c>
      <c r="D2" s="405"/>
      <c r="J2" s="406"/>
    </row>
    <row r="3" spans="1:10">
      <c r="A3" s="407" t="s">
        <v>429</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6" t="str">
        <f>'P1PA-SS'!B76</f>
        <v>CMMI Development V2.0 (CMMI-DEV) without SAM</v>
      </c>
      <c r="B2" s="507"/>
      <c r="C2" s="507"/>
      <c r="E2" s="373" t="s">
        <v>1348</v>
      </c>
      <c r="F2" s="373">
        <f>VALUE(RIGHT(Planning!B10,1))</f>
        <v>5</v>
      </c>
      <c r="G2" s="361" t="s">
        <v>1349</v>
      </c>
      <c r="J2" s="506" t="str">
        <f>'P1PA-SS'!B76</f>
        <v>CMMI Development V2.0 (CMMI-DEV) without SAM</v>
      </c>
      <c r="K2" s="507"/>
      <c r="L2" s="507"/>
      <c r="M2" s="507"/>
      <c r="N2" s="507"/>
      <c r="O2" s="507"/>
    </row>
    <row r="3" spans="1:20" s="360" customFormat="1">
      <c r="A3" s="508" t="str">
        <f>'P1PA-SS'!B75</f>
        <v>Maturity Level 5</v>
      </c>
      <c r="B3" s="509"/>
      <c r="C3" s="509"/>
      <c r="D3" s="371"/>
      <c r="E3" s="371"/>
      <c r="F3" s="371"/>
      <c r="G3" s="376"/>
      <c r="H3" s="376"/>
      <c r="I3" s="376"/>
      <c r="J3" s="508" t="str">
        <f>'P1PA-SS'!B75</f>
        <v>Maturity Level 5</v>
      </c>
      <c r="K3" s="509"/>
      <c r="L3" s="509"/>
      <c r="M3" s="509"/>
      <c r="N3" s="509"/>
      <c r="O3" s="509"/>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5"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5"/>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5"/>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5"/>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0"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0"/>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1"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1"/>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1"/>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2"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2"/>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2"/>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13"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13"/>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14"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14"/>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14"/>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2021-02-14T17:59:18Z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