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8_{55126628-85A0-4B55-BECD-4ACF3166DA2A}" xr6:coauthVersionLast="47" xr6:coauthVersionMax="47" xr10:uidLastSave="{00000000-0000-0000-0000-000000000000}"/>
  <bookViews>
    <workbookView xWindow="1536" yWindow="1536" windowWidth="17280" windowHeight="8880" tabRatio="859" firstSheet="32" activeTab="3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B2" i="74"/>
  <c r="V88" i="15" l="1"/>
  <c r="I88" i="15"/>
  <c r="H88" i="15"/>
  <c r="D88" i="15"/>
  <c r="B88" i="15"/>
  <c r="A88" i="15"/>
  <c r="C6" i="44"/>
  <c r="B6" i="44"/>
  <c r="A6" i="44"/>
  <c r="C2" i="44"/>
  <c r="B2" i="44"/>
  <c r="A2" i="44"/>
  <c r="B3" i="74"/>
  <c r="A3"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<sst xmlns="http://schemas.openxmlformats.org/spreadsheetml/2006/main" count="4255" uniqueCount="1680">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</sst>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2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77734375" customWidth="1"/>
    <col min="2" max="8" width="11.77734375" style="132" customWidth="1"/>
    <col min="9" max="10" width="8.77734375" style="57"/>
    <col min="11" max="11" width="16.44140625" style="57" customWidth="1"/>
    <col min="12" max="29" width="8.77734375" style="57"/>
    <col min="30" max="30" width="30.77734375" style="77" customWidth="1"/>
    <col min="31" max="32" width="8.77734375" style="77"/>
    <col min="33" max="16384" width="8.7773437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55"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30" t="s">
        <v>1175</v>
      </c>
      <c r="AD1" s="430"/>
      <c r="AE1" s="430"/>
      <c r="AF1" s="430"/>
      <c r="AG1" s="430"/>
      <c r="AH1" s="430"/>
      <c r="AI1" s="430"/>
      <c r="AJ1" s="430"/>
    </row>
    <row r="2" spans="1:36" s="400" customFormat="1" ht="68.400000000000006">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21875" style="62" customWidth="1"/>
    <col min="3" max="3" width="36.77734375" style="62" bestFit="1" customWidth="1"/>
    <col min="4" max="4" width="26.44140625" style="62" bestFit="1" customWidth="1"/>
    <col min="5" max="5" width="42.21875" style="62" customWidth="1"/>
    <col min="6" max="25" width="7.77734375" style="63" customWidth="1"/>
    <col min="26" max="16384" width="10.7773437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77734375" bestFit="1" customWidth="1"/>
    <col min="2" max="2" width="10.7773437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1361</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1156</v>
      </c>
    </row>
    <row r="148" spans="1:3" ht="15" thickBot="1">
      <c r="A148" s="435"/>
      <c r="B148" s="437"/>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7773437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2" t="s">
        <v>1424</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773437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77734375" style="128"/>
    <col min="7" max="7" width="8.21875" style="64" bestFit="1" customWidth="1"/>
    <col min="8" max="8" width="34.21875" style="125" bestFit="1" customWidth="1"/>
    <col min="9" max="9" width="8.44140625" style="125" bestFit="1" customWidth="1"/>
    <col min="10" max="16" width="9.44140625" style="125" customWidth="1"/>
    <col min="17" max="16384" width="8.7773437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21875" bestFit="1" customWidth="1"/>
    <col min="2" max="2" width="14.77734375" bestFit="1" customWidth="1"/>
    <col min="4" max="4" width="29.7773437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39" t="s">
        <v>1195</v>
      </c>
      <c r="B1" s="439"/>
      <c r="C1" s="439"/>
      <c r="D1" s="439"/>
      <c r="E1" s="439"/>
      <c r="F1" s="439"/>
      <c r="G1" s="439"/>
      <c r="H1" s="65"/>
      <c r="I1" s="140" t="s">
        <v>925</v>
      </c>
      <c r="J1" s="141" t="s">
        <v>926</v>
      </c>
      <c r="K1" s="135" t="s">
        <v>927</v>
      </c>
      <c r="L1" s="135" t="s">
        <v>928</v>
      </c>
      <c r="M1" s="136"/>
      <c r="N1" s="67"/>
      <c r="O1" s="67"/>
      <c r="P1" s="67"/>
    </row>
    <row r="2" spans="1:16" ht="14.7"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28.8">
      <c r="A4" s="438" t="s">
        <v>929</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930</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931</v>
      </c>
      <c r="D5" s="443" t="s">
        <v>931</v>
      </c>
      <c r="E5" s="443"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'P1PA-SS'!B96</f>
        <v>ATM-5</v>
      </c>
      <c r="M15" s="136"/>
      <c r="N15" s="67"/>
      <c r="O15" s="67"/>
      <c r="P15" s="67"/>
    </row>
    <row r="16" spans="1:16">
      <c r="A16" s="445" t="str">
        <f>J4</f>
        <v>Day 3</v>
      </c>
      <c r="B16" s="445"/>
      <c r="C16" s="446">
        <f>I4</f>
        <v>44298</v>
      </c>
      <c r="D16" s="446"/>
      <c r="E16" s="446"/>
      <c r="F16" s="445" t="str">
        <f>A16</f>
        <v>Day 3</v>
      </c>
      <c r="G16" s="445"/>
      <c r="H16" s="65"/>
      <c r="I16" s="135"/>
      <c r="K16" s="139"/>
      <c r="L16" s="135" t="str">
        <f>'P1PA-SS'!B97</f>
        <v>ATM-6</v>
      </c>
      <c r="M16" s="136"/>
      <c r="N16" s="67"/>
      <c r="O16" s="67"/>
      <c r="P16" s="67"/>
    </row>
    <row r="17" spans="1:18" ht="28.8">
      <c r="A17" s="445" t="s">
        <v>929</v>
      </c>
      <c r="B17" s="445"/>
      <c r="C17" s="71" t="str">
        <f>C4</f>
        <v>Mini team 1:ATM-5 / ATM-6 / ATM-7</v>
      </c>
      <c r="D17" s="71" t="str">
        <f>D4</f>
        <v>Full team: ATM-1 / ATM-2 / ATM-3 / ATM-4 /ATM-5 / ATM-6 / ATM-7 / ATM-8</v>
      </c>
      <c r="E17" s="71" t="str">
        <f>E4</f>
        <v>LA team: van Zyl, Pieter and ATMs if applicable</v>
      </c>
      <c r="F17" s="445" t="s">
        <v>930</v>
      </c>
      <c r="G17" s="445"/>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7" t="s">
        <v>984</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985</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936</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986</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937</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1665</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937</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938</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929</v>
      </c>
      <c r="B36" s="445"/>
      <c r="C36" s="71" t="str">
        <f>C17</f>
        <v>Mini team 1:ATM-5 / ATM-6 / ATM-7</v>
      </c>
      <c r="D36" s="71" t="str">
        <f>D17</f>
        <v>Full team: ATM-1 / ATM-2 / ATM-3 / ATM-4 /ATM-5 / ATM-6 / ATM-7 / ATM-8</v>
      </c>
      <c r="E36" s="71" t="str">
        <f>E17</f>
        <v>LA team: van Zyl, Pieter and ATMs if applicable</v>
      </c>
      <c r="F36" s="445" t="s">
        <v>930</v>
      </c>
      <c r="G36" s="445"/>
      <c r="H36" s="74"/>
    </row>
    <row r="37" spans="1:16" ht="18" customHeight="1">
      <c r="A37" s="70">
        <v>0.41666666666666669</v>
      </c>
      <c r="B37" s="70">
        <v>0.4375</v>
      </c>
      <c r="C37" s="443" t="s">
        <v>937</v>
      </c>
      <c r="D37" s="443"/>
      <c r="E37" s="72" t="s">
        <v>935</v>
      </c>
      <c r="F37" s="70">
        <v>0.16666666666666666</v>
      </c>
      <c r="G37" s="70">
        <v>0.1875</v>
      </c>
      <c r="H37" s="74"/>
    </row>
    <row r="38" spans="1:16" ht="18" customHeight="1">
      <c r="A38" s="70">
        <v>0.4375</v>
      </c>
      <c r="B38" s="70">
        <v>0.45833333333333331</v>
      </c>
      <c r="C38" s="442" t="s">
        <v>987</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936</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1666</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937</v>
      </c>
      <c r="D48" s="443"/>
      <c r="E48" s="443" t="s">
        <v>935</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988</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937</v>
      </c>
      <c r="D52" s="443"/>
      <c r="E52" s="443"/>
      <c r="F52" s="70">
        <v>0.47916666666666669</v>
      </c>
      <c r="G52" s="70">
        <v>0.5</v>
      </c>
      <c r="H52" s="74"/>
    </row>
    <row r="53" spans="1:8" ht="18" customHeight="1">
      <c r="A53" s="70">
        <v>0.75</v>
      </c>
      <c r="B53" s="70">
        <v>0.83333333333333337</v>
      </c>
      <c r="C53" s="443" t="s">
        <v>938</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929</v>
      </c>
      <c r="B55" s="438"/>
      <c r="C55" s="68" t="str">
        <f>C36</f>
        <v>Mini team 1:ATM-5 / ATM-6 / ATM-7</v>
      </c>
      <c r="D55" s="68" t="str">
        <f>D36</f>
        <v>Full team: ATM-1 / ATM-2 / ATM-3 / ATM-4 /ATM-5 / ATM-6 / ATM-7 / ATM-8</v>
      </c>
      <c r="E55" s="68" t="str">
        <f>E36</f>
        <v>LA team: van Zyl, Pieter and ATMs if applicable</v>
      </c>
      <c r="F55" s="438" t="s">
        <v>930</v>
      </c>
      <c r="G55" s="438"/>
      <c r="H55" s="74"/>
    </row>
    <row r="56" spans="1:8" ht="18" customHeight="1">
      <c r="A56" s="70">
        <v>0.41666666666666669</v>
      </c>
      <c r="B56" s="70">
        <v>0.4375</v>
      </c>
      <c r="C56" s="443" t="s">
        <v>939</v>
      </c>
      <c r="D56" s="443"/>
      <c r="E56" s="72" t="s">
        <v>935</v>
      </c>
      <c r="F56" s="70">
        <v>0.16666666666666666</v>
      </c>
      <c r="G56" s="70">
        <v>0.1875</v>
      </c>
      <c r="H56" s="74"/>
    </row>
    <row r="57" spans="1:8" ht="18" customHeight="1">
      <c r="A57" s="70">
        <v>0.4375</v>
      </c>
      <c r="B57" s="70">
        <v>0.45833333333333331</v>
      </c>
      <c r="C57" s="442" t="s">
        <v>989</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936</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1667</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937</v>
      </c>
      <c r="D68" s="443"/>
      <c r="E68" s="443"/>
      <c r="F68" s="70">
        <v>0.41666666666666669</v>
      </c>
      <c r="G68" s="70">
        <v>0.4375</v>
      </c>
      <c r="H68" s="74"/>
    </row>
    <row r="69" spans="1:8" ht="18" customHeight="1">
      <c r="A69" s="70">
        <v>0.6875</v>
      </c>
      <c r="B69" s="70">
        <v>0.70833333333333337</v>
      </c>
      <c r="C69" s="442" t="s">
        <v>990</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937</v>
      </c>
      <c r="D71" s="443"/>
      <c r="E71" s="443"/>
      <c r="F71" s="70">
        <v>0.47916666666666669</v>
      </c>
      <c r="G71" s="70">
        <v>0.5</v>
      </c>
      <c r="H71" s="74"/>
    </row>
    <row r="72" spans="1:8" ht="18" customHeight="1">
      <c r="A72" s="70">
        <v>0.75</v>
      </c>
      <c r="B72" s="70">
        <v>0.83333333333333337</v>
      </c>
      <c r="C72" s="443" t="s">
        <v>938</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28.8">
      <c r="A74" s="438" t="s">
        <v>929</v>
      </c>
      <c r="B74" s="438"/>
      <c r="C74" s="68" t="str">
        <f>C55</f>
        <v>Mini team 1:ATM-5 / ATM-6 / ATM-7</v>
      </c>
      <c r="D74" s="68" t="str">
        <f>D55</f>
        <v>Full team: ATM-1 / ATM-2 / ATM-3 / ATM-4 /ATM-5 / ATM-6 / ATM-7 / ATM-8</v>
      </c>
      <c r="E74" s="68" t="str">
        <f>E55</f>
        <v>LA team: van Zyl, Pieter and ATMs if applicable</v>
      </c>
      <c r="F74" s="438" t="s">
        <v>930</v>
      </c>
      <c r="G74" s="438"/>
      <c r="H74" s="74"/>
    </row>
    <row r="75" spans="1:8" ht="18" customHeight="1">
      <c r="A75" s="70">
        <v>0.41666666666666669</v>
      </c>
      <c r="B75" s="70">
        <v>0.4375</v>
      </c>
      <c r="C75" s="443" t="s">
        <v>937</v>
      </c>
      <c r="D75" s="443"/>
      <c r="E75" s="443"/>
      <c r="F75" s="70">
        <v>0.16666666666666666</v>
      </c>
      <c r="G75" s="70">
        <v>0.1875</v>
      </c>
      <c r="H75" s="74"/>
    </row>
    <row r="76" spans="1:8" ht="18" customHeight="1">
      <c r="A76" s="70">
        <v>0.4375</v>
      </c>
      <c r="B76" s="70">
        <v>0.45833333333333331</v>
      </c>
      <c r="C76" s="442" t="s">
        <v>991</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937</v>
      </c>
      <c r="D78" s="443"/>
      <c r="E78" s="443"/>
      <c r="F78" s="70">
        <v>0.22916666666666666</v>
      </c>
      <c r="G78" s="70">
        <v>0.25</v>
      </c>
      <c r="H78" s="74"/>
    </row>
    <row r="79" spans="1:8" ht="18" customHeight="1">
      <c r="A79" s="70">
        <v>0.5</v>
      </c>
      <c r="B79" s="70">
        <v>0.52083333333333337</v>
      </c>
      <c r="C79" s="443" t="s">
        <v>936</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940</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992</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937</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938</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929</v>
      </c>
      <c r="B93" s="438"/>
      <c r="C93" s="68" t="str">
        <f>C74</f>
        <v>Mini team 1:ATM-5 / ATM-6 / ATM-7</v>
      </c>
      <c r="D93" s="68" t="str">
        <f>D74</f>
        <v>Full team: ATM-1 / ATM-2 / ATM-3 / ATM-4 /ATM-5 / ATM-6 / ATM-7 / ATM-8</v>
      </c>
      <c r="E93" s="68" t="str">
        <f>E74</f>
        <v>LA team: van Zyl, Pieter and ATMs if applicable</v>
      </c>
      <c r="F93" s="438" t="s">
        <v>930</v>
      </c>
      <c r="G93" s="438"/>
      <c r="H93" s="74"/>
    </row>
    <row r="94" spans="1:8" ht="18" customHeight="1">
      <c r="A94" s="70">
        <v>0.41666666666666669</v>
      </c>
      <c r="B94" s="70">
        <v>0.4375</v>
      </c>
      <c r="C94" s="443" t="s">
        <v>937</v>
      </c>
      <c r="D94" s="443"/>
      <c r="E94" s="443"/>
      <c r="F94" s="70">
        <v>0.16666666666666666</v>
      </c>
      <c r="G94" s="70">
        <v>0.1875</v>
      </c>
      <c r="H94" s="74"/>
    </row>
    <row r="95" spans="1:8" ht="18" customHeight="1">
      <c r="A95" s="70">
        <v>0.4375</v>
      </c>
      <c r="B95" s="70">
        <v>0.45833333333333331</v>
      </c>
      <c r="C95" s="452" t="s">
        <v>993</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994</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936</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1674</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1673</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941</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942</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39" t="s">
        <v>1196</v>
      </c>
      <c r="B1" s="439"/>
      <c r="C1" s="439"/>
      <c r="D1" s="439"/>
      <c r="E1" s="439"/>
      <c r="F1" s="439"/>
      <c r="G1" s="439"/>
      <c r="H1" s="65"/>
      <c r="I1" s="140" t="s">
        <v>925</v>
      </c>
      <c r="J1" s="141" t="s">
        <v>926</v>
      </c>
      <c r="K1" s="135" t="s">
        <v>927</v>
      </c>
      <c r="L1" s="135" t="s">
        <v>928</v>
      </c>
      <c r="M1" s="136"/>
      <c r="N1" s="67"/>
      <c r="O1" s="67"/>
      <c r="P1" s="67"/>
    </row>
    <row r="2" spans="1:16" ht="14.7"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929</v>
      </c>
      <c r="B4" s="438"/>
      <c r="C4" s="231" t="str">
        <f>'Schedule4-1P'!C4</f>
        <v>Mini team 1:ATM-5 / ATM-6 / ATM-7</v>
      </c>
      <c r="D4" s="231" t="str">
        <f>'Schedule4-1P'!D4</f>
        <v>Full team: ATM-1 / ATM-2 / ATM-3 / ATM-4 /ATM-5 / ATM-6 / ATM-7 / ATM-8</v>
      </c>
      <c r="E4" s="231" t="str">
        <f>'Schedule4-1P'!E4</f>
        <v>LA team: van Zyl, Pieter and ATMs if applicable</v>
      </c>
      <c r="F4" s="438" t="s">
        <v>930</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931</v>
      </c>
      <c r="D5" s="443" t="s">
        <v>931</v>
      </c>
      <c r="E5" s="443"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'P1PA-SS'!B96</f>
        <v>ATM-5</v>
      </c>
      <c r="M15" s="136"/>
      <c r="N15" s="67"/>
      <c r="O15" s="67"/>
      <c r="P15" s="67"/>
    </row>
    <row r="16" spans="1:16">
      <c r="A16" s="445" t="str">
        <f>J4</f>
        <v>Day 3</v>
      </c>
      <c r="B16" s="445"/>
      <c r="C16" s="446">
        <f>I4</f>
        <v>44298</v>
      </c>
      <c r="D16" s="446"/>
      <c r="E16" s="446"/>
      <c r="F16" s="445" t="str">
        <f>A16</f>
        <v>Day 3</v>
      </c>
      <c r="G16" s="445"/>
      <c r="H16" s="65"/>
      <c r="K16" s="139"/>
      <c r="L16" s="135" t="str">
        <f>'P1PA-SS'!B97</f>
        <v>ATM-6</v>
      </c>
      <c r="M16" s="136"/>
      <c r="N16" s="67"/>
      <c r="O16" s="67"/>
      <c r="P16" s="67"/>
    </row>
    <row r="17" spans="1:18" ht="28.8">
      <c r="A17" s="445" t="s">
        <v>929</v>
      </c>
      <c r="B17" s="445"/>
      <c r="C17" s="233" t="str">
        <f>C4</f>
        <v>Mini team 1:ATM-5 / ATM-6 / ATM-7</v>
      </c>
      <c r="D17" s="233" t="str">
        <f>D4</f>
        <v>Full team: ATM-1 / ATM-2 / ATM-3 / ATM-4 /ATM-5 / ATM-6 / ATM-7 / ATM-8</v>
      </c>
      <c r="E17" s="233" t="str">
        <f>E4</f>
        <v>LA team: van Zyl, Pieter and ATMs if applicable</v>
      </c>
      <c r="F17" s="445" t="s">
        <v>930</v>
      </c>
      <c r="G17" s="445"/>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2" t="s">
        <v>984</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985</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936</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986</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937</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986</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1122</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938</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929</v>
      </c>
      <c r="B36" s="445"/>
      <c r="C36" s="233" t="str">
        <f>C17</f>
        <v>Mini team 1:ATM-5 / ATM-6 / ATM-7</v>
      </c>
      <c r="D36" s="233" t="str">
        <f>D17</f>
        <v>Full team: ATM-1 / ATM-2 / ATM-3 / ATM-4 /ATM-5 / ATM-6 / ATM-7 / ATM-8</v>
      </c>
      <c r="E36" s="233" t="str">
        <f>E17</f>
        <v>LA team: van Zyl, Pieter and ATMs if applicable</v>
      </c>
      <c r="F36" s="445" t="s">
        <v>930</v>
      </c>
      <c r="G36" s="445"/>
      <c r="H36" s="74"/>
    </row>
    <row r="37" spans="1:16" ht="18" customHeight="1">
      <c r="A37" s="70">
        <v>0.41666666666666669</v>
      </c>
      <c r="B37" s="70">
        <v>0.4375</v>
      </c>
      <c r="C37" s="443" t="s">
        <v>937</v>
      </c>
      <c r="D37" s="443"/>
      <c r="E37" s="232" t="s">
        <v>935</v>
      </c>
      <c r="F37" s="70">
        <v>0.16666666666666666</v>
      </c>
      <c r="G37" s="70">
        <v>0.1875</v>
      </c>
      <c r="H37" s="74"/>
    </row>
    <row r="38" spans="1:16" ht="18" customHeight="1">
      <c r="A38" s="70">
        <v>0.4375</v>
      </c>
      <c r="B38" s="70">
        <v>0.45833333333333331</v>
      </c>
      <c r="C38" s="442" t="s">
        <v>987</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936</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987</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937</v>
      </c>
      <c r="D48" s="443"/>
      <c r="E48" s="443" t="s">
        <v>935</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988</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1122</v>
      </c>
      <c r="D52" s="443"/>
      <c r="E52" s="443"/>
      <c r="F52" s="70">
        <v>0.47916666666666669</v>
      </c>
      <c r="G52" s="70">
        <v>0.5</v>
      </c>
      <c r="H52" s="74"/>
    </row>
    <row r="53" spans="1:8" ht="18" customHeight="1">
      <c r="A53" s="70">
        <v>0.75</v>
      </c>
      <c r="B53" s="70">
        <v>0.83333333333333337</v>
      </c>
      <c r="C53" s="443" t="s">
        <v>938</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929</v>
      </c>
      <c r="B55" s="438"/>
      <c r="C55" s="231" t="str">
        <f>C36</f>
        <v>Mini team 1:ATM-5 / ATM-6 / ATM-7</v>
      </c>
      <c r="D55" s="231" t="str">
        <f>D36</f>
        <v>Full team: ATM-1 / ATM-2 / ATM-3 / ATM-4 /ATM-5 / ATM-6 / ATM-7 / ATM-8</v>
      </c>
      <c r="E55" s="231" t="str">
        <f>E36</f>
        <v>LA team: van Zyl, Pieter and ATMs if applicable</v>
      </c>
      <c r="F55" s="438" t="s">
        <v>930</v>
      </c>
      <c r="G55" s="438"/>
      <c r="H55" s="74"/>
    </row>
    <row r="56" spans="1:8" ht="18" customHeight="1">
      <c r="A56" s="70">
        <v>0.41666666666666669</v>
      </c>
      <c r="B56" s="70">
        <v>0.4375</v>
      </c>
      <c r="C56" s="443" t="s">
        <v>939</v>
      </c>
      <c r="D56" s="443"/>
      <c r="E56" s="232" t="s">
        <v>935</v>
      </c>
      <c r="F56" s="70">
        <v>0.16666666666666666</v>
      </c>
      <c r="G56" s="70">
        <v>0.1875</v>
      </c>
      <c r="H56" s="74"/>
    </row>
    <row r="57" spans="1:8" ht="18" customHeight="1">
      <c r="A57" s="70">
        <v>0.4375</v>
      </c>
      <c r="B57" s="70">
        <v>0.45833333333333331</v>
      </c>
      <c r="C57" s="442" t="s">
        <v>989</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936</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989</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937</v>
      </c>
      <c r="D68" s="443"/>
      <c r="E68" s="443"/>
      <c r="F68" s="70">
        <v>0.41666666666666669</v>
      </c>
      <c r="G68" s="70">
        <v>0.4375</v>
      </c>
      <c r="H68" s="74"/>
    </row>
    <row r="69" spans="1:8" ht="18" customHeight="1">
      <c r="A69" s="70">
        <v>0.6875</v>
      </c>
      <c r="B69" s="70">
        <v>0.70833333333333337</v>
      </c>
      <c r="C69" s="442" t="s">
        <v>990</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1121</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28.8">
      <c r="A74" s="438" t="s">
        <v>929</v>
      </c>
      <c r="B74" s="438"/>
      <c r="C74" s="231" t="str">
        <f>C55</f>
        <v>Mini team 1:ATM-5 / ATM-6 / ATM-7</v>
      </c>
      <c r="D74" s="231" t="str">
        <f>D55</f>
        <v>Full team: ATM-1 / ATM-2 / ATM-3 / ATM-4 /ATM-5 / ATM-6 / ATM-7 / ATM-8</v>
      </c>
      <c r="E74" s="231" t="str">
        <f>E55</f>
        <v>LA team: van Zyl, Pieter and ATMs if applicable</v>
      </c>
      <c r="F74" s="438" t="s">
        <v>930</v>
      </c>
      <c r="G74" s="438"/>
      <c r="H74" s="74"/>
    </row>
    <row r="75" spans="1:8" ht="18" customHeight="1">
      <c r="A75" s="70">
        <v>0.41666666666666669</v>
      </c>
      <c r="B75" s="70">
        <v>0.4375</v>
      </c>
      <c r="C75" s="443" t="s">
        <v>937</v>
      </c>
      <c r="D75" s="443"/>
      <c r="E75" s="443"/>
      <c r="F75" s="70">
        <v>0.16666666666666666</v>
      </c>
      <c r="G75" s="70">
        <v>0.1875</v>
      </c>
      <c r="H75" s="74"/>
    </row>
    <row r="76" spans="1:8" ht="18" customHeight="1">
      <c r="A76" s="70">
        <v>0.4375</v>
      </c>
      <c r="B76" s="70">
        <v>0.45833333333333331</v>
      </c>
      <c r="C76" s="442" t="s">
        <v>991</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937</v>
      </c>
      <c r="D78" s="443"/>
      <c r="E78" s="443"/>
      <c r="F78" s="70">
        <v>0.22916666666666666</v>
      </c>
      <c r="G78" s="70">
        <v>0.25</v>
      </c>
      <c r="H78" s="74"/>
    </row>
    <row r="79" spans="1:8" ht="18" customHeight="1">
      <c r="A79" s="70">
        <v>0.5</v>
      </c>
      <c r="B79" s="70">
        <v>0.52083333333333337</v>
      </c>
      <c r="C79" s="443" t="s">
        <v>936</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1121</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940</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992</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937</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938</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929</v>
      </c>
      <c r="B93" s="438"/>
      <c r="C93" s="231" t="str">
        <f>C74</f>
        <v>Mini team 1:ATM-5 / ATM-6 / ATM-7</v>
      </c>
      <c r="D93" s="231" t="str">
        <f>D74</f>
        <v>Full team: ATM-1 / ATM-2 / ATM-3 / ATM-4 /ATM-5 / ATM-6 / ATM-7 / ATM-8</v>
      </c>
      <c r="E93" s="231" t="str">
        <f>E74</f>
        <v>LA team: van Zyl, Pieter and ATMs if applicable</v>
      </c>
      <c r="F93" s="438" t="s">
        <v>930</v>
      </c>
      <c r="G93" s="438"/>
      <c r="H93" s="74"/>
    </row>
    <row r="94" spans="1:8" ht="18" customHeight="1">
      <c r="A94" s="70">
        <v>0.41666666666666669</v>
      </c>
      <c r="B94" s="70">
        <v>0.4375</v>
      </c>
      <c r="C94" s="443" t="s">
        <v>937</v>
      </c>
      <c r="D94" s="443"/>
      <c r="E94" s="443"/>
      <c r="F94" s="70">
        <v>0.16666666666666666</v>
      </c>
      <c r="G94" s="70">
        <v>0.1875</v>
      </c>
      <c r="H94" s="74"/>
    </row>
    <row r="95" spans="1:8" ht="18" customHeight="1">
      <c r="A95" s="70">
        <v>0.4375</v>
      </c>
      <c r="B95" s="70">
        <v>0.45833333333333331</v>
      </c>
      <c r="C95" s="452" t="s">
        <v>993</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994</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936</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1674</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1673</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941</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942</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7734375" defaultRowHeight="14.4"/>
  <cols>
    <col min="1" max="16384" width="8.7773437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479" t="s">
        <v>1442</v>
      </c>
      <c r="C3" s="337" t="s">
        <v>1443</v>
      </c>
      <c r="D3" s="338" t="s">
        <v>1444</v>
      </c>
      <c r="E3" s="338" t="s">
        <v>1444</v>
      </c>
      <c r="F3" s="480" t="s">
        <v>1445</v>
      </c>
      <c r="G3" s="480" t="s">
        <v>1446</v>
      </c>
      <c r="H3" s="339">
        <f t="shared" ref="H3:H19" si="1">+A3-0.25</f>
        <v>0.16666666666666702</v>
      </c>
    </row>
    <row r="4" spans="1:8">
      <c r="A4" s="336">
        <v>0.4375</v>
      </c>
      <c r="B4" s="479"/>
      <c r="C4" s="340" t="s">
        <v>1447</v>
      </c>
      <c r="D4" s="481" t="s">
        <v>1448</v>
      </c>
      <c r="E4" s="481" t="s">
        <v>1449</v>
      </c>
      <c r="F4" s="480"/>
      <c r="G4" s="480"/>
      <c r="H4" s="339">
        <f t="shared" si="1"/>
        <v>0.1875</v>
      </c>
    </row>
    <row r="5" spans="1:8">
      <c r="A5" s="336">
        <v>0.45833333333333398</v>
      </c>
      <c r="B5" s="482" t="s">
        <v>1450</v>
      </c>
      <c r="C5" s="483" t="s">
        <v>1451</v>
      </c>
      <c r="D5" s="481"/>
      <c r="E5" s="481"/>
      <c r="F5" s="480"/>
      <c r="G5" s="480"/>
      <c r="H5" s="339">
        <f t="shared" si="1"/>
        <v>0.20833333333333398</v>
      </c>
    </row>
    <row r="6" spans="1:8">
      <c r="A6" s="336">
        <v>0.47916666666666702</v>
      </c>
      <c r="B6" s="482"/>
      <c r="C6" s="483"/>
      <c r="D6" s="481"/>
      <c r="E6" s="481"/>
      <c r="F6" s="480"/>
      <c r="G6" s="337" t="s">
        <v>1447</v>
      </c>
      <c r="H6" s="339">
        <f t="shared" si="1"/>
        <v>0.22916666666666702</v>
      </c>
    </row>
    <row r="7" spans="1:8">
      <c r="A7" s="336">
        <v>0.5</v>
      </c>
      <c r="B7" s="482"/>
      <c r="C7" s="481" t="s">
        <v>1452</v>
      </c>
      <c r="D7" s="481"/>
      <c r="E7" s="481"/>
      <c r="F7" s="484" t="s">
        <v>936</v>
      </c>
      <c r="G7" s="484" t="s">
        <v>936</v>
      </c>
      <c r="H7" s="339">
        <f t="shared" si="1"/>
        <v>0.25</v>
      </c>
    </row>
    <row r="8" spans="1:8" ht="28.8">
      <c r="A8" s="336">
        <v>0.52083333333333404</v>
      </c>
      <c r="B8" s="341" t="s">
        <v>1442</v>
      </c>
      <c r="C8" s="481"/>
      <c r="D8" s="481"/>
      <c r="E8" s="481"/>
      <c r="F8" s="484"/>
      <c r="G8" s="484"/>
      <c r="H8" s="339">
        <f t="shared" si="1"/>
        <v>0.27083333333333404</v>
      </c>
    </row>
    <row r="9" spans="1:8">
      <c r="A9" s="336">
        <v>0.54166666666666696</v>
      </c>
      <c r="B9" s="485" t="s">
        <v>936</v>
      </c>
      <c r="C9" s="484" t="s">
        <v>936</v>
      </c>
      <c r="D9" s="484" t="s">
        <v>936</v>
      </c>
      <c r="E9" s="484" t="s">
        <v>936</v>
      </c>
      <c r="F9" s="337" t="s">
        <v>1447</v>
      </c>
      <c r="G9" s="483" t="s">
        <v>794</v>
      </c>
      <c r="H9" s="339">
        <f t="shared" si="1"/>
        <v>0.29166666666666696</v>
      </c>
    </row>
    <row r="10" spans="1:8">
      <c r="A10" s="336">
        <v>0.5625</v>
      </c>
      <c r="B10" s="485"/>
      <c r="C10" s="484"/>
      <c r="D10" s="484"/>
      <c r="E10" s="484"/>
      <c r="F10" s="483" t="s">
        <v>1453</v>
      </c>
      <c r="G10" s="483"/>
      <c r="H10" s="339">
        <f t="shared" si="1"/>
        <v>0.3125</v>
      </c>
    </row>
    <row r="11" spans="1:8">
      <c r="A11" s="336">
        <v>0.58333333333333304</v>
      </c>
      <c r="B11" s="479" t="s">
        <v>1454</v>
      </c>
      <c r="C11" s="481" t="s">
        <v>1455</v>
      </c>
      <c r="D11" s="481" t="s">
        <v>1456</v>
      </c>
      <c r="E11" s="481" t="s">
        <v>1457</v>
      </c>
      <c r="F11" s="483"/>
      <c r="G11" s="480" t="s">
        <v>1458</v>
      </c>
      <c r="H11" s="339">
        <f t="shared" si="1"/>
        <v>0.33333333333333304</v>
      </c>
    </row>
    <row r="12" spans="1:8">
      <c r="A12" s="336">
        <v>0.60416666666666696</v>
      </c>
      <c r="B12" s="479"/>
      <c r="C12" s="481"/>
      <c r="D12" s="481"/>
      <c r="E12" s="481"/>
      <c r="F12" s="483" t="s">
        <v>1459</v>
      </c>
      <c r="G12" s="480"/>
      <c r="H12" s="339">
        <f t="shared" si="1"/>
        <v>0.35416666666666696</v>
      </c>
    </row>
    <row r="13" spans="1:8">
      <c r="A13" s="336">
        <v>0.625</v>
      </c>
      <c r="B13" s="479"/>
      <c r="C13" s="481"/>
      <c r="D13" s="481" t="s">
        <v>1460</v>
      </c>
      <c r="E13" s="481"/>
      <c r="F13" s="483"/>
      <c r="G13" s="480"/>
      <c r="H13" s="339">
        <f t="shared" si="1"/>
        <v>0.375</v>
      </c>
    </row>
    <row r="14" spans="1:8">
      <c r="A14" s="336">
        <v>0.64583333333333304</v>
      </c>
      <c r="B14" s="479"/>
      <c r="C14" s="481"/>
      <c r="D14" s="481"/>
      <c r="E14" s="481"/>
      <c r="F14" s="480" t="s">
        <v>1446</v>
      </c>
      <c r="G14" s="486" t="s">
        <v>1461</v>
      </c>
      <c r="H14" s="339">
        <f t="shared" si="1"/>
        <v>0.39583333333333304</v>
      </c>
    </row>
    <row r="15" spans="1:8">
      <c r="A15" s="336">
        <v>0.66666666666666696</v>
      </c>
      <c r="B15" s="479"/>
      <c r="C15" s="340" t="s">
        <v>1447</v>
      </c>
      <c r="D15" s="481"/>
      <c r="E15" s="480" t="s">
        <v>1445</v>
      </c>
      <c r="F15" s="480"/>
      <c r="G15" s="486"/>
      <c r="H15" s="339">
        <f t="shared" si="1"/>
        <v>0.41666666666666696</v>
      </c>
    </row>
    <row r="16" spans="1:8">
      <c r="A16" s="336">
        <v>0.6875</v>
      </c>
      <c r="B16" s="479"/>
      <c r="C16" s="481" t="s">
        <v>1462</v>
      </c>
      <c r="D16" s="481" t="s">
        <v>1463</v>
      </c>
      <c r="E16" s="480"/>
      <c r="F16" s="480"/>
      <c r="G16" s="486"/>
      <c r="H16" s="339">
        <f t="shared" si="1"/>
        <v>0.4375</v>
      </c>
    </row>
    <row r="17" spans="1:8">
      <c r="A17" s="336">
        <v>0.70833333333333304</v>
      </c>
      <c r="B17" s="342" t="s">
        <v>1464</v>
      </c>
      <c r="C17" s="481"/>
      <c r="D17" s="481"/>
      <c r="E17" s="480"/>
      <c r="F17" s="480"/>
      <c r="G17" s="486"/>
      <c r="H17" s="339">
        <f t="shared" si="1"/>
        <v>0.45833333333333304</v>
      </c>
    </row>
    <row r="18" spans="1:8">
      <c r="A18" s="336">
        <v>0.72916666666666663</v>
      </c>
      <c r="B18" s="343" t="s">
        <v>1444</v>
      </c>
      <c r="C18" s="338" t="s">
        <v>1444</v>
      </c>
      <c r="D18" s="338" t="s">
        <v>1444</v>
      </c>
      <c r="E18" s="338" t="s">
        <v>1444</v>
      </c>
      <c r="F18" s="338" t="s">
        <v>1444</v>
      </c>
      <c r="G18" s="486"/>
      <c r="H18" s="339">
        <f t="shared" si="1"/>
        <v>0.47916666666666663</v>
      </c>
    </row>
    <row r="19" spans="1:8" ht="15" thickBot="1">
      <c r="A19" s="344">
        <v>0.75</v>
      </c>
      <c r="B19" s="487" t="s">
        <v>938</v>
      </c>
      <c r="C19" s="488"/>
      <c r="D19" s="488"/>
      <c r="E19" s="488"/>
      <c r="F19" s="488"/>
      <c r="G19" s="488"/>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479" t="s">
        <v>1442</v>
      </c>
      <c r="C23" s="337" t="s">
        <v>1443</v>
      </c>
      <c r="D23" s="338" t="s">
        <v>1444</v>
      </c>
      <c r="E23" s="338" t="s">
        <v>1444</v>
      </c>
      <c r="F23" s="489" t="s">
        <v>1445</v>
      </c>
      <c r="G23" s="489" t="s">
        <v>1446</v>
      </c>
      <c r="H23" s="339">
        <f t="shared" ref="H23:H39" si="3">+A23-0.25</f>
        <v>0.16666666666666702</v>
      </c>
    </row>
    <row r="24" spans="1:8">
      <c r="A24" s="336">
        <v>0.4375</v>
      </c>
      <c r="B24" s="479"/>
      <c r="C24" s="340" t="s">
        <v>1447</v>
      </c>
      <c r="D24" s="481" t="s">
        <v>1448</v>
      </c>
      <c r="E24" s="481" t="s">
        <v>1449</v>
      </c>
      <c r="F24" s="490"/>
      <c r="G24" s="490"/>
      <c r="H24" s="339">
        <f t="shared" si="3"/>
        <v>0.1875</v>
      </c>
    </row>
    <row r="25" spans="1:8">
      <c r="A25" s="336">
        <v>0.45833333333333398</v>
      </c>
      <c r="B25" s="482" t="s">
        <v>1450</v>
      </c>
      <c r="C25" s="483" t="s">
        <v>1451</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1452</v>
      </c>
      <c r="D27" s="481"/>
      <c r="E27" s="481"/>
      <c r="F27" s="490"/>
      <c r="G27" s="490"/>
      <c r="H27" s="339">
        <f t="shared" si="3"/>
        <v>0.25</v>
      </c>
    </row>
    <row r="28" spans="1:8" ht="28.8">
      <c r="A28" s="336">
        <v>0.52083333333333404</v>
      </c>
      <c r="B28" s="341" t="s">
        <v>1442</v>
      </c>
      <c r="C28" s="481"/>
      <c r="D28" s="481"/>
      <c r="E28" s="481"/>
      <c r="F28" s="491"/>
      <c r="G28" s="491"/>
      <c r="H28" s="339">
        <f t="shared" si="3"/>
        <v>0.27083333333333404</v>
      </c>
    </row>
    <row r="29" spans="1:8">
      <c r="A29" s="336">
        <v>0.54166666666666696</v>
      </c>
      <c r="B29" s="485" t="s">
        <v>936</v>
      </c>
      <c r="C29" s="484" t="s">
        <v>936</v>
      </c>
      <c r="D29" s="484" t="s">
        <v>936</v>
      </c>
      <c r="E29" s="484" t="s">
        <v>936</v>
      </c>
      <c r="F29" s="484" t="s">
        <v>936</v>
      </c>
      <c r="G29" s="484" t="s">
        <v>936</v>
      </c>
      <c r="H29" s="339">
        <f t="shared" si="3"/>
        <v>0.29166666666666696</v>
      </c>
    </row>
    <row r="30" spans="1:8">
      <c r="A30" s="336">
        <v>0.5625</v>
      </c>
      <c r="B30" s="485"/>
      <c r="C30" s="484"/>
      <c r="D30" s="484"/>
      <c r="E30" s="484"/>
      <c r="F30" s="484"/>
      <c r="G30" s="484"/>
      <c r="H30" s="339">
        <f t="shared" si="3"/>
        <v>0.3125</v>
      </c>
    </row>
    <row r="31" spans="1:8">
      <c r="A31" s="336">
        <v>0.58333333333333304</v>
      </c>
      <c r="B31" s="489" t="s">
        <v>1454</v>
      </c>
      <c r="C31" s="481" t="s">
        <v>1455</v>
      </c>
      <c r="D31" s="481" t="s">
        <v>1456</v>
      </c>
      <c r="E31" s="481" t="s">
        <v>1457</v>
      </c>
      <c r="F31" s="338" t="s">
        <v>1447</v>
      </c>
      <c r="G31" s="338" t="s">
        <v>1447</v>
      </c>
      <c r="H31" s="339">
        <f t="shared" si="3"/>
        <v>0.33333333333333304</v>
      </c>
    </row>
    <row r="32" spans="1:8">
      <c r="A32" s="336">
        <v>0.60416666666666696</v>
      </c>
      <c r="B32" s="490"/>
      <c r="C32" s="481"/>
      <c r="D32" s="481"/>
      <c r="E32" s="481"/>
      <c r="F32" s="483" t="s">
        <v>1453</v>
      </c>
      <c r="G32" s="483" t="s">
        <v>1672</v>
      </c>
      <c r="H32" s="339">
        <f t="shared" si="3"/>
        <v>0.35416666666666696</v>
      </c>
    </row>
    <row r="33" spans="1:8">
      <c r="A33" s="336">
        <v>0.625</v>
      </c>
      <c r="B33" s="490"/>
      <c r="C33" s="481"/>
      <c r="D33" s="481" t="s">
        <v>1460</v>
      </c>
      <c r="E33" s="481"/>
      <c r="F33" s="483"/>
      <c r="G33" s="483"/>
      <c r="H33" s="339">
        <f t="shared" si="3"/>
        <v>0.375</v>
      </c>
    </row>
    <row r="34" spans="1:8">
      <c r="A34" s="336">
        <v>0.64583333333333304</v>
      </c>
      <c r="B34" s="490"/>
      <c r="C34" s="481"/>
      <c r="D34" s="481"/>
      <c r="E34" s="481"/>
      <c r="F34" s="483" t="s">
        <v>1459</v>
      </c>
      <c r="G34" s="492" t="s">
        <v>1466</v>
      </c>
      <c r="H34" s="339">
        <f t="shared" si="3"/>
        <v>0.39583333333333304</v>
      </c>
    </row>
    <row r="35" spans="1:8">
      <c r="A35" s="336">
        <v>0.66666666666666696</v>
      </c>
      <c r="B35" s="491"/>
      <c r="C35" s="340" t="s">
        <v>1447</v>
      </c>
      <c r="D35" s="481"/>
      <c r="E35" s="480" t="s">
        <v>1445</v>
      </c>
      <c r="F35" s="483"/>
      <c r="G35" s="493"/>
      <c r="H35" s="339">
        <f t="shared" si="3"/>
        <v>0.41666666666666696</v>
      </c>
    </row>
    <row r="36" spans="1:8">
      <c r="A36" s="336">
        <v>0.6875</v>
      </c>
      <c r="B36" s="346" t="s">
        <v>1467</v>
      </c>
      <c r="C36" s="481" t="s">
        <v>1462</v>
      </c>
      <c r="D36" s="481" t="s">
        <v>1463</v>
      </c>
      <c r="E36" s="480"/>
      <c r="F36" s="489" t="s">
        <v>1446</v>
      </c>
      <c r="G36" s="492" t="s">
        <v>1468</v>
      </c>
      <c r="H36" s="339">
        <f t="shared" si="3"/>
        <v>0.4375</v>
      </c>
    </row>
    <row r="37" spans="1:8">
      <c r="A37" s="336">
        <v>0.70833333333333304</v>
      </c>
      <c r="B37" s="342" t="s">
        <v>1464</v>
      </c>
      <c r="C37" s="481"/>
      <c r="D37" s="481"/>
      <c r="E37" s="480"/>
      <c r="F37" s="491"/>
      <c r="G37" s="493"/>
      <c r="H37" s="339">
        <f t="shared" si="3"/>
        <v>0.45833333333333304</v>
      </c>
    </row>
    <row r="38" spans="1:8">
      <c r="A38" s="336">
        <v>0.72916666666666663</v>
      </c>
      <c r="B38" s="343" t="s">
        <v>1444</v>
      </c>
      <c r="C38" s="338" t="s">
        <v>1444</v>
      </c>
      <c r="D38" s="338" t="s">
        <v>1444</v>
      </c>
      <c r="E38" s="338" t="s">
        <v>1444</v>
      </c>
      <c r="F38" s="338" t="s">
        <v>1444</v>
      </c>
      <c r="G38" s="494"/>
      <c r="H38" s="339">
        <f t="shared" si="3"/>
        <v>0.47916666666666663</v>
      </c>
    </row>
    <row r="39" spans="1:8" ht="15" thickBot="1">
      <c r="A39" s="344">
        <v>0.75</v>
      </c>
      <c r="B39" s="487" t="s">
        <v>938</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21875" style="125" customWidth="1"/>
    <col min="2" max="2" width="65.77734375" style="125" customWidth="1"/>
    <col min="3" max="4" width="27.21875" style="125" customWidth="1"/>
    <col min="5" max="16384" width="8.7773437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2187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2187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7734375" defaultRowHeight="14.4"/>
  <cols>
    <col min="1" max="22" width="8.77734375" style="196"/>
    <col min="23" max="23" width="8.77734375" style="196" hidden="1" customWidth="1"/>
    <col min="24" max="16384" width="8.77734375" style="196"/>
  </cols>
  <sheetData>
    <row r="2" spans="2:28" ht="93.6">
      <c r="B2" s="508" t="s">
        <v>1080</v>
      </c>
      <c r="C2" s="508" t="s">
        <v>1081</v>
      </c>
      <c r="D2" s="502" t="s">
        <v>1082</v>
      </c>
      <c r="E2" s="504"/>
      <c r="F2" s="505" t="s">
        <v>1083</v>
      </c>
      <c r="G2" s="507"/>
      <c r="H2" s="502" t="s">
        <v>1084</v>
      </c>
      <c r="I2" s="503"/>
      <c r="J2" s="503"/>
      <c r="K2" s="504"/>
      <c r="L2" s="505" t="s">
        <v>1085</v>
      </c>
      <c r="M2" s="506"/>
      <c r="N2" s="507"/>
      <c r="O2" s="210" t="s">
        <v>1086</v>
      </c>
      <c r="P2" s="211" t="s">
        <v>1087</v>
      </c>
      <c r="Q2" s="502" t="s">
        <v>1088</v>
      </c>
      <c r="R2" s="503"/>
      <c r="S2" s="504"/>
      <c r="T2" s="505" t="s">
        <v>1089</v>
      </c>
      <c r="U2" s="506"/>
      <c r="V2" s="507"/>
      <c r="W2" s="207" t="s">
        <v>1090</v>
      </c>
    </row>
    <row r="3" spans="2:28" ht="15.6">
      <c r="B3" s="509"/>
      <c r="C3" s="509"/>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499"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6">
      <c r="B6" s="500"/>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6">
      <c r="B7" s="500"/>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6">
      <c r="B8" s="501"/>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499"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6">
      <c r="B11" s="500"/>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6">
      <c r="B12" s="500"/>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6">
      <c r="B13" s="500"/>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5" customHeight="1">
      <c r="B14" s="500"/>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6">
      <c r="B15" s="500"/>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6">
      <c r="B16" s="500"/>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0"/>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1"/>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499"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0"/>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0"/>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00"/>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00"/>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0"/>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0"/>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1"/>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499"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0"/>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0"/>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00"/>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0"/>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1"/>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495"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495"/>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495"/>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5"/>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8.6">
      <c r="B49" s="498" t="s">
        <v>1080</v>
      </c>
      <c r="C49" s="498" t="s">
        <v>1081</v>
      </c>
      <c r="D49" s="496" t="s">
        <v>1082</v>
      </c>
      <c r="E49" s="496"/>
      <c r="F49" s="497" t="s">
        <v>1083</v>
      </c>
      <c r="G49" s="497"/>
      <c r="H49" s="496" t="s">
        <v>1084</v>
      </c>
      <c r="I49" s="496"/>
      <c r="J49" s="496"/>
      <c r="K49" s="496"/>
      <c r="L49" s="497" t="s">
        <v>1085</v>
      </c>
      <c r="M49" s="497"/>
      <c r="N49" s="497"/>
      <c r="O49" s="210" t="s">
        <v>1086</v>
      </c>
      <c r="P49" s="211" t="s">
        <v>1087</v>
      </c>
      <c r="Q49" s="496" t="s">
        <v>1088</v>
      </c>
      <c r="R49" s="496"/>
      <c r="S49" s="496"/>
      <c r="T49" s="497" t="s">
        <v>1089</v>
      </c>
      <c r="U49" s="497"/>
      <c r="V49" s="497"/>
    </row>
    <row r="50" spans="2:28" ht="93.6">
      <c r="B50" s="498"/>
      <c r="C50" s="498"/>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499"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00"/>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00"/>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01"/>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495"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495"/>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495"/>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495"/>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495"/>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495"/>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495"/>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495"/>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495"/>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495"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495"/>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495"/>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495"/>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495"/>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495"/>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495"/>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495"/>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495"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495"/>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495"/>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495"/>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495"/>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495"/>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495"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495"/>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495"/>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495"/>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6" t="str">
        <f>_xlfn.CONCAT("CAS ID",'Agreement 3'!B5)</f>
        <v>CAS ID53517</v>
      </c>
      <c r="G11" s="516"/>
      <c r="H11" s="516"/>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abSelected="1" topLeftCell="B23" workbookViewId="0">
      <selection activeCell="D33" sqref="D33"/>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1034</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874</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1035</v>
      </c>
      <c r="B25" s="280" t="s">
        <v>1036</v>
      </c>
      <c r="C25" s="278" t="s">
        <v>1037</v>
      </c>
      <c r="D25" s="172" t="s">
        <v>847</v>
      </c>
      <c r="E25" s="161"/>
      <c r="G25" s="173"/>
    </row>
    <row r="26" spans="1:9" s="8" customFormat="1" ht="15.6">
      <c r="A26" s="159"/>
      <c r="B26" s="279" t="s">
        <v>1679</v>
      </c>
      <c r="C26" s="174" t="s">
        <v>1038</v>
      </c>
      <c r="D26" s="175">
        <f>'P1PA-SS'!B70</f>
        <v>44315</v>
      </c>
      <c r="E26" s="161"/>
      <c r="G26" s="176" t="str">
        <f>G23</f>
        <v>16 Apr 2024</v>
      </c>
      <c r="H26" s="170" t="s">
        <v>1039</v>
      </c>
    </row>
    <row r="27" spans="1:9" s="8" customFormat="1" ht="15.6">
      <c r="A27" s="159"/>
      <c r="B27" s="174" t="s">
        <v>1040</v>
      </c>
      <c r="C27" s="174" t="s">
        <v>1041</v>
      </c>
      <c r="D27" s="175">
        <f>D26+14</f>
        <v>44329</v>
      </c>
      <c r="E27" s="161"/>
      <c r="G27" s="176"/>
    </row>
    <row r="28" spans="1:9" s="8" customFormat="1" ht="15.6">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6">
      <c r="A29" s="159"/>
      <c r="B29" s="177"/>
      <c r="C29" s="177"/>
      <c r="D29" s="177"/>
      <c r="E29" s="161"/>
    </row>
    <row r="30" spans="1:9" s="8" customFormat="1" ht="31.5" customHeight="1">
      <c r="A30" s="159"/>
      <c r="B30" s="517" t="s">
        <v>1678</v>
      </c>
      <c r="C30" s="517"/>
      <c r="D30" s="517"/>
      <c r="E30" s="161"/>
    </row>
    <row r="31" spans="1:9" s="8" customFormat="1" ht="18">
      <c r="A31" s="159"/>
      <c r="B31" s="168"/>
      <c r="C31" s="160"/>
      <c r="E31" s="161"/>
    </row>
    <row r="32" spans="1:9" s="8" customFormat="1" ht="15.6">
      <c r="A32" s="159"/>
      <c r="B32" s="178" t="str">
        <f>B12</f>
        <v>Sponsor: Prof Kessler, Donald</v>
      </c>
      <c r="C32" s="179" t="s">
        <v>1410</v>
      </c>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2" sqref="B12"/>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21875" style="358" customWidth="1"/>
    <col min="3" max="3" width="10.77734375" style="358" customWidth="1"/>
    <col min="4" max="4" width="49.44140625" style="358" hidden="1" customWidth="1"/>
    <col min="5" max="10" width="8.77734375" style="358"/>
    <col min="11" max="11" width="2.44140625" style="358" customWidth="1"/>
    <col min="12" max="16384" width="8.77734375" style="358"/>
  </cols>
  <sheetData>
    <row r="2" spans="1:16" ht="13.2" customHeight="1">
      <c r="A2" s="520" t="str">
        <f>'P1PA-SS'!B76</f>
        <v>CMMI Development V2.0 (CMMI-DEV) without SAM</v>
      </c>
      <c r="B2" s="521"/>
      <c r="C2" s="521"/>
      <c r="D2" s="520"/>
      <c r="E2" s="521"/>
      <c r="F2" s="521"/>
      <c r="G2" s="521"/>
      <c r="H2" s="521"/>
      <c r="I2" s="521"/>
      <c r="L2" s="360" t="s">
        <v>1293</v>
      </c>
      <c r="M2" s="360">
        <f>VALUE(RIGHT(Planning!B10,1))</f>
        <v>5</v>
      </c>
      <c r="N2" s="348" t="s">
        <v>1294</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24"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24"/>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24"/>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24"/>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25"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25"/>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26"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26"/>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26"/>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27"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27"/>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27"/>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18"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18"/>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19"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19"/>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19"/>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21875" style="152" customWidth="1"/>
    <col min="2" max="3" width="18.2187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203" t="s">
        <v>1115</v>
      </c>
      <c r="B1" s="203" t="s">
        <v>1117</v>
      </c>
      <c r="C1" s="226" t="s">
        <v>1116</v>
      </c>
      <c r="D1" s="203" t="s">
        <v>382</v>
      </c>
      <c r="E1" s="203" t="s">
        <v>1120</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1671</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28" t="s">
        <v>1119</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5" t="s">
        <v>1112</v>
      </c>
      <c r="C2" s="536"/>
      <c r="D2" s="536"/>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1111</v>
      </c>
      <c r="C18" s="536"/>
      <c r="D18" s="536"/>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2022-01-05T04:58:23Z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