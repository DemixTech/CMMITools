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ared\Documents\GitHub\CMMITools\2021-04-12to04-16 (A5) C53517 SoftMARS\"/>
    </mc:Choice>
  </mc:AlternateContent>
  <xr:revisionPtr revIDLastSave="0" documentId="8_{35525CF6-1C71-4868-97D1-38D37E9ABD58}" xr6:coauthVersionLast="47" xr6:coauthVersionMax="47" xr10:uidLastSave="{00000000-0000-0000-0000-000000000000}"/>
  <bookViews>
    <workbookView xWindow="5685" yWindow="3165" windowWidth="21600" windowHeight="11385" firstSheet="34" activeTab="3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1"/>
    <pivotCache cacheId="7" r:id="rId52"/>
    <pivotCache cacheId="8" r:id="rId53"/>
    <pivotCache cacheId="9" r:id="rId54"/>
    <pivotCache cacheId="10" r:id="rId55"/>
    <pivotCache cacheId="11"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74" l="1"/>
  <c r="A2"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<sst xmlns="http://schemas.openxmlformats.org/spreadsheetml/2006/main" count="4246" uniqueCount="1678">
  <si>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</si>
  <si>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</si>
  <si>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</si>
  <si>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</si>
  <si>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</si>
  <si>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</si>
  <si>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</si>
  <si>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</si>
  <si>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</si>
  <si>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</si>
  <si>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</si>
  <si>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</si>
  <si>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</si>
  <si>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</si>
  <si>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</si>
  <si>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</si>
  <si>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</si>
  <si>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</si>
  <si>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</si>
  <si>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</si>
  <si>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</si>
  <si>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</si>
  <si>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</si>
  <si>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</si>
  <si>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</si>
  <si>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</si>
  <si>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</si>
  <si>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</si>
  <si>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</si>
  <si>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</si>
  <si>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</si>
  <si>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</si>
  <si>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</si>
  <si>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</si>
  <si>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</si>
  <si>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</si>
  <si>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</si>
  <si>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</si>
  <si>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</si>
  <si>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</si>
  <si>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</si>
  <si>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</si>
  <si>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</si>
  <si>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</si>
  <si>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</si>
  <si>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</si>
  <si>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</si>
  <si>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</si>
  <si>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</si>
  <si>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</si>
  <si>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</si>
  <si>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</si>
  <si>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</si>
  <si>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</si>
  <si>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</si>
  <si>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</si>
  <si>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</si>
  <si>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</si>
  <si>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</si>
  <si>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</si>
  <si>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</si>
  <si>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</si>
  <si>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</si>
  <si>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</si>
  <si>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</si>
  <si>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</si>
  <si>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</si>
  <si>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</si>
  <si>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</si>
  <si>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</si>
  <si>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</si>
  <si>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</si>
  <si>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</si>
  <si>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</si>
  <si>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</si>
  <si>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</si>
  <si>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</si>
  <si>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</si>
  <si>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</si>
  <si>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</si>
  <si>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</si>
  <si>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</si>
  <si>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</si>
  <si>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</si>
  <si>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</si>
  <si>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</si>
  <si>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</si>
  <si>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</si>
  <si>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</si>
  <si>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</si>
  <si>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</si>
  <si>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</si>
  <si>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</si>
  <si>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</si>
  <si>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</si>
  <si>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</si>
  <si>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</si>
  <si>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</si>
  <si>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</si>
  <si>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</si>
  <si>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</si>
  <si>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</si>
  <si>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</si>
  <si>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</si>
  <si>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</si>
  <si>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</si>
  <si>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</si>
  <si>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</si>
  <si>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</si>
  <si>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</si>
  <si>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</si>
  <si>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</si>
  <si>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</si>
  <si>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</si>
  <si>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</si>
  <si>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</si>
  <si>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</si>
  <si>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</si>
  <si>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</si>
  <si>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</si>
  <si>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</si>
  <si>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</si>
  <si>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</si>
  <si>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</si>
  <si>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</si>
  <si>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</si>
  <si>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</si>
  <si>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</si>
  <si>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</si>
  <si>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</si>
  <si>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</si>
  <si>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</si>
  <si>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</si>
  <si>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</si>
  <si>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</si>
  <si>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</si>
  <si>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</si>
  <si>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</si>
  <si>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</si>
  <si>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</si>
  <si>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</si>
  <si>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</si>
  <si>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</si>
  <si>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</si>
  <si>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</si>
  <si>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</si>
  <si>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</si>
  <si>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</si>
  <si>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</si>
  <si>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</si>
  <si>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</si>
  <si>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</si>
  <si>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</si>
  <si>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</si>
  <si>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</si>
  <si>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</si>
  <si>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</si>
  <si>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</si>
  <si>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</si>
  <si>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</si>
  <si>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</si>
  <si>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</si>
  <si>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</si>
  <si>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</si>
  <si>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</si>
  <si>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</si>
  <si>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</si>
  <si>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</si>
  <si>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</si>
  <si>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</si>
  <si>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</si>
  <si>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</si>
  <si>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</si>
  <si>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</si>
  <si>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</si>
  <si>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</si>
  <si>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</si>
  <si>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</si>
  <si>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</si>
  <si>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</si>
  <si>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</si>
  <si>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</si>
  <si>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</si>
  <si>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</si>
  <si>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</si>
  <si>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</si>
  <si>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</si>
  <si>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</si>
  <si>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</si>
  <si>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</si>
  <si>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</si>
  <si>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</si>
  <si>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</si>
  <si>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</si>
  <si>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</si>
  <si>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</si>
  <si>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</si>
  <si>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</si>
  <si>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</si>
  <si>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</si>
  <si>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</si>
  <si>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</si>
  <si>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</si>
  <si>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</si>
  <si>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</si>
  <si>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</si>
  <si>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</si>
  <si>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</si>
  <si>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</si>
  <si>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</si>
  <si>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</si>
  <si>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</si>
  <si>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</si>
  <si>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</si>
  <si>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</si>
  <si>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</si>
  <si>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</si>
  <si>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</si>
  <si>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</si>
  <si>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</si>
  <si>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</si>
  <si>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</si>
  <si>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</si>
  <si>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</si>
  <si>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</si>
  <si>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</si>
  <si>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</si>
  <si>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</si>
  <si>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</si>
  <si>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</si>
  <si>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</si>
  <si>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</si>
  <si>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</si>
  <si>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</si>
  <si>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</si>
  <si>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</si>
  <si>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</si>
  <si>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</si>
  <si>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</si>
  <si>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</si>
  <si>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</si>
  <si>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</si>
  <si>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</si>
  <si>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</si>
  <si>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</si>
  <si>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</si>
  <si>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</si>
  <si>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</si>
  <si>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</si>
  <si>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</si>
  <si>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</si>
  <si>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</si>
  <si>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</si>
  <si>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</si>
  <si>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</si>
  <si>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</si>
  <si>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</si>
  <si>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</si>
  <si>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</si>
  <si>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</si>
  <si>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</si>
  <si>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</si>
  <si>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</si>
  <si>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</si>
  <si>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</si>
  <si>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</si>
  <si>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</si>
  <si>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</si>
  <si>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</si>
  <si>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</si>
  <si>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</si>
  <si>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</si>
  <si>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</si>
  <si>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</si>
  <si>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</si>
  <si>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</si>
  <si>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</si>
  <si>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</si>
  <si>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</si>
  <si>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</si>
  <si>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</si>
  <si>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</si>
  <si>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</si>
  <si>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</si>
  <si>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</si>
  <si>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</si>
  <si>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</si>
  <si>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</si>
  <si>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</si>
  <si>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</si>
  <si>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</si>
  <si>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</si>
  <si>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</si>
  <si>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</si>
  <si>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</si>
  <si>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</si>
  <si>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</si>
  <si>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</si>
  <si>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</si>
  <si>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</si>
  <si>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</si>
  <si>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</si>
  <si>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</si>
  <si>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</si>
  <si>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</si>
  <si>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</si>
  <si>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</si>
  <si>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</si>
  <si>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</si>
  <si>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</si>
  <si>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</si>
  <si>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</si>
  <si>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</si>
  <si>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</si>
  <si>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</si>
  <si>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</si>
  <si>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</si>
  <si>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</si>
  <si>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</si>
  <si>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</si>
  <si>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</si>
  <si>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</si>
  <si>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</si>
  <si>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</si>
  <si>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</si>
  <si>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</si>
  <si>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</si>
  <si>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</si>
  <si>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</si>
  <si>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</si>
  <si>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</si>
  <si>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</si>
  <si>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</si>
  <si>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</si>
  <si>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</si>
  <si>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</si>
  <si>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</si>
  <si>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</si>
  <si>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</si>
  <si>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</si>
  <si>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</si>
  <si>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</si>
  <si>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</si>
  <si>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</si>
  <si>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</si>
  <si>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</si>
  <si>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</si>
  <si>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</si>
  <si>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</si>
  <si>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</si>
  <si>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</si>
  <si>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</si>
  <si>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</si>
  <si>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</si>
  <si>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</si>
  <si>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</si>
  <si>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</si>
  <si>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</si>
  <si>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</si>
  <si>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</si>
  <si>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</si>
  <si>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</si>
  <si>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</si>
  <si>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</si>
  <si>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</si>
  <si>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</si>
  <si>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</si>
  <si>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</si>
  <si>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</si>
  <si>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</si>
  <si>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</si>
  <si>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</si>
  <si>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</si>
  <si>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</si>
  <si>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</si>
  <si>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</si>
  <si>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</si>
  <si>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</si>
  <si>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</si>
  <si>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</si>
  <si>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</si>
  <si>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</si>
  <si>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</si>
  <si>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</si>
  <si>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</si>
  <si>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</si>
  <si>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</si>
  <si>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</si>
  <si>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</si>
  <si>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</si>
  <si>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</si>
  <si>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</si>
  <si>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</si>
  <si>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</si>
  <si>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</si>
  <si>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</si>
  <si>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</si>
  <si>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</si>
  <si>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</si>
  <si>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</si>
  <si>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</si>
  <si>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</si>
  <si>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</si>
  <si>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</si>
  <si>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</si>
  <si>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</si>
  <si>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</si>
  <si>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</si>
  <si>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</si>
  <si>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</si>
  <si>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</si>
  <si>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</si>
  <si>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</si>
  <si>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</si>
  <si>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</si>
  <si>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</si>
  <si>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</si>
  <si>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</si>
  <si>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</si>
  <si>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</si>
  <si>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</si>
  <si>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</si>
  <si>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</si>
  <si>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</si>
  <si>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</si>
  <si>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</si>
  <si>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</si>
  <si>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</si>
  <si>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</si>
  <si>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</si>
  <si>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</si>
  <si>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</si>
  <si>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</si>
  <si>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</si>
  <si>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</si>
  <si>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</si>
  <si>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</si>
  <si>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</si>
  <si>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</si>
  <si>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</si>
  <si>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</si>
  <si>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</si>
  <si>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</si>
  <si>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</si>
  <si>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</si>
  <si>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</si>
  <si>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</si>
  <si>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</si>
  <si>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</si>
  <si>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</si>
  <si>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</si>
  <si>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</si>
  <si>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</si>
  <si>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</si>
  <si>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</si>
  <si>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</si>
  <si>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</si>
  <si>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</si>
  <si>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</si>
  <si>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</si>
  <si>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</si>
  <si>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</si>
  <si>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</si>
  <si>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</si>
  <si>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</si>
  <si>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</si>
  <si>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</si>
  <si>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</si>
  <si>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</si>
  <si>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</si>
  <si>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</si>
  <si>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</si>
  <si>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</si>
  <si>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</si>
  <si>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</si>
  <si>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</si>
  <si>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</si>
  <si>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</si>
  <si>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</si>
  <si>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</si>
  <si>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</si>
  <si>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</si>
  <si>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</si>
  <si>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</si>
  <si>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</si>
  <si>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</si>
  <si>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</si>
  <si>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</si>
  <si>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</si>
  <si>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</si>
  <si>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</si>
  <si>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</si>
  <si>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</si>
  <si>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</si>
  <si>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</si>
  <si>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</si>
  <si>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</si>
  <si>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</si>
  <si>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</si>
  <si>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</si>
  <si>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</si>
  <si>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</si>
  <si>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</si>
  <si>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</si>
  <si>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</si>
  <si>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</si>
  <si>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</si>
  <si>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</si>
  <si>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</si>
  <si>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</si>
  <si>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</si>
  <si>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</si>
  <si>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</si>
  <si>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</si>
  <si>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</si>
  <si>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</si>
  <si>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</si>
  <si>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</si>
  <si>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</si>
  <si>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</si>
  <si>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</si>
  <si>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</si>
  <si>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</si>
  <si>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</si>
  <si>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</si>
  <si>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</si>
  <si>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</si>
  <si>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</si>
  <si>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</si>
  <si>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</si>
  <si>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</si>
  <si>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</si>
  <si>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</si>
  <si>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</si>
  <si>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</si>
  <si>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</si>
  <si>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</si>
  <si>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</si>
  <si>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</si>
  <si>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</si>
  <si>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</si>
  <si>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</si>
  <si>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</si>
  <si>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</si>
  <si>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</si>
  <si>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</si>
  <si>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</si>
  <si>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</si>
  <si>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</si>
  <si>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</si>
  <si>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</si>
  <si>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</si>
  <si>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</si>
  <si>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</si>
  <si>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</si>
  <si>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</si>
  <si>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</si>
  <si>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</si>
  <si>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</si>
  <si>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</si>
  <si>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</si>
  <si>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</si>
  <si>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</si>
  <si>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</si>
  <si>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</si>
  <si>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</si>
  <si>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</si>
  <si>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</si>
  <si>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</si>
  <si>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</si>
  <si>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</si>
  <si>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</si>
  <si>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</si>
  <si>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</si>
  <si>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</si>
  <si>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</si>
  <si>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</si>
  <si>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</si>
  <si>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</si>
  <si>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</si>
  <si>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</si>
  <si>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</si>
  <si>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</si>
  <si>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</si>
  <si>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</si>
  <si>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</si>
  <si>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</si>
  <si>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</si>
  <si>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</si>
  <si>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</si>
  <si>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</si>
  <si>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</si>
  <si>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</si>
  <si>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</si>
  <si>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</si>
  <si>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</si>
  <si>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</si>
  <si>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</si>
  <si>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</si>
  <si>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</si>
  <si>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</si>
  <si>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</si>
  <si>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</si>
  <si>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</si>
  <si>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</si>
  <si>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</si>
  <si>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</si>
  <si>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</si>
  <si>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</si>
  <si>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</si>
  <si>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</si>
  <si>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</si>
  <si>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</si>
  <si>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</si>
  <si>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</si>
  <si>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</si>
  <si>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</si>
  <si>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</si>
  <si>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</si>
  <si>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</si>
  <si>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</si>
  <si>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</si>
  <si>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</si>
  <si>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</si>
  <si>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</si>
  <si>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</si>
  <si>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</si>
  <si>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</si>
  <si>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</si>
  <si>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</si>
  <si>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</si>
  <si>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</si>
  <si>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</si>
  <si>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</si>
  <si>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</si>
  <si>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</si>
  <si>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</si>
  <si>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</si>
  <si>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</si>
  <si>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</si>
  <si>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</si>
  <si>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</si>
  <si>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</si>
  <si>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</si>
  <si>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</si>
  <si>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</si>
  <si>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</si>
  <si>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</si>
  <si>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</si>
  <si>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</si>
  <si>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</si>
  <si>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</si>
  <si>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</si>
  <si>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</si>
  <si>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</si>
  <si>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</si>
  <si>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</si>
  <si>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</si>
  <si>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</si>
  <si>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</si>
  <si>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</si>
  <si>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</si>
  <si>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</si>
  <si>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</si>
  <si>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</si>
  <si>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</si>
  <si>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</si>
  <si>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</si>
  <si>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</si>
  <si>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</si>
  <si>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</si>
  <si>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</si>
  <si>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</si>
  <si>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</si>
  <si>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</si>
  <si>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</si>
  <si>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</si>
  <si>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</si>
  <si>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</si>
  <si>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</si>
  <si>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</si>
  <si>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</si>
  <si>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</si>
  <si>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</si>
  <si>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</si>
  <si>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</si>
  <si>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</si>
  <si>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</si>
  <si>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</si>
  <si>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</si>
  <si>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</si>
  <si>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</si>
  <si>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</si>
  <si>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</si>
  <si>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</si>
  <si>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</si>
  <si>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</si>
  <si>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</si>
  <si>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</si>
  <si>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</si>
  <si>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</si>
  <si>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</si>
  <si>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</si>
  <si>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</si>
  <si>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</si>
  <si>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</si>
  <si>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</si>
  <si>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</si>
  <si>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</si>
  <si>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</si>
  <si>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</si>
  <si>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</si>
  <si>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</si>
  <si>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</si>
  <si>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</si>
  <si>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</si>
  <si>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</si>
  <si>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</si>
  <si>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</si>
  <si>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</si>
  <si>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</si>
  <si>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</si>
  <si>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</si>
  <si>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</si>
  <si>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</si>
  <si>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</si>
  <si>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</si>
  <si>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</si>
  <si>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</si>
  <si>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</si>
  <si>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</si>
  <si>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</si>
  <si>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</si>
  <si>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</si>
  <si>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</si>
  <si>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</si>
  <si>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</si>
  <si>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</si>
  <si>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</si>
  <si>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</si>
  <si>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</si>
  <si>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</si>
  <si>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</si>
  <si>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</si>
  <si>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</si>
  <si>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</si>
  <si>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</si>
  <si>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</si>
  <si>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</si>
  <si>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</si>
  <si>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</si>
  <si>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</si>
  <si>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</si>
  <si>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</si>
  <si>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</si>
  <si>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</si>
  <si>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</si>
  <si>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</si>
  <si>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</si>
  <si>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</si>
  <si>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</si>
  <si>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</si>
  <si>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</si>
  <si>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</si>
  <si>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</si>
  <si>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</si>
  <si>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</si>
  <si>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</si>
  <si>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</si>
  <si>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</si>
  <si>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</si>
  <si>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</si>
  <si>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</si>
  <si>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</si>
  <si>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</si>
  <si>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</si>
  <si>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</si>
  <si>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</si>
  <si>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</si>
  <si>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</si>
  <si>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</si>
  <si>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</si>
  <si>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</si>
  <si>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</si>
  <si>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</si>
  <si>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</si>
  <si>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</si>
  <si>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</si>
  <si>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</si>
  <si>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</si>
  <si>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</si>
  <si>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</si>
  <si>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</si>
  <si>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</si>
  <si>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</si>
  <si>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</si>
  <si>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</si>
  <si>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</si>
  <si>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</si>
  <si>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</si>
  <si>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</si>
  <si>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</si>
  <si>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</si>
  <si>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</si>
  <si>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</si>
  <si>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</si>
  <si>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</si>
  <si>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</si>
  <si>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</si>
  <si>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</si>
  <si>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</si>
  <si>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</si>
  <si>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</si>
  <si>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</si>
  <si>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</si>
  <si>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</si>
  <si>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</si>
  <si>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</si>
  <si>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</si>
  <si>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</si>
  <si>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</si>
  <si>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</si>
  <si>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</si>
  <si>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</si>
  <si>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</si>
  <si>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</si>
  <si>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</si>
  <si>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</si>
  <si>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</si>
  <si>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</si>
  <si>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</si>
  <si>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</si>
  <si>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</si>
  <si>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</si>
  <si>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</si>
  <si>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</si>
  <si>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</si>
  <si>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</si>
  <si>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</si>
  <si>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</si>
  <si>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</si>
  <si>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</si>
  <si>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</si>
  <si>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</si>
  <si>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</si>
  <si>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</si>
  <si>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</si>
  <si>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</si>
  <si>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</si>
  <si>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</si>
  <si>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</si>
  <si>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</si>
  <si>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</si>
  <si>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</si>
  <si>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</si>
  <si>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</si>
  <si>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</si>
  <si>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</si>
  <si>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</si>
  <si>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</si>
  <si>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</si>
  <si>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</si>
  <si>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</si>
  <si>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</si>
  <si>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</si>
  <si>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</si>
  <si>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</si>
  <si>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</si>
  <si>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</si>
  <si>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</si>
  <si>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</si>
  <si>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</si>
  <si>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</si>
  <si>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</si>
  <si>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</si>
  <si>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</si>
  <si>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</si>
  <si>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</si>
  <si>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</si>
  <si>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</si>
  <si>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</si>
  <si>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</si>
  <si>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</si>
  <si>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</si>
  <si>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</si>
  <si>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</si>
  <si>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</si>
  <si>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</si>
  <si>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</si>
  <si>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</si>
  <si>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</si>
  <si>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</si>
  <si>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</si>
  <si>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</si>
  <si>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</si>
  <si>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</si>
  <si>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</si>
  <si>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</si>
  <si>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</si>
  <si>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</si>
  <si>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</si>
  <si>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</si>
  <si>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</si>
  <si>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</si>
  <si>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</si>
  <si>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</si>
  <si>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</si>
  <si>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</si>
  <si>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</si>
  <si>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</si>
  <si>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</si>
  <si>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</si>
  <si>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</si>
  <si>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</si>
  <si>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</si>
  <si>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</si>
  <si>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</si>
  <si>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</si>
  <si>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</si>
  <si>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</si>
  <si>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</si>
  <si>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</si>
  <si>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</si>
  <si>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</si>
  <si>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</si>
  <si>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</si>
  <si>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</si>
  <si>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</si>
  <si>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</si>
  <si>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</si>
  <si>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</si>
  <si>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</si>
  <si>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</si>
  <si>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</si>
  <si>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</si>
  <si>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</si>
  <si>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</si>
  <si>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</si>
  <si>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</si>
  <si>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</si>
  <si>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</si>
  <si>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</si>
  <si>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</si>
  <si>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</si>
  <si>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</si>
  <si>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</si>
  <si>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</si>
  <si>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</si>
  <si>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</si>
  <si>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</si>
  <si>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</si>
  <si>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</si>
  <si>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</si>
  <si>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</si>
  <si>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</si>
  <si>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</si>
  <si>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</si>
  <si>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</si>
  <si>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</si>
  <si>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</si>
  <si>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</si>
  <si>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</si>
  <si>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</si>
  <si>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</si>
  <si>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</si>
  <si>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</si>
  <si>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</si>
  <si>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</si>
  <si>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</si>
  <si>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</si>
  <si>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</si>
  <si>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</si>
  <si>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</si>
  <si>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</si>
  <si>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</si>
  <si>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</si>
  <si>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</si>
  <si>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</si>
  <si>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</si>
  <si>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</si>
  <si>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</si>
  <si>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</si>
  <si>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</si>
  <si>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</si>
  <si>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</si>
  <si>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</si>
  <si>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</si>
  <si>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</si>
  <si>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</si>
  <si>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</si>
  <si>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</si>
  <si>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</si>
  <si>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</si>
  <si>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</si>
  <si>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</si>
  <si>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</si>
  <si>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</si>
  <si>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</si>
  <si>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</si>
  <si>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</si>
  <si>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</si>
  <si>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</si>
  <si>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</si>
  <si>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</si>
  <si>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</si>
  <si>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</si>
  <si>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</si>
  <si>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</si>
  <si>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</si>
  <si>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</si>
  <si>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</si>
  <si>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</si>
  <si>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</si>
  <si>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</si>
  <si>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</si>
  <si>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</si>
  <si>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</si>
  <si>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</si>
  <si>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</si>
  <si>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</si>
  <si>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</si>
  <si>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</si>
  <si>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</si>
  <si>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</si>
  <si>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</si>
  <si>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</si>
  <si>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</si>
  <si>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</si>
  <si>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</si>
  <si>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</si>
  <si>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</si>
  <si>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</si>
  <si>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</si>
  <si>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</si>
  <si>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</si>
  <si>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</si>
  <si>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</si>
  <si>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</si>
  <si>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</si>
  <si>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</si>
  <si>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</si>
  <si>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</si>
  <si>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</si>
  <si>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</si>
  <si>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</si>
  <si>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</si>
  <si>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</si>
  <si>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</si>
  <si>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</si>
  <si>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</si>
  <si>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</si>
  <si>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</si>
  <si>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</si>
  <si>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</si>
  <si>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</si>
  <si>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</si>
  <si>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</si>
  <si>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</si>
  <si>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</si>
  <si>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</si>
  <si>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</si>
  <si>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</si>
  <si>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</si>
  <si>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</si>
  <si>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</si>
  <si>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</si>
  <si>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</si>
  <si>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</si>
  <si>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</si>
  <si>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</si>
  <si>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</si>
  <si>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</si>
  <si>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</si>
  <si>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</si>
  <si>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</si>
  <si>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</si>
  <si>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</si>
  <si>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</si>
  <si>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</si>
  <si>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</si>
  <si>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</si>
  <si>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</si>
  <si>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</si>
  <si>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</si>
  <si>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</si>
  <si>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</si>
  <si>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</si>
  <si>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</si>
  <si>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</si>
  <si>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</si>
  <si>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</si>
  <si>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</si>
  <si>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</si>
  <si>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</si>
  <si>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</si>
  <si>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</si>
  <si>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</si>
  <si>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</si>
  <si>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</si>
  <si>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</si>
  <si>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</si>
  <si>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</si>
  <si>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</si>
  <si>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</si>
  <si>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</si>
  <si>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</si>
  <si>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</si>
  <si>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</si>
  <si>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</si>
  <si>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</si>
  <si>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</si>
  <si>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</si>
  <si>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</si>
  <si>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</si>
  <si>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</si>
  <si>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</si>
  <si>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</si>
  <si>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</si>
  <si>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</si>
  <si>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</si>
  <si>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</si>
  <si>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</si>
  <si>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</si>
  <si>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</si>
  <si>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</si>
  <si>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</si>
  <si>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</si>
  <si>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</si>
  <si>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</si>
  <si>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</si>
  <si>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</si>
  <si>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</si>
  <si>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</si>
  <si>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</si>
  <si>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</si>
  <si>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</si>
  <si>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</si>
  <si>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</si>
  <si>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</si>
  <si>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</si>
  <si>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</si>
  <si>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</si>
  <si>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</si>
  <si>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</si>
  <si>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</si>
  <si>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</si>
  <si>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</si>
  <si>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</si>
  <si>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</si>
  <si>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</si>
  <si>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</si>
  <si>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</si>
  <si>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</si>
  <si>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</si>
  <si>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</si>
  <si>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</si>
  <si>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</si>
  <si>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</si>
  <si>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</si>
  <si>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</si>
  <si>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</si>
  <si>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</si>
  <si>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</si>
  <si>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</si>
  <si>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</si>
  <si>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</si>
  <si>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</si>
  <si>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</si>
  <si>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</si>
  <si>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</si>
  <si>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</si>
  <si>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</si>
  <si>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</si>
  <si>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</si>
  <si>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</si>
  <si>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</si>
  <si>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</si>
  <si>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</si>
  <si>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</si>
  <si>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</si>
  <si>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</si>
  <si>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</si>
  <si>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</si>
  <si>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</si>
  <si>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</si>
  <si>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</si>
  <si>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</si>
  <si>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</si>
  <si>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</si>
  <si>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</si>
  <si>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</si>
  <si>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</si>
  <si>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</si>
  <si>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</si>
  <si>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</si>
  <si>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</si>
  <si>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</si>
  <si>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</si>
  <si>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</si>
  <si>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</si>
  <si>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</si>
  <si>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</si>
  <si>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</si>
  <si>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</si>
  <si>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</si>
  <si>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</si>
  <si>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</si>
  <si>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</si>
  <si>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</si>
  <si>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</si>
  <si>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</si>
  <si>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</si>
  <si>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</si>
  <si>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</si>
  <si>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</si>
  <si>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</si>
  <si>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</si>
  <si>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</si>
  <si>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</si>
  <si>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</si>
  <si>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</si>
  <si>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</si>
  <si>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</si>
  <si>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</si>
  <si>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</si>
  <si>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</si>
  <si>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</si>
  <si>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</si>
  <si>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</si>
  <si>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</si>
  <si>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</si>
  <si>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</si>
  <si>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</si>
  <si>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</si>
  <si>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</si>
  <si>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</si>
  <si>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</si>
  <si>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</si>
  <si>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</si>
  <si>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</si>
  <si>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</si>
  <si>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</si>
  <si>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</si>
  <si>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</si>
  <si>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</si>
  <si>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</si>
  <si>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</si>
  <si>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</si>
  <si>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</si>
  <si>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</si>
  <si>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</si>
  <si>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</si>
  <si>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</si>
  <si>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</si>
  <si>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</si>
  <si>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</si>
  <si>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</si>
  <si>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</si>
  <si>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</si>
  <si>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</si>
  <si>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</si>
  <si>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</si>
  <si>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</si>
  <si>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</si>
  <si>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</si>
  <si>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</si>
  <si>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</si>
  <si>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</si>
  <si>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</si>
  <si>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</si>
  <si>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</si>
  <si>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</si>
  <si>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</si>
  <si>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</si>
  <si>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</si>
  <si>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</si>
  <si>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</si>
  <si>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</si>
  <si>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</si>
  <si>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</si>
  <si>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</si>
  <si>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</si>
  <si>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</si>
  <si>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</si>
  <si>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</si>
  <si>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</si>
  <si>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</si>
  <si>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</si>
  <si>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</si>
  <si>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</si>
  <si>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</si>
  <si>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</si>
  <si>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</si>
  <si>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</si>
  <si>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</si>
  <si>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</si>
  <si>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</si>
  <si>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</si>
  <si>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</si>
  <si>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</si>
  <si>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</si>
  <si>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</si>
  <si>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</si>
  <si>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</si>
  <si>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</si>
  <si>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</si>
  <si>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</si>
  <si>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</si>
  <si>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</si>
  <si>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</si>
  <si>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</si>
  <si>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</si>
  <si>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</si>
  <si>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</si>
  <si>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</si>
  <si>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</si>
  <si>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</si>
  <si>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</si>
  <si>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</si>
  <si>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</si>
  <si>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</si>
  <si>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</si>
  <si>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</si>
  <si>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</si>
  <si>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</si>
  <si>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</si>
  <si>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</si>
  <si>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</si>
  <si>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</si>
  <si>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</si>
  <si>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</si>
  <si>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</si>
  <si>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</si>
  <si>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</si>
  <si>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</si>
  <si>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</si>
  <si>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</si>
  <si>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</si>
  <si>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</si>
  <si>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</si>
  <si>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</si>
  <si>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</si>
  <si>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</si>
  <si>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</si>
  <si>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</si>
  <si>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</si>
  <si>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</si>
  <si>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</si>
  <si>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</si>
  <si>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</si>
  <si>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</si>
  <si>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</si>
  <si>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</si>
  <si>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</si>
  <si>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</si>
  <si>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</si>
  <si>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</si>
  <si>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</si>
  <si>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</si>
  <si>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</si>
  <si>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</si>
  <si>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</si>
  <si>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</si>
  <si>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</si>
  <si>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</si>
  <si>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</si>
  <si>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</si>
  <si>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</si>
  <si>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</si>
  <si>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</si>
  <si>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</si>
  <si>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</si>
  <si>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</si>
  <si>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</si>
  <si>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</si>
  <si>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</si>
  <si>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</si>
  <si>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</si>
  <si>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</si>
  <si>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</si>
  <si>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</si>
  <si>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</si>
  <si>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</si>
  <si>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</si>
  <si>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</si>
  <si>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</si>
  <si>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</si>
  <si>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</si>
  <si>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</si>
  <si>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</si>
  <si>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</si>
  <si>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</si>
  <si>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</si>
  <si>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</si>
  <si>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</si>
  <si>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</si>
  <si>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</si>
  <si>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</si>
  <si>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</si>
  <si>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</si>
  <si>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</si>
  <si>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</si>
  <si>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</si>
  <si>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</si>
  <si>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</si>
  <si>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</si>
  <si>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</si>
  <si>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</si>
  <si>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</si>
  <si>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</si>
  <si>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</si>
  <si>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</si>
  <si>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</si>
  <si>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</si>
  <si>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</si>
  <si>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</si>
  <si>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</si>
  <si>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</si>
  <si>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</si>
  <si>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</si>
  <si>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</si>
  <si>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</si>
  <si>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</si>
  <si>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</si>
  <si>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</si>
  <si>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</si>
  <si>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</si>
  <si>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</si>
  <si>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</si>
  <si>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</si>
  <si>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</si>
  <si>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</si>
  <si>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</si>
  <si>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</si>
  <si>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</si>
  <si>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</si>
  <si>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</si>
  <si>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</si>
  <si>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</si>
  <si>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</si>
  <si>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</si>
  <si>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</si>
  <si>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</si>
  <si>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</si>
  <si>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</si>
  <si>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</si>
  <si>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</si>
  <si>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</si>
  <si>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</si>
  <si>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</si>
  <si>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</si>
  <si>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</si>
  <si>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</si>
  <si>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</si>
  <si>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</si>
  <si>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</si>
  <si>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</si>
  <si>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</si>
  <si>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</si>
  <si>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</si>
  <si>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</si>
  <si>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</si>
  <si>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</si>
  <si>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</si>
  <si>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</si>
  <si>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</si>
  <si>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</si>
  <si>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</si>
  <si>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</si>
  <si>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</si>
  <si>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</si>
  <si>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</si>
  <si>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</si>
  <si>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</si>
  <si>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</si>
  <si>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</si>
  <si>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</si>
  <si>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</si>
  <si>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</si>
  <si>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</si>
  <si>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</si>
  <si>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</si>
  <si>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</si>
  <si>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</si>
  <si>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</si>
  <si>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</si>
  <si>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</si>
  <si>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</si>
  <si>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</si>
  <si>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</si>
  <si>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</si>
  <si>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</si>
  <si>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</si>
  <si>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</si>
  <si>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</si>
  <si>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</si>
  <si>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</si>
  <si>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</si>
  <si>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</si>
  <si>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</si>
  <si>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</si>
  <si>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</si>
  <si>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</si>
  <si>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</si>
  <si>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</si>
  <si>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</si>
  <si>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</si>
  <si>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</si>
  <si>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</si>
  <si>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</si>
  <si>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</si>
  <si>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</si>
  <si>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</si>
  <si>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</si>
  <si>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</si>
  <si>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</si>
  <si>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</si>
  <si>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</si>
  <si>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</si>
  <si>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</si>
  <si>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</si>
  <si>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</si>
  <si>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</si>
  <si>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</si>
  <si>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</si>
  <si>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</si>
  <si>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</si>
  <si>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</si>
  <si>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</si>
  <si>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</si>
  <si>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</si>
  <si>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</si>
  <si>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</si>
  <si>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</si>
  <si>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</si>
  <si>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</si>
  <si>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</si>
  <si>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</si>
  <si>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</si>
  <si>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</si>
  <si>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</si>
  <si>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</si>
  <si>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</si>
  <si>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</si>
  <si>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</si>
  <si>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</si>
  <si>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</si>
  <si>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</si>
  <si>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</si>
  <si>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</si>
  <si>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</si>
  <si>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</si>
  <si>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</si>
  <si>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</si>
  <si>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</si>
  <si>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</si>
  <si>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</si>
  <si>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</si>
  <si>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</si>
  <si>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</si>
  <si>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</si>
  <si>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</si>
  <si>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</si>
  <si>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</si>
  <si>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</si>
  <si>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</si>
  <si>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</si>
  <si>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</si>
  <si>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</si>
  <si>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</si>
  <si>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</si>
  <si>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</si>
  <si>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</si>
  <si>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</si>
  <si>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</si>
  <si>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</si>
  <si>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</si>
  <si>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</si>
  <si>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</si>
  <si>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</si>
  <si>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</si>
  <si>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</si>
  <si>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</si>
  <si>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</si>
  <si>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</si>
  <si>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</si>
  <si>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</si>
  <si>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</si>
  <si>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</si>
  <si>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</si>
  <si>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</si>
  <si>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</si>
  <si>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</si>
  <si>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</si>
  <si>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</si>
  <si>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</si>
  <si>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</si>
  <si>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</si>
  <si>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</si>
  <si>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</si>
  <si>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</si>
  <si>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</si>
  <si>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</si>
  <si>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</si>
  <si>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</si>
  <si>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</si>
  <si>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</si>
  <si>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</si>
  <si>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</si>
  <si>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</si>
  <si>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</si>
  <si>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</si>
  <si>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</si>
  <si>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</si>
  <si>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</si>
  <si>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</si>
  <si>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</si>
  <si>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</si>
  <si>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</si>
  <si>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</si>
  <si>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</si>
  <si>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</si>
  <si>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</si>
  <si>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</si>
  <si>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</si>
  <si>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</si>
  <si>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</si>
  <si>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</si>
  <si>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</si>
  <si>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</si>
  <si>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</si>
  <si>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</si>
  <si>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</si>
  <si>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</si>
  <si>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</si>
  <si>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</si>
  <si>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</si>
  <si>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</si>
  <si>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</si>
  <si>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</si>
  <si>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</si>
  <si>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</si>
  <si>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</si>
  <si>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</si>
  <si>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</si>
  <si>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</si>
  <si>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</si>
  <si>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</si>
  <si>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</si>
  <si>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</si>
  <si>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</si>
  <si>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</si>
  <si>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</si>
  <si>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</si>
  <si>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</si>
  <si>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</si>
  <si>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</si>
  <si>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</si>
  <si>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</si>
  <si>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</si>
  <si>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</si>
  <si>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</si>
  <si>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</si>
  <si>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</si>
  <si>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</si>
  <si>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</si>
  <si>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</si>
  <si>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</si>
  <si>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</si>
  <si>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</si>
  <si>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</si>
  <si>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</si>
  <si>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</si>
  <si>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</si>
  <si>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 xml:space="preserve">Aded minor changes to Schdeule and </t>
  </si>
  <si>
    <t>Linked to "Ratings for" in presentation</t>
  </si>
  <si>
    <t>Governance (GOV)</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</si>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</sst>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1</xdr:row>
          <xdr:rowOff>171450</xdr:rowOff>
        </xdr:from>
        <xdr:to>
          <xdr:col>0</xdr:col>
          <xdr:colOff>1590675</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142875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790575</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66675</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28575</xdr:rowOff>
        </xdr:from>
        <xdr:to>
          <xdr:col>3</xdr:col>
          <xdr:colOff>752475</xdr:colOff>
          <xdr:row>3</xdr:row>
          <xdr:rowOff>104775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752475</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28575</xdr:rowOff>
        </xdr:from>
        <xdr:to>
          <xdr:col>6</xdr:col>
          <xdr:colOff>752475</xdr:colOff>
          <xdr:row>3</xdr:row>
          <xdr:rowOff>104775</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0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109375" defaultRowHeight="15"/>
  <cols>
    <col min="1" max="1" width="86.7109375" style="150" customWidth="1"/>
    <col min="2" max="16384" width="8.710937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opLeftCell="A9" workbookViewId="0">
      <selection activeCell="D24" sqref="D24"/>
    </sheetView>
  </sheetViews>
  <sheetFormatPr defaultColWidth="8.7109375" defaultRowHeight="15"/>
  <cols>
    <col min="1" max="1" width="8.42578125" style="43" customWidth="1"/>
    <col min="2" max="2" width="19.42578125" style="43" customWidth="1"/>
    <col min="3" max="3" width="17.42578125" style="43" customWidth="1"/>
    <col min="4" max="4" width="46" style="103" customWidth="1"/>
    <col min="5" max="16384" width="8.710937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30">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30">
      <c r="A11" s="44">
        <v>24</v>
      </c>
      <c r="B11" s="45">
        <v>44153</v>
      </c>
      <c r="C11" s="44" t="s">
        <v>844</v>
      </c>
      <c r="D11" s="56" t="s">
        <v>1052</v>
      </c>
      <c r="G11" s="150"/>
      <c r="H11" s="150"/>
      <c r="I11" s="150"/>
      <c r="J11" s="150"/>
      <c r="K11" s="150"/>
      <c r="L11" s="150"/>
      <c r="M11" s="150"/>
      <c r="N11" s="150"/>
      <c r="O11" s="150"/>
      <c r="P11" s="8"/>
      <c r="Q11" s="8"/>
      <c r="R11" s="8"/>
      <c r="S11" s="8"/>
    </row>
    <row r="12" spans="1:32" ht="30">
      <c r="A12" s="44">
        <v>25</v>
      </c>
      <c r="B12" s="45">
        <v>44153</v>
      </c>
      <c r="C12" s="44" t="s">
        <v>844</v>
      </c>
      <c r="D12" s="56" t="s">
        <v>1078</v>
      </c>
      <c r="G12" s="150"/>
      <c r="H12" s="150"/>
      <c r="I12" s="150"/>
      <c r="J12" s="150"/>
      <c r="K12" s="150"/>
      <c r="L12" s="150"/>
      <c r="M12" s="150"/>
      <c r="N12" s="150"/>
      <c r="O12" s="150"/>
      <c r="P12" s="8"/>
      <c r="Q12" s="8"/>
      <c r="R12" s="8"/>
      <c r="S12" s="8"/>
    </row>
    <row r="13" spans="1:32" ht="45">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30">
      <c r="A16" s="44">
        <v>43</v>
      </c>
      <c r="B16" s="45">
        <v>44231</v>
      </c>
      <c r="C16" s="44" t="s">
        <v>1345</v>
      </c>
      <c r="D16" s="56" t="s">
        <v>1660</v>
      </c>
      <c r="G16" s="150"/>
      <c r="H16" s="150"/>
      <c r="I16" s="150"/>
      <c r="J16" s="150"/>
      <c r="K16" s="150"/>
      <c r="L16" s="150"/>
      <c r="M16" s="150"/>
      <c r="N16" s="150"/>
      <c r="O16" s="150"/>
      <c r="P16" s="8"/>
      <c r="Q16" s="8"/>
      <c r="R16" s="8"/>
      <c r="S16" s="8"/>
    </row>
    <row r="17" spans="1:19" ht="30">
      <c r="A17" s="44">
        <v>50</v>
      </c>
      <c r="B17" s="45">
        <v>44314</v>
      </c>
      <c r="C17" s="44" t="s">
        <v>844</v>
      </c>
      <c r="D17" s="56" t="s">
        <v>1659</v>
      </c>
      <c r="G17" s="150"/>
      <c r="H17" s="150"/>
      <c r="I17" s="150"/>
      <c r="J17" s="150"/>
      <c r="K17" s="150"/>
      <c r="L17" s="150"/>
      <c r="M17" s="150"/>
      <c r="N17" s="150"/>
      <c r="O17" s="150"/>
      <c r="P17" s="8"/>
      <c r="Q17" s="8"/>
      <c r="R17" s="8"/>
      <c r="S17" s="8"/>
    </row>
    <row r="18" spans="1:19" ht="30">
      <c r="A18" s="44">
        <v>51</v>
      </c>
      <c r="B18" s="45">
        <v>44318</v>
      </c>
      <c r="C18" s="44" t="s">
        <v>844</v>
      </c>
      <c r="D18" s="56" t="s">
        <v>1666</v>
      </c>
      <c r="G18" s="150"/>
      <c r="H18" s="150"/>
      <c r="I18" s="150"/>
      <c r="J18" s="150"/>
      <c r="K18" s="150"/>
      <c r="L18" s="150"/>
      <c r="M18" s="150"/>
      <c r="N18" s="150"/>
      <c r="O18" s="150"/>
      <c r="P18" s="8"/>
      <c r="Q18" s="8"/>
      <c r="R18" s="8"/>
      <c r="S18" s="8"/>
    </row>
    <row r="19" spans="1:19">
      <c r="A19" s="44">
        <v>52</v>
      </c>
      <c r="B19" s="45">
        <v>44324</v>
      </c>
      <c r="C19" s="44" t="s">
        <v>844</v>
      </c>
      <c r="D19" s="56" t="s">
        <v>1667</v>
      </c>
      <c r="G19" s="150"/>
      <c r="H19" s="150"/>
      <c r="I19" s="150"/>
      <c r="J19" s="150"/>
      <c r="K19" s="150"/>
      <c r="L19" s="150"/>
      <c r="M19" s="150"/>
    </row>
    <row r="20" spans="1:19" ht="30">
      <c r="A20" s="44">
        <v>53</v>
      </c>
      <c r="B20" s="45">
        <v>44343</v>
      </c>
      <c r="C20" s="44" t="s">
        <v>844</v>
      </c>
      <c r="D20" s="56" t="s">
        <v>1669</v>
      </c>
    </row>
    <row r="21" spans="1:19">
      <c r="A21" s="43">
        <v>53</v>
      </c>
      <c r="B21" s="190">
        <v>44354</v>
      </c>
      <c r="C21" s="43" t="s">
        <v>1673</v>
      </c>
      <c r="D21" s="103" t="s">
        <v>1674</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1477</v>
      </c>
      <c r="D44" s="350" t="s">
        <v>1476</v>
      </c>
      <c r="H44" s="349" t="s">
        <v>1089</v>
      </c>
      <c r="I44" s="349"/>
      <c r="J44" s="349"/>
      <c r="K44" s="349"/>
      <c r="L44" s="349"/>
    </row>
    <row r="63" spans="2:19">
      <c r="B63" s="352" t="s">
        <v>1091</v>
      </c>
      <c r="C63" s="352"/>
      <c r="D63" s="353" t="s">
        <v>1092</v>
      </c>
      <c r="F63" s="354" t="s">
        <v>1094</v>
      </c>
      <c r="G63" s="354"/>
      <c r="H63" s="354"/>
      <c r="I63" s="354"/>
      <c r="K63" s="355" t="s">
        <v>1478</v>
      </c>
      <c r="L63" s="355"/>
      <c r="M63" s="355"/>
      <c r="N63" s="355"/>
      <c r="P63" s="357" t="s">
        <v>1090</v>
      </c>
      <c r="Q63" s="356"/>
      <c r="R63" s="356"/>
      <c r="S63" s="356"/>
    </row>
    <row r="83" spans="6:8">
      <c r="F83" s="362" t="s">
        <v>1491</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109375" defaultRowHeight="15"/>
  <cols>
    <col min="1" max="1" width="25.7109375" style="117" customWidth="1"/>
    <col min="2" max="2" width="90.28515625" style="117" customWidth="1"/>
    <col min="3" max="16384" width="8.7109375" style="117"/>
  </cols>
  <sheetData>
    <row r="1" spans="1:2">
      <c r="A1" s="294" t="s">
        <v>1259</v>
      </c>
      <c r="B1" s="294"/>
    </row>
    <row r="2" spans="1:2" ht="45">
      <c r="A2" s="117" t="s">
        <v>1260</v>
      </c>
      <c r="B2" s="117" t="s">
        <v>1261</v>
      </c>
    </row>
    <row r="3" spans="1:2">
      <c r="B3" s="295" t="s">
        <v>1262</v>
      </c>
    </row>
    <row r="4" spans="1:2">
      <c r="B4" s="296" t="s">
        <v>1263</v>
      </c>
    </row>
    <row r="5" spans="1:2" ht="30">
      <c r="B5" s="297" t="s">
        <v>1264</v>
      </c>
    </row>
    <row r="7" spans="1:2" ht="75">
      <c r="A7" s="117" t="s">
        <v>1265</v>
      </c>
      <c r="B7" s="117" t="s">
        <v>1266</v>
      </c>
    </row>
    <row r="9" spans="1:2" ht="30">
      <c r="A9" s="117" t="s">
        <v>1267</v>
      </c>
      <c r="B9" s="117" t="s">
        <v>1268</v>
      </c>
    </row>
    <row r="11" spans="1:2">
      <c r="A11" s="294" t="s">
        <v>1269</v>
      </c>
      <c r="B11" s="294"/>
    </row>
    <row r="12" spans="1:2" ht="30">
      <c r="A12" s="117" t="s">
        <v>1233</v>
      </c>
      <c r="B12" s="117" t="s">
        <v>1270</v>
      </c>
    </row>
    <row r="13" spans="1:2" ht="45">
      <c r="A13" s="117" t="s">
        <v>1204</v>
      </c>
      <c r="B13" s="117" t="s">
        <v>1271</v>
      </c>
    </row>
    <row r="14" spans="1:2">
      <c r="A14" s="117" t="s">
        <v>1272</v>
      </c>
      <c r="B14" s="117" t="s">
        <v>1273</v>
      </c>
    </row>
    <row r="15" spans="1:2" ht="75">
      <c r="A15" s="117" t="s">
        <v>948</v>
      </c>
      <c r="B15" s="117" t="s">
        <v>1274</v>
      </c>
    </row>
    <row r="16" spans="1:2" ht="45">
      <c r="A16" s="125" t="s">
        <v>949</v>
      </c>
      <c r="B16" s="117" t="s">
        <v>1275</v>
      </c>
    </row>
    <row r="17" spans="1:2">
      <c r="A17" s="125" t="s">
        <v>961</v>
      </c>
      <c r="B17" s="117" t="s">
        <v>1276</v>
      </c>
    </row>
    <row r="18" spans="1:2" ht="30">
      <c r="A18" s="125" t="s">
        <v>950</v>
      </c>
      <c r="B18" s="117" t="s">
        <v>1277</v>
      </c>
    </row>
    <row r="19" spans="1:2" ht="45">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109375" defaultRowHeight="15"/>
  <cols>
    <col min="1" max="1" width="30.7109375" customWidth="1"/>
    <col min="2" max="8" width="11.7109375" style="132" customWidth="1"/>
    <col min="9" max="10" width="8.7109375" style="57"/>
    <col min="11" max="11" width="16.42578125" style="57" customWidth="1"/>
    <col min="12" max="29" width="8.7109375" style="57"/>
    <col min="30" max="30" width="30.7109375" style="77" customWidth="1"/>
    <col min="31" max="32" width="8.7109375" style="77"/>
    <col min="33" max="16384" width="8.7109375" style="57"/>
  </cols>
  <sheetData>
    <row r="1" spans="1:32">
      <c r="AD1" s="77" t="s">
        <v>958</v>
      </c>
      <c r="AE1" s="77">
        <v>48</v>
      </c>
    </row>
    <row r="2" spans="1:32" s="104" customFormat="1" ht="30">
      <c r="A2" s="314"/>
      <c r="B2" s="104" t="s">
        <v>1606</v>
      </c>
      <c r="C2" s="104" t="s">
        <v>1607</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1582</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1507</v>
      </c>
      <c r="B29" s="132"/>
      <c r="C29" s="132"/>
      <c r="D29" s="132"/>
      <c r="E29" s="132"/>
      <c r="F29" s="132"/>
      <c r="G29" s="132"/>
      <c r="H29" s="132"/>
      <c r="I29" s="128">
        <f t="shared" si="0"/>
        <v>0</v>
      </c>
      <c r="K29" s="129"/>
      <c r="AD29" s="77"/>
      <c r="AE29" s="77"/>
      <c r="AF29" s="77"/>
    </row>
    <row r="30" spans="1:32">
      <c r="A30" t="s">
        <v>1508</v>
      </c>
      <c r="I30" s="128">
        <f t="shared" si="0"/>
        <v>0</v>
      </c>
    </row>
    <row r="31" spans="1:32">
      <c r="A31" t="s">
        <v>1509</v>
      </c>
      <c r="I31" s="128">
        <f t="shared" si="0"/>
        <v>0</v>
      </c>
    </row>
    <row r="32" spans="1:32">
      <c r="A32" t="s">
        <v>1051</v>
      </c>
      <c r="I32" s="128">
        <f t="shared" si="0"/>
        <v>0</v>
      </c>
    </row>
    <row r="33" spans="1:9">
      <c r="A33" t="s">
        <v>1506</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1510</v>
      </c>
      <c r="I46" s="128">
        <f t="shared" si="0"/>
        <v>0</v>
      </c>
    </row>
    <row r="47" spans="1:9">
      <c r="A47" t="s">
        <v>1511</v>
      </c>
      <c r="I47" s="128">
        <f t="shared" si="0"/>
        <v>0</v>
      </c>
    </row>
    <row r="48" spans="1:9">
      <c r="A48" t="s">
        <v>1512</v>
      </c>
      <c r="I48" s="128">
        <f t="shared" si="0"/>
        <v>0</v>
      </c>
    </row>
    <row r="49" spans="1:9">
      <c r="A49" t="s">
        <v>1513</v>
      </c>
      <c r="I49" s="128">
        <f t="shared" si="0"/>
        <v>0</v>
      </c>
    </row>
    <row r="50" spans="1:9">
      <c r="A50" t="s">
        <v>1514</v>
      </c>
      <c r="I50" s="128">
        <f t="shared" si="0"/>
        <v>0</v>
      </c>
    </row>
    <row r="51" spans="1:9">
      <c r="A51" t="s">
        <v>1515</v>
      </c>
      <c r="I51" s="128">
        <f t="shared" si="0"/>
        <v>0</v>
      </c>
    </row>
    <row r="52" spans="1:9">
      <c r="A52" t="s">
        <v>1516</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219075</xdr:colOff>
                    <xdr:row>1</xdr:row>
                    <xdr:rowOff>171450</xdr:rowOff>
                  </from>
                  <to>
                    <xdr:col>0</xdr:col>
                    <xdr:colOff>1590675</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142875</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790575</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66675</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28575</xdr:rowOff>
                  </from>
                  <to>
                    <xdr:col>3</xdr:col>
                    <xdr:colOff>752475</xdr:colOff>
                    <xdr:row>3</xdr:row>
                    <xdr:rowOff>104775</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752475</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28575</xdr:rowOff>
                  </from>
                  <to>
                    <xdr:col>6</xdr:col>
                    <xdr:colOff>752475</xdr:colOff>
                    <xdr:row>3</xdr:row>
                    <xdr:rowOff>104775</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104775</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5" workbookViewId="0">
      <selection activeCell="B38" sqref="B38"/>
    </sheetView>
  </sheetViews>
  <sheetFormatPr defaultRowHeight="15"/>
  <cols>
    <col min="1" max="1" width="54.28515625" style="8" customWidth="1"/>
    <col min="2" max="2" width="56" style="8" customWidth="1"/>
    <col min="3" max="3" width="16.7109375" customWidth="1"/>
  </cols>
  <sheetData>
    <row r="1" spans="1:2">
      <c r="A1" s="1" t="s">
        <v>0</v>
      </c>
      <c r="B1" s="23" t="s">
        <v>720</v>
      </c>
    </row>
    <row r="2" spans="1:2">
      <c r="A2" s="2" t="s">
        <v>1</v>
      </c>
      <c r="B2" s="3" t="s">
        <v>1517</v>
      </c>
    </row>
    <row r="3" spans="1:2">
      <c r="A3" s="2" t="s">
        <v>2</v>
      </c>
      <c r="B3" s="324"/>
    </row>
    <row r="4" spans="1:2">
      <c r="A4" s="2" t="s">
        <v>727</v>
      </c>
      <c r="B4" s="3" t="s">
        <v>1518</v>
      </c>
    </row>
    <row r="5" spans="1:2">
      <c r="A5" s="2" t="s">
        <v>1600</v>
      </c>
      <c r="B5" s="4">
        <v>53517</v>
      </c>
    </row>
    <row r="6" spans="1:2">
      <c r="A6" s="5" t="s">
        <v>3</v>
      </c>
      <c r="B6" s="5"/>
    </row>
    <row r="7" spans="1:2">
      <c r="A7" s="2" t="s">
        <v>4</v>
      </c>
      <c r="B7" s="6" t="s">
        <v>1519</v>
      </c>
    </row>
    <row r="8" spans="1:2">
      <c r="A8" s="2" t="s">
        <v>5</v>
      </c>
      <c r="B8" s="6" t="s">
        <v>6</v>
      </c>
    </row>
    <row r="9" spans="1:2">
      <c r="A9" s="2" t="s">
        <v>7</v>
      </c>
      <c r="B9" s="6" t="s">
        <v>1520</v>
      </c>
    </row>
    <row r="10" spans="1:2" ht="51">
      <c r="A10" s="2" t="s">
        <v>8</v>
      </c>
      <c r="B10" s="6" t="s">
        <v>1521</v>
      </c>
    </row>
    <row r="11" spans="1:2">
      <c r="A11" s="2" t="s">
        <v>1114</v>
      </c>
      <c r="B11" s="6" t="s">
        <v>1522</v>
      </c>
    </row>
    <row r="12" spans="1:2">
      <c r="A12" s="2" t="s">
        <v>9</v>
      </c>
      <c r="B12" s="6" t="s">
        <v>1523</v>
      </c>
    </row>
    <row r="13" spans="1:2">
      <c r="A13" s="2" t="s">
        <v>10</v>
      </c>
      <c r="B13" s="6" t="s">
        <v>1524</v>
      </c>
    </row>
    <row r="14" spans="1:2">
      <c r="A14" s="2" t="s">
        <v>11</v>
      </c>
      <c r="B14" s="6" t="s">
        <v>1525</v>
      </c>
    </row>
    <row r="15" spans="1:2">
      <c r="A15" s="5" t="s">
        <v>12</v>
      </c>
      <c r="B15" s="5"/>
    </row>
    <row r="16" spans="1:2">
      <c r="A16" s="2" t="s">
        <v>13</v>
      </c>
      <c r="B16" s="83" t="s">
        <v>1583</v>
      </c>
    </row>
    <row r="17" spans="1:2">
      <c r="A17" s="2" t="s">
        <v>14</v>
      </c>
      <c r="B17" s="298" t="s">
        <v>1584</v>
      </c>
    </row>
    <row r="18" spans="1:2">
      <c r="A18" s="2" t="s">
        <v>15</v>
      </c>
      <c r="B18" s="6" t="s">
        <v>1585</v>
      </c>
    </row>
    <row r="19" spans="1:2">
      <c r="A19" s="2" t="s">
        <v>16</v>
      </c>
      <c r="B19" s="6" t="s">
        <v>1586</v>
      </c>
    </row>
    <row r="20" spans="1:2">
      <c r="A20" s="2" t="s">
        <v>17</v>
      </c>
      <c r="B20" s="6" t="s">
        <v>1584</v>
      </c>
    </row>
    <row r="21" spans="1:2">
      <c r="A21" s="5" t="s">
        <v>19</v>
      </c>
      <c r="B21" s="5"/>
    </row>
    <row r="22" spans="1:2">
      <c r="A22" s="2" t="s">
        <v>20</v>
      </c>
      <c r="B22" s="298">
        <v>44174</v>
      </c>
    </row>
    <row r="23" spans="1:2">
      <c r="A23" s="2" t="s">
        <v>21</v>
      </c>
      <c r="B23" s="299" t="s">
        <v>1587</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1588</v>
      </c>
    </row>
    <row r="29" spans="1:2">
      <c r="A29" s="2" t="s">
        <v>7</v>
      </c>
      <c r="B29" s="298" t="s">
        <v>1589</v>
      </c>
    </row>
    <row r="30" spans="1:2">
      <c r="A30" s="2" t="s">
        <v>9</v>
      </c>
      <c r="B30" s="298" t="s">
        <v>1526</v>
      </c>
    </row>
    <row r="31" spans="1:2">
      <c r="A31" s="2" t="s">
        <v>10</v>
      </c>
      <c r="B31" s="27" t="s">
        <v>1590</v>
      </c>
    </row>
    <row r="32" spans="1:2">
      <c r="A32" s="5" t="s">
        <v>26</v>
      </c>
      <c r="B32" s="5"/>
    </row>
    <row r="33" spans="1:5">
      <c r="A33" s="2" t="s">
        <v>4</v>
      </c>
      <c r="B33" s="325" t="s">
        <v>1591</v>
      </c>
    </row>
    <row r="34" spans="1:5">
      <c r="A34" s="2" t="s">
        <v>5</v>
      </c>
      <c r="B34" s="426" t="str">
        <f>B16</f>
        <v>Software for Mars (Pty) Ltd</v>
      </c>
      <c r="C34" s="117"/>
    </row>
    <row r="35" spans="1:5">
      <c r="A35" s="2" t="s">
        <v>9</v>
      </c>
      <c r="B35" s="326" t="s">
        <v>1527</v>
      </c>
    </row>
    <row r="36" spans="1:5">
      <c r="A36" s="2" t="s">
        <v>10</v>
      </c>
      <c r="B36" s="327" t="s">
        <v>1592</v>
      </c>
    </row>
    <row r="37" spans="1:5">
      <c r="A37" s="5" t="s">
        <v>27</v>
      </c>
      <c r="B37" s="5"/>
    </row>
    <row r="38" spans="1:5">
      <c r="A38" s="2" t="s">
        <v>4</v>
      </c>
      <c r="B38" s="298" t="s">
        <v>1593</v>
      </c>
    </row>
    <row r="39" spans="1:5">
      <c r="A39" s="2" t="s">
        <v>5</v>
      </c>
      <c r="B39" s="298" t="s">
        <v>1346</v>
      </c>
    </row>
    <row r="40" spans="1:5">
      <c r="A40" s="2" t="s">
        <v>7</v>
      </c>
      <c r="B40" s="298" t="s">
        <v>424</v>
      </c>
    </row>
    <row r="41" spans="1:5">
      <c r="A41" s="2" t="s">
        <v>9</v>
      </c>
      <c r="B41" s="299" t="s">
        <v>1528</v>
      </c>
    </row>
    <row r="42" spans="1:5">
      <c r="A42" s="2" t="s">
        <v>10</v>
      </c>
      <c r="B42" s="88" t="s">
        <v>1594</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109375" defaultRowHeight="15"/>
  <cols>
    <col min="1" max="1" width="33.7109375" style="11" customWidth="1"/>
    <col min="2" max="2" width="70.7109375" style="11" customWidth="1"/>
    <col min="3" max="3" width="11.28515625" style="11" customWidth="1"/>
    <col min="4" max="16384" width="8.7109375" style="11"/>
  </cols>
  <sheetData>
    <row r="1" spans="1:3">
      <c r="A1" s="24" t="s">
        <v>761</v>
      </c>
    </row>
    <row r="2" spans="1:3" s="50" customFormat="1" ht="15.75">
      <c r="A2" s="51" t="s">
        <v>719</v>
      </c>
      <c r="B2" s="51"/>
      <c r="C2" s="49"/>
    </row>
    <row r="3" spans="1:3">
      <c r="A3" s="11" t="s">
        <v>714</v>
      </c>
      <c r="B3" s="90" t="str">
        <f>'Agreement 3'!B16</f>
        <v>Software for Mars (Pty) Ltd</v>
      </c>
      <c r="C3" s="11" t="s">
        <v>1001</v>
      </c>
    </row>
    <row r="4" spans="1:3">
      <c r="A4" s="11" t="s">
        <v>713</v>
      </c>
      <c r="B4" s="11" t="s">
        <v>1595</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1608</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1596</v>
      </c>
    </row>
    <row r="16" spans="1:3">
      <c r="A16" s="11" t="s">
        <v>764</v>
      </c>
      <c r="B16" s="92">
        <f>'Agreement 3'!B5</f>
        <v>53517</v>
      </c>
      <c r="C16" s="11" t="s">
        <v>1001</v>
      </c>
    </row>
    <row r="18" spans="1:3" s="50" customFormat="1" ht="15.75">
      <c r="A18" s="51" t="s">
        <v>960</v>
      </c>
      <c r="B18" s="51"/>
      <c r="C18" s="49"/>
    </row>
    <row r="19" spans="1:3" s="50" customFormat="1" ht="15.75">
      <c r="A19" s="50" t="s">
        <v>874</v>
      </c>
      <c r="B19" s="413" t="s">
        <v>1347</v>
      </c>
      <c r="C19" s="49"/>
    </row>
    <row r="20" spans="1:3" s="50" customFormat="1" ht="15.75">
      <c r="A20" s="50" t="s">
        <v>962</v>
      </c>
      <c r="B20" s="94">
        <f>B21-1</f>
        <v>44267</v>
      </c>
      <c r="C20" s="49"/>
    </row>
    <row r="21" spans="1:3" s="50" customFormat="1" ht="15.75">
      <c r="A21" s="50" t="s">
        <v>1005</v>
      </c>
      <c r="B21" s="146">
        <f>B24-14</f>
        <v>44268</v>
      </c>
      <c r="C21" s="49" t="s">
        <v>1002</v>
      </c>
    </row>
    <row r="22" spans="1:3" s="50" customFormat="1" ht="15.75">
      <c r="B22" s="94"/>
      <c r="C22" s="49"/>
    </row>
    <row r="23" spans="1:3" s="50" customFormat="1" ht="15.75">
      <c r="A23" s="50" t="s">
        <v>963</v>
      </c>
      <c r="B23" s="94">
        <f>B24-1</f>
        <v>44281</v>
      </c>
      <c r="C23" s="49"/>
    </row>
    <row r="24" spans="1:3" s="50" customFormat="1" ht="15.75">
      <c r="A24" s="50" t="s">
        <v>1006</v>
      </c>
      <c r="B24" s="146">
        <f>B27-14</f>
        <v>44282</v>
      </c>
      <c r="C24" s="49" t="s">
        <v>1002</v>
      </c>
    </row>
    <row r="25" spans="1:3" s="50" customFormat="1" ht="15.75">
      <c r="B25" s="94"/>
      <c r="C25" s="49"/>
    </row>
    <row r="26" spans="1:3" s="50" customFormat="1" ht="15.75">
      <c r="A26" s="50" t="s">
        <v>875</v>
      </c>
      <c r="B26" s="94">
        <f>B27-2</f>
        <v>44294</v>
      </c>
      <c r="C26" s="49"/>
    </row>
    <row r="27" spans="1:3" s="50" customFormat="1" ht="15.75">
      <c r="A27" s="50" t="s">
        <v>876</v>
      </c>
      <c r="B27" s="146">
        <f>B30-B29</f>
        <v>44296</v>
      </c>
      <c r="C27" s="50" t="s">
        <v>1002</v>
      </c>
    </row>
    <row r="28" spans="1:3" s="50" customFormat="1" ht="15.75">
      <c r="A28" s="50" t="s">
        <v>877</v>
      </c>
      <c r="B28" s="50">
        <v>0</v>
      </c>
      <c r="C28" s="49"/>
    </row>
    <row r="29" spans="1:3" s="50" customFormat="1" ht="15.75">
      <c r="A29" s="50" t="s">
        <v>1010</v>
      </c>
      <c r="B29" s="50">
        <v>2</v>
      </c>
      <c r="C29" s="49" t="s">
        <v>984</v>
      </c>
    </row>
    <row r="30" spans="1:3" s="50" customFormat="1" ht="15.75">
      <c r="A30" s="50" t="s">
        <v>878</v>
      </c>
      <c r="B30" s="93">
        <f>'Agreement 3'!B25</f>
        <v>44298</v>
      </c>
      <c r="C30" s="127"/>
    </row>
    <row r="31" spans="1:3" s="50" customFormat="1" ht="15.75">
      <c r="A31" s="50" t="s">
        <v>1128</v>
      </c>
      <c r="B31" s="50">
        <v>0</v>
      </c>
      <c r="C31" s="127"/>
    </row>
    <row r="32" spans="1:3" s="50" customFormat="1" ht="15.75">
      <c r="A32" s="50" t="s">
        <v>755</v>
      </c>
      <c r="B32" s="93">
        <f>B33-B31</f>
        <v>44302</v>
      </c>
      <c r="C32" s="127" t="s">
        <v>1002</v>
      </c>
    </row>
    <row r="33" spans="1:4" s="50" customFormat="1" ht="15.75">
      <c r="A33" s="50" t="s">
        <v>879</v>
      </c>
      <c r="B33" s="93">
        <f>'Agreement 3'!B26</f>
        <v>44302</v>
      </c>
      <c r="C33" s="49" t="s">
        <v>1001</v>
      </c>
    </row>
    <row r="34" spans="1:4" s="117" customFormat="1" ht="15.75">
      <c r="A34" s="50" t="s">
        <v>400</v>
      </c>
      <c r="B34" s="39">
        <f>B33-B27+1-B28</f>
        <v>7</v>
      </c>
      <c r="C34" s="117" t="s">
        <v>1002</v>
      </c>
    </row>
    <row r="35" spans="1:4" s="117" customFormat="1" ht="15.75">
      <c r="A35" s="117" t="s">
        <v>1130</v>
      </c>
      <c r="B35" s="50">
        <v>0</v>
      </c>
    </row>
    <row r="36" spans="1:4" s="117" customFormat="1">
      <c r="A36" s="117" t="s">
        <v>1129</v>
      </c>
      <c r="B36" s="239">
        <f>B35+B32</f>
        <v>44302</v>
      </c>
      <c r="C36" s="117" t="s">
        <v>1002</v>
      </c>
    </row>
    <row r="37" spans="1:4" s="117" customFormat="1" ht="15.75">
      <c r="A37" s="117" t="s">
        <v>1348</v>
      </c>
      <c r="B37" s="50">
        <v>14</v>
      </c>
    </row>
    <row r="38" spans="1:4" s="117" customFormat="1">
      <c r="A38" s="117" t="s">
        <v>1131</v>
      </c>
      <c r="B38" s="239">
        <f>B36+B37-1</f>
        <v>44315</v>
      </c>
      <c r="C38" s="117" t="s">
        <v>1002</v>
      </c>
    </row>
    <row r="40" spans="1:4" s="50" customFormat="1" ht="31.5">
      <c r="A40" s="51" t="s">
        <v>964</v>
      </c>
      <c r="B40" s="51"/>
      <c r="C40" s="49"/>
    </row>
    <row r="41" spans="1:4" s="50" customFormat="1" ht="15.75">
      <c r="A41" s="50" t="s">
        <v>965</v>
      </c>
      <c r="B41" s="55" t="str">
        <f>'Agreement 3'!B23</f>
        <v>Conduct Maturity Level 5 appraisal in April 2021</v>
      </c>
      <c r="C41" s="49" t="s">
        <v>1001</v>
      </c>
    </row>
    <row r="42" spans="1:4" s="50" customFormat="1" ht="45">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5">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1529</v>
      </c>
      <c r="C47" s="125" t="s">
        <v>884</v>
      </c>
      <c r="D47" s="125" t="s">
        <v>1082</v>
      </c>
    </row>
    <row r="48" spans="1:4" s="125" customFormat="1">
      <c r="A48" s="125" t="s">
        <v>598</v>
      </c>
      <c r="B48" s="89" t="s">
        <v>1530</v>
      </c>
      <c r="C48" s="125" t="s">
        <v>884</v>
      </c>
      <c r="D48" s="125" t="s">
        <v>1082</v>
      </c>
    </row>
    <row r="49" spans="1:5" s="125" customFormat="1">
      <c r="A49" s="125" t="s">
        <v>599</v>
      </c>
      <c r="B49" s="89" t="s">
        <v>1160</v>
      </c>
      <c r="C49" s="125" t="s">
        <v>884</v>
      </c>
    </row>
    <row r="50" spans="1:5" s="125" customFormat="1">
      <c r="A50" s="125" t="s">
        <v>600</v>
      </c>
      <c r="B50" s="89" t="s">
        <v>621</v>
      </c>
      <c r="C50" s="125" t="s">
        <v>884</v>
      </c>
    </row>
    <row r="51" spans="1:5" s="125" customFormat="1">
      <c r="A51" s="125" t="s">
        <v>601</v>
      </c>
      <c r="B51" s="89" t="s">
        <v>1531</v>
      </c>
      <c r="C51" s="125" t="s">
        <v>884</v>
      </c>
    </row>
    <row r="52" spans="1:5" s="125" customFormat="1">
      <c r="A52" s="125" t="s">
        <v>602</v>
      </c>
      <c r="B52" s="89" t="s">
        <v>1532</v>
      </c>
      <c r="C52" s="125" t="s">
        <v>884</v>
      </c>
    </row>
    <row r="53" spans="1:5" s="125" customFormat="1">
      <c r="B53" s="238"/>
    </row>
    <row r="54" spans="1:5" s="50" customFormat="1" ht="59.45" customHeight="1">
      <c r="A54" s="50" t="s">
        <v>1079</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7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109375" defaultRowHeight="15.75"/>
  <cols>
    <col min="1" max="1" width="38.42578125" style="50" customWidth="1"/>
    <col min="2" max="2" width="71.7109375" style="50" customWidth="1"/>
    <col min="3" max="3" width="32.42578125" style="49" customWidth="1"/>
    <col min="4" max="4" width="44.28515625" style="50" customWidth="1"/>
    <col min="5" max="16384" width="10.7109375" style="50"/>
  </cols>
  <sheetData>
    <row r="1" spans="1:3" ht="37.5">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5">
      <c r="A5" s="84" t="s">
        <v>31</v>
      </c>
      <c r="B5" s="117" t="s">
        <v>1598</v>
      </c>
    </row>
    <row r="6" spans="1:3" s="84" customFormat="1" ht="15">
      <c r="A6" s="84" t="s">
        <v>32</v>
      </c>
      <c r="B6" s="117" t="s">
        <v>1597</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5">
      <c r="A9" s="84" t="s">
        <v>35</v>
      </c>
      <c r="B9" s="86" t="s">
        <v>1602</v>
      </c>
    </row>
    <row r="10" spans="1:3" s="84" customFormat="1" ht="15">
      <c r="A10" s="84" t="s">
        <v>17</v>
      </c>
      <c r="B10" s="85" t="s">
        <v>18</v>
      </c>
      <c r="C10" s="84" t="s">
        <v>384</v>
      </c>
    </row>
    <row r="11" spans="1:3" ht="31.5">
      <c r="A11" s="50" t="s">
        <v>854</v>
      </c>
      <c r="B11" s="87" t="str">
        <f>_xlfn.CONCAT(B5,", ",B6,", ",B7,", ",B8,", ",B9,", ",B10)</f>
        <v>Room 1, Dome 1, No. 1 First Street, Base Alpha City, Tharsis, Planet04, China</v>
      </c>
      <c r="C11" s="49" t="s">
        <v>1002</v>
      </c>
    </row>
    <row r="12" spans="1:3">
      <c r="A12" s="50" t="s">
        <v>855</v>
      </c>
      <c r="B12" s="301" t="s">
        <v>1599</v>
      </c>
    </row>
    <row r="13" spans="1:3" ht="47.25">
      <c r="A13" s="50" t="s">
        <v>856</v>
      </c>
      <c r="B13" s="55" t="str">
        <f>_xlfn.CONCAT(Planning!B44)</f>
        <v>[BO-1] Improve production efficiency to improve productivity 
[BO-2] Improve delivery capacity
[BO-3] Reduce Code Acceptance Defects</v>
      </c>
      <c r="C13" s="49" t="s">
        <v>961</v>
      </c>
    </row>
    <row r="14" spans="1:3" ht="47.25">
      <c r="A14" s="50" t="str">
        <f>Planning!A54</f>
        <v>Appraisal objectives</v>
      </c>
      <c r="B14" s="55" t="str">
        <f>Planning!B54</f>
        <v>[A1]: In support of the business objectives, understand the current strength and weaknesses of the CMMI Maturity Level 5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099999999999994" customHeight="1">
      <c r="A17" s="50" t="s">
        <v>985</v>
      </c>
      <c r="B17" s="414"/>
    </row>
    <row r="19" spans="1:3">
      <c r="A19" s="51" t="s">
        <v>857</v>
      </c>
      <c r="B19" s="51"/>
    </row>
    <row r="20" spans="1:3">
      <c r="A20" s="50" t="s">
        <v>858</v>
      </c>
      <c r="B20" s="89" t="s">
        <v>1350</v>
      </c>
    </row>
    <row r="21" spans="1:3">
      <c r="A21" s="50" t="s">
        <v>859</v>
      </c>
      <c r="B21" s="89"/>
    </row>
    <row r="22" spans="1:3">
      <c r="A22" s="50" t="s">
        <v>860</v>
      </c>
      <c r="B22" s="89" t="s">
        <v>1533</v>
      </c>
    </row>
    <row r="23" spans="1:3" ht="90">
      <c r="A23" s="50" t="s">
        <v>861</v>
      </c>
      <c r="B23" s="411" t="s">
        <v>1601</v>
      </c>
      <c r="C23" s="306"/>
    </row>
    <row r="24" spans="1:3" ht="31.5">
      <c r="A24" s="50" t="s">
        <v>862</v>
      </c>
      <c r="B24" s="54" t="s">
        <v>347</v>
      </c>
      <c r="C24" s="49" t="s">
        <v>384</v>
      </c>
    </row>
    <row r="25" spans="1:3">
      <c r="A25" s="50" t="s">
        <v>863</v>
      </c>
      <c r="B25" s="50">
        <v>2481632</v>
      </c>
    </row>
    <row r="26" spans="1:3" ht="47.25">
      <c r="A26" s="50" t="s">
        <v>976</v>
      </c>
      <c r="B26" s="328" t="s">
        <v>1505</v>
      </c>
      <c r="C26" s="49" t="s">
        <v>1002</v>
      </c>
    </row>
    <row r="27" spans="1:3" s="117" customFormat="1" ht="15">
      <c r="A27" s="117" t="s">
        <v>31</v>
      </c>
      <c r="B27" s="117" t="str">
        <f t="shared" ref="B27:B32" si="0">B5</f>
        <v>Room 1, Dome 1</v>
      </c>
    </row>
    <row r="28" spans="1:3" s="117" customFormat="1" ht="15">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5">
      <c r="A31" s="117" t="s">
        <v>35</v>
      </c>
      <c r="B31" s="89" t="str">
        <f t="shared" si="0"/>
        <v>Planet04</v>
      </c>
    </row>
    <row r="32" spans="1:3" s="117" customFormat="1" ht="15">
      <c r="A32" s="117" t="s">
        <v>17</v>
      </c>
      <c r="B32" s="121" t="str">
        <f t="shared" si="0"/>
        <v>China</v>
      </c>
      <c r="C32" s="117" t="s">
        <v>384</v>
      </c>
    </row>
    <row r="33" spans="1:3" ht="31.5">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5">
      <c r="A39" s="50" t="s">
        <v>1083</v>
      </c>
      <c r="B39" s="54" t="s">
        <v>735</v>
      </c>
      <c r="C39" s="49" t="s">
        <v>384</v>
      </c>
    </row>
    <row r="40" spans="1:3" ht="31.5">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ht="31.5">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109375" defaultRowHeight="15"/>
  <cols>
    <col min="1" max="1" width="11.42578125" style="98" customWidth="1"/>
    <col min="2" max="2" width="20.42578125" style="98" customWidth="1"/>
    <col min="3" max="3" width="60.42578125" style="98" customWidth="1"/>
    <col min="4" max="4" width="15.28515625" style="98" customWidth="1"/>
    <col min="5" max="5" width="20.42578125" style="98" customWidth="1"/>
    <col min="6" max="7" width="15.42578125" style="107" customWidth="1"/>
    <col min="8" max="8" width="11.7109375" style="98" customWidth="1"/>
    <col min="9" max="9" width="9.7109375" style="104" customWidth="1"/>
    <col min="10" max="27" width="6.42578125" style="104" customWidth="1"/>
    <col min="28" max="28" width="8.7109375" style="104" customWidth="1"/>
    <col min="29" max="31" width="7.42578125" style="98" customWidth="1"/>
    <col min="32" max="32" width="7.42578125" style="117" customWidth="1"/>
    <col min="33" max="35" width="7.42578125" style="98" customWidth="1"/>
    <col min="36" max="36" width="5.28515625" style="98" customWidth="1"/>
    <col min="37" max="16384" width="8.7109375" style="98"/>
  </cols>
  <sheetData>
    <row r="1" spans="1:36" s="50" customFormat="1" ht="57" customHeight="1">
      <c r="A1" s="113" t="s">
        <v>1503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30" t="s">
        <v>1180</v>
      </c>
      <c r="AD1" s="430"/>
      <c r="AE1" s="430"/>
      <c r="AF1" s="430"/>
      <c r="AG1" s="430"/>
      <c r="AH1" s="430"/>
      <c r="AI1" s="430"/>
      <c r="AJ1" s="430"/>
    </row>
    <row r="2" spans="1:36" s="400" customFormat="1" ht="71.25">
      <c r="A2" s="398" t="s">
        <v>880</v>
      </c>
      <c r="B2" s="398" t="s">
        <v>13</v>
      </c>
      <c r="C2" s="398" t="s">
        <v>382</v>
      </c>
      <c r="D2" s="398" t="s">
        <v>881</v>
      </c>
      <c r="E2" s="398" t="s">
        <v>1146</v>
      </c>
      <c r="F2" s="399" t="s">
        <v>1147</v>
      </c>
      <c r="G2" s="399" t="s">
        <v>1148</v>
      </c>
      <c r="H2" s="398" t="s">
        <v>1501</v>
      </c>
      <c r="I2" s="261" t="s">
        <v>1504</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1663</v>
      </c>
      <c r="AF2" s="263" t="s">
        <v>1183</v>
      </c>
      <c r="AG2" s="263" t="s">
        <v>1664</v>
      </c>
      <c r="AH2" s="263" t="s">
        <v>1665</v>
      </c>
      <c r="AI2" s="263" t="s">
        <v>1155</v>
      </c>
      <c r="AJ2" s="264" t="s">
        <v>1184</v>
      </c>
    </row>
    <row r="3" spans="1:36" s="265" customFormat="1" ht="12.75">
      <c r="A3" s="266" t="s">
        <v>897</v>
      </c>
      <c r="B3" s="265" t="s">
        <v>1535</v>
      </c>
      <c r="C3" s="266" t="s">
        <v>1534</v>
      </c>
      <c r="D3" s="266" t="s">
        <v>1149</v>
      </c>
      <c r="E3" s="266" t="s">
        <v>1356</v>
      </c>
      <c r="F3" s="267">
        <v>44021</v>
      </c>
      <c r="G3" s="267">
        <v>44260</v>
      </c>
      <c r="H3" s="266" t="s">
        <v>1358</v>
      </c>
      <c r="I3" s="268" t="s">
        <v>1502</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2.75">
      <c r="A4" s="266" t="s">
        <v>898</v>
      </c>
      <c r="B4" s="265" t="s">
        <v>1536</v>
      </c>
      <c r="C4" s="266" t="s">
        <v>1537</v>
      </c>
      <c r="D4" s="266" t="s">
        <v>1149</v>
      </c>
      <c r="E4" s="300" t="s">
        <v>1356</v>
      </c>
      <c r="F4" s="272">
        <v>44086</v>
      </c>
      <c r="G4" s="272">
        <v>44258</v>
      </c>
      <c r="H4" s="266" t="s">
        <v>1358</v>
      </c>
      <c r="I4" s="268" t="s">
        <v>1502</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2.75">
      <c r="A5" s="266" t="s">
        <v>899</v>
      </c>
      <c r="B5" s="265" t="s">
        <v>1538</v>
      </c>
      <c r="C5" s="266" t="s">
        <v>1539</v>
      </c>
      <c r="D5" s="266" t="s">
        <v>1149</v>
      </c>
      <c r="E5" s="300" t="s">
        <v>1356</v>
      </c>
      <c r="F5" s="272">
        <v>44062</v>
      </c>
      <c r="G5" s="272">
        <v>44247</v>
      </c>
      <c r="H5" s="266" t="s">
        <v>1358</v>
      </c>
      <c r="I5" s="268" t="s">
        <v>1502</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2.75">
      <c r="A6" s="266" t="s">
        <v>900</v>
      </c>
      <c r="B6" s="265" t="s">
        <v>1540</v>
      </c>
      <c r="C6" s="272" t="s">
        <v>1541</v>
      </c>
      <c r="D6" s="266" t="s">
        <v>1149</v>
      </c>
      <c r="E6" s="300" t="s">
        <v>1356</v>
      </c>
      <c r="F6" s="272" t="s">
        <v>1357</v>
      </c>
      <c r="G6" s="272">
        <v>44265</v>
      </c>
      <c r="H6" s="300" t="s">
        <v>1358</v>
      </c>
      <c r="I6" s="268" t="s">
        <v>1502</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5.5">
      <c r="A7" s="274" t="s">
        <v>902</v>
      </c>
      <c r="B7" s="274" t="s">
        <v>1352</v>
      </c>
      <c r="C7" s="274" t="s">
        <v>1542</v>
      </c>
      <c r="D7" s="274" t="s">
        <v>1150</v>
      </c>
      <c r="E7" s="275"/>
      <c r="F7" s="276"/>
      <c r="G7" s="276"/>
      <c r="H7" s="300" t="s">
        <v>1358</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3.75">
      <c r="A8" s="274" t="s">
        <v>903</v>
      </c>
      <c r="B8" s="274" t="s">
        <v>1353</v>
      </c>
      <c r="C8" s="274" t="s">
        <v>1543</v>
      </c>
      <c r="D8" s="274" t="s">
        <v>1150</v>
      </c>
      <c r="E8" s="275"/>
      <c r="F8" s="276"/>
      <c r="G8" s="276"/>
      <c r="H8" s="300" t="s">
        <v>1358</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38.25">
      <c r="A9" s="274" t="s">
        <v>904</v>
      </c>
      <c r="B9" s="274" t="s">
        <v>1354</v>
      </c>
      <c r="C9" s="274" t="s">
        <v>1544</v>
      </c>
      <c r="D9" s="274" t="s">
        <v>1150</v>
      </c>
      <c r="E9" s="275"/>
      <c r="F9" s="276"/>
      <c r="G9" s="276"/>
      <c r="H9" s="300" t="s">
        <v>1358</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5.5">
      <c r="A10" s="274" t="s">
        <v>905</v>
      </c>
      <c r="B10" s="274" t="s">
        <v>1355</v>
      </c>
      <c r="C10" s="274" t="s">
        <v>1545</v>
      </c>
      <c r="D10" s="274" t="s">
        <v>1150</v>
      </c>
      <c r="E10" s="275"/>
      <c r="F10" s="276"/>
      <c r="G10" s="276"/>
      <c r="H10" s="300" t="s">
        <v>1358</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1658</v>
      </c>
    </row>
    <row r="24" spans="3:3" ht="40.5" customHeight="1">
      <c r="C24" s="117" t="s">
        <v>1612</v>
      </c>
    </row>
    <row r="25" spans="3:3" ht="40.5" customHeight="1">
      <c r="C25" s="117" t="s">
        <v>1611</v>
      </c>
    </row>
    <row r="26" spans="3:3" ht="40.5" customHeight="1">
      <c r="C26" s="117" t="s">
        <v>1610</v>
      </c>
    </row>
    <row r="27" spans="3:3" ht="40.5" customHeight="1">
      <c r="C27" s="117" t="s">
        <v>1613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109375" defaultRowHeight="15.75"/>
  <cols>
    <col min="1" max="1" width="11.42578125" style="62" customWidth="1"/>
    <col min="2" max="2" width="22.140625" style="62" customWidth="1"/>
    <col min="3" max="3" width="36.7109375" style="62" bestFit="1" customWidth="1"/>
    <col min="4" max="4" width="26.42578125" style="62" bestFit="1" customWidth="1"/>
    <col min="5" max="5" width="42.28515625" style="62" customWidth="1"/>
    <col min="6" max="25" width="7.85546875" style="63" customWidth="1"/>
    <col min="26" max="16384" width="10.7109375" style="62"/>
  </cols>
  <sheetData>
    <row r="1" spans="1:26" s="60" customFormat="1" ht="18.75">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1546</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1547</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1548</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1549</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1550</v>
      </c>
      <c r="D7" s="322" t="s">
        <v>1361</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1551</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1552</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1553</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1554</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1555</v>
      </c>
      <c r="D12" s="322" t="s">
        <v>1361</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1556</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1557</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1558</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1559</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1560</v>
      </c>
      <c r="D17" s="322" t="s">
        <v>1361</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1351</v>
      </c>
      <c r="B18" s="412" t="str">
        <f t="shared" si="1"/>
        <v>P4-SupperHeavy</v>
      </c>
      <c r="C18" s="322" t="s">
        <v>1561</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1351</v>
      </c>
      <c r="B19" s="412" t="str">
        <f t="shared" si="1"/>
        <v>P4-SupperHeavy</v>
      </c>
      <c r="C19" s="322" t="s">
        <v>1562</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1351</v>
      </c>
      <c r="B20" s="412" t="str">
        <f t="shared" si="1"/>
        <v>P4-SupperHeavy</v>
      </c>
      <c r="C20" s="322" t="s">
        <v>1563</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1351</v>
      </c>
      <c r="B21" s="412" t="str">
        <f t="shared" si="1"/>
        <v>P4-SupperHeavy</v>
      </c>
      <c r="C21" s="322" t="s">
        <v>1564</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1351</v>
      </c>
      <c r="B22" s="412" t="str">
        <f t="shared" si="1"/>
        <v>P4-SupperHeavy</v>
      </c>
      <c r="C22" s="322" t="s">
        <v>1565</v>
      </c>
      <c r="D22" s="322" t="s">
        <v>1361</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1566</v>
      </c>
      <c r="D23" s="322" t="s">
        <v>1360</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1567</v>
      </c>
      <c r="D24" s="320" t="s">
        <v>1362</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1662</v>
      </c>
      <c r="D25" s="320" t="s">
        <v>1661</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1568</v>
      </c>
      <c r="D26" s="322" t="s">
        <v>1359</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5">
      <c r="A27" s="322" t="s">
        <v>905</v>
      </c>
      <c r="B27" s="412" t="str">
        <f t="shared" si="1"/>
        <v>S4-PPQA</v>
      </c>
      <c r="C27" s="322" t="s">
        <v>1569</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109375" defaultRowHeight="15.75"/>
  <cols>
    <col min="1" max="1" width="32.42578125" style="62" customWidth="1"/>
    <col min="2" max="2" width="29.7109375" style="62" customWidth="1"/>
    <col min="3" max="22" width="6.42578125" style="63" customWidth="1"/>
    <col min="23" max="16384" width="10.7109375" style="62"/>
  </cols>
  <sheetData>
    <row r="1" spans="1:22" s="50" customFormat="1" ht="18.75">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1661</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1362</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5"/>
  <cols>
    <col min="1" max="1" width="18.7109375" bestFit="1" customWidth="1"/>
    <col min="2" max="2" width="15.7109375" bestFit="1" customWidth="1"/>
    <col min="3" max="5" width="3" bestFit="1" customWidth="1"/>
    <col min="6" max="9" width="2.7109375" bestFit="1" customWidth="1"/>
    <col min="10" max="10" width="6.85546875" bestFit="1" customWidth="1"/>
    <col min="11" max="14" width="10.7109375" bestFit="1" customWidth="1"/>
  </cols>
  <sheetData>
    <row r="3" spans="1:11">
      <c r="A3" s="311" t="s">
        <v>945</v>
      </c>
      <c r="B3" s="311" t="s">
        <v>915</v>
      </c>
    </row>
    <row r="4" spans="1:11">
      <c r="A4" s="311" t="s">
        <v>916</v>
      </c>
      <c r="B4" s="319" t="s">
        <v>897</v>
      </c>
      <c r="C4" s="319" t="s">
        <v>898</v>
      </c>
      <c r="D4" s="319" t="s">
        <v>899</v>
      </c>
      <c r="E4" s="319" t="s">
        <v>1351</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1352</v>
      </c>
      <c r="B6" s="312"/>
      <c r="C6" s="312"/>
      <c r="D6" s="312"/>
      <c r="E6" s="312"/>
      <c r="F6" s="312">
        <v>1</v>
      </c>
      <c r="G6" s="312"/>
      <c r="H6" s="312"/>
      <c r="I6" s="312"/>
      <c r="J6" s="312"/>
      <c r="K6" s="312">
        <v>1</v>
      </c>
    </row>
    <row r="7" spans="1:11">
      <c r="A7" s="309" t="s">
        <v>1353</v>
      </c>
      <c r="B7" s="312"/>
      <c r="C7" s="312"/>
      <c r="D7" s="312"/>
      <c r="E7" s="312"/>
      <c r="F7" s="312"/>
      <c r="G7" s="312">
        <v>2</v>
      </c>
      <c r="H7" s="312"/>
      <c r="I7" s="312"/>
      <c r="J7" s="312"/>
      <c r="K7" s="312">
        <v>2</v>
      </c>
    </row>
    <row r="8" spans="1:11">
      <c r="A8" s="309" t="s">
        <v>1354</v>
      </c>
      <c r="B8" s="312"/>
      <c r="C8" s="312"/>
      <c r="D8" s="312"/>
      <c r="E8" s="312"/>
      <c r="F8" s="312"/>
      <c r="G8" s="312"/>
      <c r="H8" s="312">
        <v>1</v>
      </c>
      <c r="I8" s="312"/>
      <c r="J8" s="312"/>
      <c r="K8" s="312">
        <v>1</v>
      </c>
    </row>
    <row r="9" spans="1:11">
      <c r="A9" s="309" t="s">
        <v>1355</v>
      </c>
      <c r="B9" s="312"/>
      <c r="C9" s="312"/>
      <c r="D9" s="312"/>
      <c r="E9" s="312"/>
      <c r="F9" s="312"/>
      <c r="G9" s="312"/>
      <c r="H9" s="312"/>
      <c r="I9" s="312">
        <v>1</v>
      </c>
      <c r="J9" s="312"/>
      <c r="K9" s="312">
        <v>1</v>
      </c>
    </row>
    <row r="10" spans="1:11">
      <c r="A10" s="309" t="s">
        <v>1535</v>
      </c>
      <c r="B10" s="312">
        <v>5</v>
      </c>
      <c r="C10" s="312"/>
      <c r="D10" s="312"/>
      <c r="E10" s="312"/>
      <c r="F10" s="312"/>
      <c r="G10" s="312"/>
      <c r="H10" s="312"/>
      <c r="I10" s="312"/>
      <c r="J10" s="312"/>
      <c r="K10" s="312">
        <v>5</v>
      </c>
    </row>
    <row r="11" spans="1:11">
      <c r="A11" s="309" t="s">
        <v>1536</v>
      </c>
      <c r="B11" s="312"/>
      <c r="C11" s="312">
        <v>5</v>
      </c>
      <c r="D11" s="312"/>
      <c r="E11" s="312"/>
      <c r="F11" s="312"/>
      <c r="G11" s="312"/>
      <c r="H11" s="312"/>
      <c r="I11" s="312"/>
      <c r="J11" s="312"/>
      <c r="K11" s="312">
        <v>5</v>
      </c>
    </row>
    <row r="12" spans="1:11">
      <c r="A12" s="309" t="s">
        <v>1538</v>
      </c>
      <c r="B12" s="312"/>
      <c r="C12" s="312"/>
      <c r="D12" s="312">
        <v>5</v>
      </c>
      <c r="E12" s="312"/>
      <c r="F12" s="312"/>
      <c r="G12" s="312"/>
      <c r="H12" s="312"/>
      <c r="I12" s="312"/>
      <c r="J12" s="312"/>
      <c r="K12" s="312">
        <v>5</v>
      </c>
    </row>
    <row r="13" spans="1:11">
      <c r="A13" s="309" t="s">
        <v>1540</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5"/>
  <cols>
    <col min="1" max="1" width="34.28515625" bestFit="1" customWidth="1"/>
    <col min="2" max="2" width="15.140625" bestFit="1" customWidth="1"/>
    <col min="3" max="7" width="3" bestFit="1" customWidth="1"/>
    <col min="8" max="11" width="2.7109375" bestFit="1" customWidth="1"/>
    <col min="12" max="12" width="6.85546875" bestFit="1" customWidth="1"/>
    <col min="13" max="14" width="10.710937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1546</v>
      </c>
      <c r="B5" s="312">
        <v>1</v>
      </c>
    </row>
    <row r="6" spans="1:14">
      <c r="A6" s="309" t="s">
        <v>1547</v>
      </c>
      <c r="B6" s="312">
        <v>1</v>
      </c>
    </row>
    <row r="7" spans="1:14">
      <c r="A7" s="309" t="s">
        <v>1548</v>
      </c>
      <c r="B7" s="312">
        <v>1</v>
      </c>
    </row>
    <row r="8" spans="1:14">
      <c r="A8" s="309" t="s">
        <v>1549</v>
      </c>
      <c r="B8" s="312">
        <v>1</v>
      </c>
    </row>
    <row r="9" spans="1:14">
      <c r="A9" s="309" t="s">
        <v>1550</v>
      </c>
      <c r="B9" s="312">
        <v>1</v>
      </c>
    </row>
    <row r="10" spans="1:14">
      <c r="A10" s="309" t="s">
        <v>1551</v>
      </c>
      <c r="B10" s="312">
        <v>1</v>
      </c>
    </row>
    <row r="11" spans="1:14">
      <c r="A11" s="309" t="s">
        <v>1552</v>
      </c>
      <c r="B11" s="312">
        <v>1</v>
      </c>
    </row>
    <row r="12" spans="1:14">
      <c r="A12" s="309" t="s">
        <v>1553</v>
      </c>
      <c r="B12" s="312">
        <v>1</v>
      </c>
    </row>
    <row r="13" spans="1:14">
      <c r="A13" s="309" t="s">
        <v>1554</v>
      </c>
      <c r="B13" s="312">
        <v>1</v>
      </c>
    </row>
    <row r="14" spans="1:14">
      <c r="A14" s="309" t="s">
        <v>1555</v>
      </c>
      <c r="B14" s="312">
        <v>1</v>
      </c>
    </row>
    <row r="15" spans="1:14">
      <c r="A15" s="309" t="s">
        <v>1556</v>
      </c>
      <c r="B15" s="312">
        <v>1</v>
      </c>
    </row>
    <row r="16" spans="1:14">
      <c r="A16" s="309" t="s">
        <v>1557</v>
      </c>
      <c r="B16" s="312">
        <v>1</v>
      </c>
    </row>
    <row r="17" spans="1:2">
      <c r="A17" s="309" t="s">
        <v>1558</v>
      </c>
      <c r="B17" s="312">
        <v>1</v>
      </c>
    </row>
    <row r="18" spans="1:2">
      <c r="A18" s="309" t="s">
        <v>1559</v>
      </c>
      <c r="B18" s="312">
        <v>1</v>
      </c>
    </row>
    <row r="19" spans="1:2">
      <c r="A19" s="309" t="s">
        <v>1560</v>
      </c>
      <c r="B19" s="312">
        <v>1</v>
      </c>
    </row>
    <row r="20" spans="1:2">
      <c r="A20" s="309" t="s">
        <v>1561</v>
      </c>
      <c r="B20" s="312">
        <v>1</v>
      </c>
    </row>
    <row r="21" spans="1:2">
      <c r="A21" s="309" t="s">
        <v>1562</v>
      </c>
      <c r="B21" s="312">
        <v>1</v>
      </c>
    </row>
    <row r="22" spans="1:2">
      <c r="A22" s="309" t="s">
        <v>1563</v>
      </c>
      <c r="B22" s="312">
        <v>1</v>
      </c>
    </row>
    <row r="23" spans="1:2">
      <c r="A23" s="309" t="s">
        <v>1564</v>
      </c>
      <c r="B23" s="312">
        <v>1</v>
      </c>
    </row>
    <row r="24" spans="1:2">
      <c r="A24" s="309" t="s">
        <v>1565</v>
      </c>
      <c r="B24" s="312">
        <v>1</v>
      </c>
    </row>
    <row r="25" spans="1:2">
      <c r="A25" s="309" t="s">
        <v>1566</v>
      </c>
      <c r="B25" s="312">
        <v>1</v>
      </c>
    </row>
    <row r="26" spans="1:2">
      <c r="A26" s="309" t="s">
        <v>1567</v>
      </c>
      <c r="B26" s="312">
        <v>1</v>
      </c>
    </row>
    <row r="27" spans="1:2">
      <c r="A27" s="309" t="s">
        <v>1662</v>
      </c>
      <c r="B27" s="312">
        <v>1</v>
      </c>
    </row>
    <row r="28" spans="1:2">
      <c r="A28" s="309" t="s">
        <v>1568</v>
      </c>
      <c r="B28" s="312">
        <v>1</v>
      </c>
    </row>
    <row r="29" spans="1:2">
      <c r="A29" s="309" t="s">
        <v>1569</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5"/>
  <cols>
    <col min="1" max="1" width="12.7109375" bestFit="1" customWidth="1"/>
    <col min="2" max="2" width="10.855468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5" workbookViewId="0">
      <selection activeCell="A91" sqref="A91:XFD91"/>
    </sheetView>
  </sheetViews>
  <sheetFormatPr defaultColWidth="8.7109375" defaultRowHeight="15"/>
  <cols>
    <col min="1" max="1" width="40.42578125" style="11" customWidth="1"/>
    <col min="2" max="2" width="64.42578125" style="11" customWidth="1"/>
    <col min="3" max="7" width="25.7109375" style="125" customWidth="1"/>
    <col min="8" max="8" width="12.7109375" style="125" customWidth="1"/>
    <col min="9" max="9" width="36" style="125" customWidth="1"/>
    <col min="10" max="10" width="13.42578125" style="125" customWidth="1"/>
    <col min="11" max="12" width="8.7109375" style="125"/>
    <col min="13" max="13" width="14.7109375" style="125" customWidth="1"/>
    <col min="14" max="21" width="8.7109375" style="125"/>
    <col min="22" max="23" width="12.28515625" style="125" customWidth="1"/>
    <col min="24" max="24" width="20" style="11" customWidth="1"/>
    <col min="25" max="16384" width="8.7109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961</v>
      </c>
    </row>
    <row r="7" spans="1:3">
      <c r="A7" s="11" t="s">
        <v>441</v>
      </c>
      <c r="B7" s="11" t="s">
        <v>388</v>
      </c>
    </row>
    <row r="8" spans="1:3">
      <c r="A8" s="11" t="s">
        <v>442</v>
      </c>
      <c r="B8" s="11" t="s">
        <v>621</v>
      </c>
    </row>
    <row r="9" spans="1:3" ht="30">
      <c r="A9" s="11" t="s">
        <v>734</v>
      </c>
      <c r="B9" s="11" t="s">
        <v>621</v>
      </c>
    </row>
    <row r="10" spans="1:3" ht="30">
      <c r="A10" s="11" t="s">
        <v>821</v>
      </c>
      <c r="B10" s="11" t="s">
        <v>388</v>
      </c>
      <c r="C10" s="250" t="s">
        <v>1609</v>
      </c>
    </row>
    <row r="11" spans="1:3">
      <c r="A11" s="11" t="s">
        <v>822</v>
      </c>
    </row>
    <row r="12" spans="1:3" ht="45">
      <c r="A12" s="11" t="s">
        <v>820</v>
      </c>
      <c r="B12" s="11" t="s">
        <v>1186</v>
      </c>
      <c r="C12" s="250" t="s">
        <v>1652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30">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90">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30">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5">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1603</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1570</v>
      </c>
      <c r="C91" s="125" t="s">
        <v>1156</v>
      </c>
      <c r="D91" s="125" t="s">
        <v>6</v>
      </c>
      <c r="E91" s="125" t="s">
        <v>1011</v>
      </c>
      <c r="F91" s="125" t="s">
        <v>1142</v>
      </c>
      <c r="G91" s="125"/>
      <c r="H91" s="125" t="s">
        <v>970</v>
      </c>
      <c r="I91" s="125" t="s">
        <v>1574</v>
      </c>
      <c r="J91" s="125" t="s">
        <v>1076</v>
      </c>
      <c r="K91" s="125"/>
      <c r="L91" s="125">
        <v>8</v>
      </c>
      <c r="M91" s="193">
        <v>44186</v>
      </c>
      <c r="N91" s="125"/>
      <c r="O91" s="125">
        <v>7</v>
      </c>
      <c r="P91" s="125" t="s">
        <v>426</v>
      </c>
      <c r="Q91" s="125" t="s">
        <v>1056</v>
      </c>
      <c r="R91" s="125">
        <v>3</v>
      </c>
      <c r="S91" s="125">
        <v>0</v>
      </c>
      <c r="T91" s="125" t="s">
        <v>1057</v>
      </c>
      <c r="U91" s="125" t="s">
        <v>1367</v>
      </c>
      <c r="V91" s="30" t="s">
        <v>1578</v>
      </c>
      <c r="W91" s="125"/>
      <c r="AA91" s="293"/>
    </row>
    <row r="92" spans="1:36" s="117" customFormat="1">
      <c r="A92" s="117" t="s">
        <v>1110</v>
      </c>
      <c r="B92" s="242" t="s">
        <v>1571</v>
      </c>
      <c r="C92" s="125" t="s">
        <v>1156</v>
      </c>
      <c r="D92" s="125" t="s">
        <v>6</v>
      </c>
      <c r="E92" s="125" t="s">
        <v>1011</v>
      </c>
      <c r="F92" s="125" t="s">
        <v>1142</v>
      </c>
      <c r="G92" s="125"/>
      <c r="H92" s="125" t="s">
        <v>970</v>
      </c>
      <c r="I92" s="125" t="s">
        <v>1575</v>
      </c>
      <c r="J92" s="125" t="s">
        <v>1076</v>
      </c>
      <c r="K92" s="125"/>
      <c r="L92" s="125">
        <v>8</v>
      </c>
      <c r="M92" s="193">
        <v>44186</v>
      </c>
      <c r="N92" s="125"/>
      <c r="O92" s="125">
        <v>18</v>
      </c>
      <c r="P92" s="125" t="s">
        <v>426</v>
      </c>
      <c r="Q92" s="125" t="s">
        <v>1056</v>
      </c>
      <c r="R92" s="125">
        <v>14</v>
      </c>
      <c r="S92" s="125">
        <v>0</v>
      </c>
      <c r="T92" s="125" t="s">
        <v>1057</v>
      </c>
      <c r="U92" s="125" t="s">
        <v>1367</v>
      </c>
      <c r="V92" s="30" t="s">
        <v>1579</v>
      </c>
      <c r="W92" s="125"/>
      <c r="AA92" s="293"/>
    </row>
    <row r="93" spans="1:36" s="117" customFormat="1">
      <c r="A93" s="117" t="s">
        <v>1110</v>
      </c>
      <c r="B93" s="242" t="s">
        <v>1572</v>
      </c>
      <c r="C93" s="125" t="s">
        <v>1156</v>
      </c>
      <c r="D93" s="125" t="s">
        <v>6</v>
      </c>
      <c r="E93" s="125" t="s">
        <v>1011</v>
      </c>
      <c r="F93" s="125" t="s">
        <v>1142</v>
      </c>
      <c r="G93" s="125"/>
      <c r="H93" s="125" t="s">
        <v>970</v>
      </c>
      <c r="I93" s="125" t="s">
        <v>1576</v>
      </c>
      <c r="J93" s="125" t="s">
        <v>1055</v>
      </c>
      <c r="K93" s="125"/>
      <c r="L93" s="125">
        <v>8</v>
      </c>
      <c r="M93" s="193">
        <v>44186</v>
      </c>
      <c r="N93" s="125"/>
      <c r="O93" s="125">
        <v>20</v>
      </c>
      <c r="P93" s="125" t="s">
        <v>426</v>
      </c>
      <c r="Q93" s="125" t="s">
        <v>1056</v>
      </c>
      <c r="R93" s="125">
        <v>30</v>
      </c>
      <c r="S93" s="125">
        <v>5</v>
      </c>
      <c r="T93" s="125" t="s">
        <v>1057</v>
      </c>
      <c r="U93" s="125" t="s">
        <v>1368</v>
      </c>
      <c r="V93" s="30" t="s">
        <v>1580</v>
      </c>
      <c r="W93" s="125"/>
      <c r="AA93" s="293"/>
    </row>
    <row r="94" spans="1:36" s="117" customFormat="1">
      <c r="A94" s="117" t="s">
        <v>1110</v>
      </c>
      <c r="B94" s="242" t="s">
        <v>1573</v>
      </c>
      <c r="C94" s="125" t="s">
        <v>1156</v>
      </c>
      <c r="D94" s="125" t="s">
        <v>6</v>
      </c>
      <c r="E94" s="125" t="s">
        <v>1011</v>
      </c>
      <c r="F94" s="125" t="s">
        <v>1142</v>
      </c>
      <c r="G94" s="125"/>
      <c r="H94" s="125" t="s">
        <v>970</v>
      </c>
      <c r="I94" s="125" t="s">
        <v>1577</v>
      </c>
      <c r="J94" s="125" t="s">
        <v>1076</v>
      </c>
      <c r="K94" s="125"/>
      <c r="L94" s="125">
        <v>8</v>
      </c>
      <c r="M94" s="193">
        <v>44186</v>
      </c>
      <c r="N94" s="125"/>
      <c r="O94" s="125">
        <v>12</v>
      </c>
      <c r="P94" s="125" t="s">
        <v>426</v>
      </c>
      <c r="Q94" s="125" t="s">
        <v>1056</v>
      </c>
      <c r="R94" s="125">
        <v>10</v>
      </c>
      <c r="S94" s="125">
        <v>9</v>
      </c>
      <c r="T94" s="125" t="s">
        <v>1057</v>
      </c>
      <c r="U94" s="125" t="s">
        <v>1368</v>
      </c>
      <c r="V94" s="30" t="s">
        <v>1581</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1605</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1604</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1369</v>
      </c>
      <c r="C103" s="125"/>
      <c r="D103" s="125" t="s">
        <v>6</v>
      </c>
      <c r="E103" s="125" t="s">
        <v>1011</v>
      </c>
      <c r="F103" s="125" t="s">
        <v>1142</v>
      </c>
      <c r="G103" s="125"/>
      <c r="H103" s="125" t="s">
        <v>970</v>
      </c>
      <c r="I103" s="125" t="s">
        <v>1370</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1371</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1363</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1364</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1365</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2" t="s">
        <v>1366</v>
      </c>
      <c r="B125" s="432"/>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3" t="s">
        <v>831</v>
      </c>
      <c r="B143" s="433"/>
    </row>
    <row r="145" spans="1:3">
      <c r="A145" s="251" t="s">
        <v>787</v>
      </c>
      <c r="B145" s="252"/>
      <c r="C145" s="253"/>
    </row>
    <row r="146" spans="1:3">
      <c r="A146" s="434" t="s">
        <v>788</v>
      </c>
      <c r="B146" s="436"/>
      <c r="C146" s="254" t="s">
        <v>1161</v>
      </c>
    </row>
    <row r="147" spans="1:3" ht="15.75" thickBot="1">
      <c r="A147" s="435"/>
      <c r="B147" s="437"/>
      <c r="C147" s="254" t="s">
        <v>1164</v>
      </c>
    </row>
    <row r="148" spans="1:3">
      <c r="A148" s="255" t="s">
        <v>751</v>
      </c>
      <c r="B148" s="255" t="s">
        <v>1162</v>
      </c>
      <c r="C148" s="253"/>
    </row>
    <row r="149" spans="1:3" ht="15.75" thickBot="1">
      <c r="A149" s="256" t="s">
        <v>832</v>
      </c>
      <c r="B149" s="256" t="s">
        <v>833</v>
      </c>
      <c r="C149" s="253"/>
    </row>
    <row r="150" spans="1:3">
      <c r="A150" s="257" t="s">
        <v>750</v>
      </c>
      <c r="B150" s="257" t="s">
        <v>1165</v>
      </c>
      <c r="C150" s="253"/>
    </row>
    <row r="151" spans="1:3" ht="15.75" thickBot="1">
      <c r="A151" s="256" t="s">
        <v>832</v>
      </c>
      <c r="B151" s="256" t="s">
        <v>833</v>
      </c>
      <c r="C151" s="253"/>
    </row>
    <row r="152" spans="1:3">
      <c r="A152" s="257" t="s">
        <v>834</v>
      </c>
      <c r="B152" s="257" t="s">
        <v>1166</v>
      </c>
      <c r="C152" s="253"/>
    </row>
    <row r="153" spans="1:3" ht="15.75" thickBot="1">
      <c r="A153" s="256" t="s">
        <v>832</v>
      </c>
      <c r="B153" s="256" t="s">
        <v>833</v>
      </c>
      <c r="C153" s="253"/>
    </row>
    <row r="154" spans="1:3">
      <c r="A154" s="257" t="s">
        <v>752</v>
      </c>
      <c r="B154" s="257" t="s">
        <v>1163</v>
      </c>
      <c r="C154" s="258" t="s">
        <v>1373</v>
      </c>
    </row>
    <row r="156" spans="1:3">
      <c r="A156" s="28" t="s">
        <v>789</v>
      </c>
      <c r="B156" s="29"/>
      <c r="C156" s="30"/>
    </row>
    <row r="157" spans="1:3" ht="30">
      <c r="A157" s="11" t="s">
        <v>836</v>
      </c>
      <c r="B157" s="11" t="s">
        <v>1372</v>
      </c>
      <c r="C157" s="258" t="s">
        <v>1373</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109375" defaultRowHeight="15"/>
  <cols>
    <col min="1" max="1" width="34.5703125" style="125" customWidth="1"/>
    <col min="2" max="2" width="40.7109375" style="125" customWidth="1"/>
    <col min="3" max="16384" width="8.7109375" style="125"/>
  </cols>
  <sheetData>
    <row r="1" spans="1:3" s="117" customFormat="1">
      <c r="A1" s="118" t="s">
        <v>586</v>
      </c>
      <c r="B1" s="100"/>
    </row>
    <row r="2" spans="1:3" s="117" customFormat="1">
      <c r="A2" s="29" t="s">
        <v>838</v>
      </c>
      <c r="B2" s="29"/>
      <c r="C2" s="53"/>
    </row>
    <row r="3" spans="1:3" s="117" customFormat="1">
      <c r="A3" s="117" t="s">
        <v>1374</v>
      </c>
    </row>
    <row r="4" spans="1:3" s="117" customFormat="1"/>
    <row r="5" spans="1:3" s="117" customFormat="1">
      <c r="A5" s="29" t="s">
        <v>839</v>
      </c>
      <c r="B5" s="29"/>
      <c r="C5" s="53"/>
    </row>
    <row r="6" spans="1:3" s="117" customFormat="1">
      <c r="A6" s="117" t="s">
        <v>1374</v>
      </c>
    </row>
    <row r="7" spans="1:3" s="117" customFormat="1"/>
    <row r="8" spans="1:3" s="117" customFormat="1" ht="30">
      <c r="A8" s="29" t="s">
        <v>840</v>
      </c>
      <c r="B8" s="29"/>
      <c r="C8" s="53"/>
    </row>
    <row r="9" spans="1:3" s="117" customFormat="1">
      <c r="A9" s="117" t="s">
        <v>1374</v>
      </c>
      <c r="B9" s="117" t="s">
        <v>1376</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45">
      <c r="A15" s="117" t="s">
        <v>1374</v>
      </c>
      <c r="B15" s="117" t="s">
        <v>1375</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791</v>
      </c>
      <c r="B1" s="100"/>
    </row>
    <row r="2" spans="1:3">
      <c r="A2" s="28" t="s">
        <v>792</v>
      </c>
      <c r="B2" s="29"/>
      <c r="C2" s="30"/>
    </row>
    <row r="3" spans="1:3" s="125" customFormat="1">
      <c r="A3" s="24" t="s">
        <v>794</v>
      </c>
      <c r="B3" s="117"/>
    </row>
    <row r="4" spans="1:3" s="125" customFormat="1" ht="45">
      <c r="A4" s="125" t="s">
        <v>588</v>
      </c>
      <c r="B4" s="117" t="s">
        <v>1377</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30">
      <c r="A9" s="125" t="s">
        <v>588</v>
      </c>
      <c r="B9" s="117" t="s">
        <v>1378</v>
      </c>
    </row>
    <row r="10" spans="1:3" s="125" customFormat="1" ht="30">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30">
      <c r="A14" s="125" t="s">
        <v>588</v>
      </c>
      <c r="B14" s="117" t="s">
        <v>1379</v>
      </c>
    </row>
    <row r="15" spans="1:3" s="125" customFormat="1" ht="30">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5">
      <c r="A19" s="125" t="s">
        <v>588</v>
      </c>
      <c r="B19" s="117" t="s">
        <v>1380</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5">
      <c r="A24" s="125" t="s">
        <v>588</v>
      </c>
      <c r="B24" s="117" t="s">
        <v>1381</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ht="30">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30">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5">
      <c r="A81" s="117" t="s">
        <v>744</v>
      </c>
      <c r="B81" s="117" t="s">
        <v>1382</v>
      </c>
    </row>
    <row r="82" spans="1:3" ht="45">
      <c r="A82" s="117" t="s">
        <v>745</v>
      </c>
      <c r="B82" s="117" t="s">
        <v>1383</v>
      </c>
    </row>
    <row r="83" spans="1:3">
      <c r="A83" s="117" t="s">
        <v>746</v>
      </c>
      <c r="B83" s="117" t="s">
        <v>1384</v>
      </c>
    </row>
    <row r="84" spans="1:3">
      <c r="A84" s="117" t="s">
        <v>747</v>
      </c>
      <c r="B84" s="117" t="s">
        <v>1385</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5">
      <c r="A91" s="117" t="s">
        <v>744</v>
      </c>
      <c r="B91" s="117" t="s">
        <v>1382</v>
      </c>
    </row>
    <row r="92" spans="1:3" ht="60">
      <c r="A92" s="117" t="s">
        <v>745</v>
      </c>
      <c r="B92" s="119" t="s">
        <v>969</v>
      </c>
    </row>
    <row r="93" spans="1:3">
      <c r="A93" s="117" t="s">
        <v>746</v>
      </c>
      <c r="B93" s="117" t="s">
        <v>1384</v>
      </c>
    </row>
    <row r="94" spans="1:3" ht="90">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 customHeight="1">
      <c r="A102" s="432" t="s">
        <v>1429</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30">
      <c r="A105" s="117" t="s">
        <v>635</v>
      </c>
      <c r="B105" s="121" t="s">
        <v>636</v>
      </c>
      <c r="C105" s="117" t="s">
        <v>384</v>
      </c>
    </row>
    <row r="106" spans="1:23" ht="30">
      <c r="A106" s="117" t="s">
        <v>640</v>
      </c>
      <c r="B106" s="121" t="s">
        <v>645</v>
      </c>
      <c r="C106" s="117" t="s">
        <v>384</v>
      </c>
    </row>
    <row r="107" spans="1:23">
      <c r="A107" s="117" t="s">
        <v>654</v>
      </c>
    </row>
    <row r="108" spans="1:23" ht="4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30">
      <c r="A114" s="117" t="s">
        <v>655</v>
      </c>
      <c r="B114" s="117" t="s">
        <v>657</v>
      </c>
    </row>
    <row r="115" spans="1:3">
      <c r="A115" s="117" t="s">
        <v>656</v>
      </c>
      <c r="B115" s="117" t="s">
        <v>758</v>
      </c>
    </row>
    <row r="117" spans="1:3" ht="30">
      <c r="A117" s="117" t="s">
        <v>635</v>
      </c>
      <c r="B117" s="121" t="s">
        <v>638</v>
      </c>
      <c r="C117" s="117" t="s">
        <v>384</v>
      </c>
    </row>
    <row r="118" spans="1:3">
      <c r="A118" s="117" t="s">
        <v>640</v>
      </c>
      <c r="B118" s="121"/>
      <c r="C118" s="117" t="s">
        <v>384</v>
      </c>
    </row>
    <row r="119" spans="1:3">
      <c r="A119" s="117" t="s">
        <v>654</v>
      </c>
    </row>
    <row r="120" spans="1:3" ht="30">
      <c r="A120" s="117" t="s">
        <v>655</v>
      </c>
      <c r="B120" s="117" t="s">
        <v>658</v>
      </c>
    </row>
    <row r="121" spans="1:3">
      <c r="A121" s="117" t="s">
        <v>656</v>
      </c>
      <c r="B121" s="117" t="s">
        <v>758</v>
      </c>
    </row>
    <row r="123" spans="1:3">
      <c r="A123" s="117" t="s">
        <v>635</v>
      </c>
      <c r="B123" s="121" t="s">
        <v>639</v>
      </c>
      <c r="C123" s="117" t="s">
        <v>384</v>
      </c>
    </row>
    <row r="124" spans="1:3" ht="30">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30">
      <c r="A130" s="117" t="s">
        <v>640</v>
      </c>
      <c r="B130" s="121" t="s">
        <v>646</v>
      </c>
      <c r="C130" s="117" t="s">
        <v>384</v>
      </c>
    </row>
    <row r="131" spans="1:3">
      <c r="A131" s="117" t="s">
        <v>654</v>
      </c>
      <c r="B131" s="117" t="s">
        <v>1430</v>
      </c>
    </row>
    <row r="132" spans="1:3" ht="105">
      <c r="A132" s="117" t="s">
        <v>655</v>
      </c>
      <c r="B132" s="117" t="s">
        <v>1431</v>
      </c>
    </row>
    <row r="133" spans="1:3">
      <c r="A133" s="117" t="s">
        <v>656</v>
      </c>
      <c r="B133" s="117" t="s">
        <v>1432</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1433</v>
      </c>
      <c r="B145" s="14" t="s">
        <v>1614</v>
      </c>
    </row>
    <row r="146" spans="1:3">
      <c r="A146" s="117" t="s">
        <v>669</v>
      </c>
      <c r="B146" s="121" t="s">
        <v>420</v>
      </c>
      <c r="C146" s="117" t="s">
        <v>384</v>
      </c>
    </row>
    <row r="147" spans="1:3">
      <c r="A147" s="117" t="s">
        <v>675</v>
      </c>
    </row>
    <row r="148" spans="1:3" ht="30">
      <c r="A148" s="117" t="s">
        <v>676</v>
      </c>
      <c r="B148" s="117" t="s">
        <v>680</v>
      </c>
    </row>
    <row r="149" spans="1:3">
      <c r="A149" s="117" t="s">
        <v>677</v>
      </c>
      <c r="B149" s="121" t="s">
        <v>681</v>
      </c>
      <c r="C149" s="117" t="s">
        <v>384</v>
      </c>
    </row>
    <row r="150" spans="1:3" ht="60">
      <c r="A150" s="117" t="s">
        <v>678</v>
      </c>
      <c r="B150" s="117" t="s">
        <v>682</v>
      </c>
    </row>
    <row r="151" spans="1:3">
      <c r="A151" s="117" t="s">
        <v>679</v>
      </c>
      <c r="B151" s="121" t="s">
        <v>683</v>
      </c>
      <c r="C151" s="117" t="s">
        <v>384</v>
      </c>
    </row>
    <row r="153" spans="1:3">
      <c r="A153" s="14" t="s">
        <v>1434</v>
      </c>
      <c r="B153" s="14" t="s">
        <v>1615</v>
      </c>
    </row>
    <row r="154" spans="1:3">
      <c r="A154" s="117" t="s">
        <v>669</v>
      </c>
      <c r="B154" s="121" t="s">
        <v>434</v>
      </c>
      <c r="C154" s="117" t="s">
        <v>384</v>
      </c>
    </row>
    <row r="155" spans="1:3">
      <c r="A155" s="117" t="s">
        <v>675</v>
      </c>
      <c r="B155" s="117" t="s">
        <v>1616</v>
      </c>
    </row>
    <row r="156" spans="1:3" ht="30">
      <c r="A156" s="117" t="s">
        <v>676</v>
      </c>
      <c r="B156" s="117" t="s">
        <v>1617</v>
      </c>
    </row>
    <row r="157" spans="1:3">
      <c r="A157" s="117" t="s">
        <v>677</v>
      </c>
      <c r="B157" s="121" t="s">
        <v>684</v>
      </c>
      <c r="C157" s="117" t="s">
        <v>384</v>
      </c>
    </row>
    <row r="158" spans="1:3" ht="135">
      <c r="A158" s="117" t="s">
        <v>678</v>
      </c>
      <c r="B158" s="117" t="s">
        <v>1618</v>
      </c>
    </row>
    <row r="159" spans="1:3">
      <c r="A159" s="117" t="s">
        <v>679</v>
      </c>
      <c r="B159" s="121" t="s">
        <v>683</v>
      </c>
      <c r="C159" s="117" t="s">
        <v>384</v>
      </c>
    </row>
    <row r="161" spans="1:3">
      <c r="A161" s="14" t="s">
        <v>1435</v>
      </c>
      <c r="B161" s="14" t="s">
        <v>1619</v>
      </c>
    </row>
    <row r="162" spans="1:3">
      <c r="A162" s="117" t="s">
        <v>669</v>
      </c>
      <c r="B162" s="121" t="s">
        <v>434</v>
      </c>
      <c r="C162" s="117" t="s">
        <v>384</v>
      </c>
    </row>
    <row r="163" spans="1:3">
      <c r="A163" s="117" t="s">
        <v>675</v>
      </c>
      <c r="B163" s="117" t="s">
        <v>1436</v>
      </c>
    </row>
    <row r="164" spans="1:3" ht="45">
      <c r="A164" s="117" t="s">
        <v>676</v>
      </c>
      <c r="B164" s="117" t="s">
        <v>1437</v>
      </c>
    </row>
    <row r="165" spans="1:3">
      <c r="A165" s="117" t="s">
        <v>677</v>
      </c>
      <c r="B165" s="121" t="s">
        <v>684</v>
      </c>
      <c r="C165" s="117" t="s">
        <v>384</v>
      </c>
    </row>
    <row r="166" spans="1:3" ht="135">
      <c r="A166" s="117" t="s">
        <v>678</v>
      </c>
      <c r="B166" s="117" t="s">
        <v>1653</v>
      </c>
    </row>
    <row r="167" spans="1:3">
      <c r="A167" s="117" t="s">
        <v>679</v>
      </c>
      <c r="B167" s="121" t="s">
        <v>1438</v>
      </c>
      <c r="C167" s="117" t="s">
        <v>384</v>
      </c>
    </row>
    <row r="169" spans="1:3">
      <c r="A169" s="14" t="s">
        <v>1439</v>
      </c>
      <c r="B169" s="14" t="s">
        <v>1620</v>
      </c>
    </row>
    <row r="170" spans="1:3">
      <c r="A170" s="117" t="s">
        <v>669</v>
      </c>
      <c r="B170" s="121" t="s">
        <v>434</v>
      </c>
      <c r="C170" s="117" t="s">
        <v>384</v>
      </c>
    </row>
    <row r="171" spans="1:3">
      <c r="A171" s="117" t="s">
        <v>675</v>
      </c>
      <c r="B171" s="117" t="s">
        <v>1436</v>
      </c>
    </row>
    <row r="172" spans="1:3" ht="30">
      <c r="A172" s="117" t="s">
        <v>676</v>
      </c>
      <c r="B172" s="117" t="s">
        <v>1440</v>
      </c>
    </row>
    <row r="173" spans="1:3">
      <c r="A173" s="117" t="s">
        <v>677</v>
      </c>
      <c r="B173" s="121" t="s">
        <v>1441</v>
      </c>
      <c r="C173" s="117" t="s">
        <v>384</v>
      </c>
    </row>
    <row r="174" spans="1:3" ht="135.6" customHeight="1">
      <c r="A174" s="117" t="s">
        <v>678</v>
      </c>
      <c r="B174" s="117" t="s">
        <v>1654</v>
      </c>
    </row>
    <row r="175" spans="1:3">
      <c r="A175" s="117" t="s">
        <v>679</v>
      </c>
      <c r="B175" s="121" t="s">
        <v>1438</v>
      </c>
      <c r="C175" s="117" t="s">
        <v>384</v>
      </c>
    </row>
    <row r="177" spans="1:3">
      <c r="A177" s="14" t="s">
        <v>1442</v>
      </c>
      <c r="B177" s="14" t="s">
        <v>1621</v>
      </c>
    </row>
    <row r="178" spans="1:3">
      <c r="A178" s="117" t="s">
        <v>669</v>
      </c>
      <c r="B178" s="121" t="s">
        <v>672</v>
      </c>
      <c r="C178" s="117" t="s">
        <v>384</v>
      </c>
    </row>
    <row r="179" spans="1:3">
      <c r="A179" s="117" t="s">
        <v>675</v>
      </c>
    </row>
    <row r="180" spans="1:3" ht="45">
      <c r="A180" s="117" t="s">
        <v>676</v>
      </c>
      <c r="B180" s="117" t="s">
        <v>1443</v>
      </c>
    </row>
    <row r="181" spans="1:3">
      <c r="A181" s="117" t="s">
        <v>677</v>
      </c>
      <c r="B181" s="121" t="s">
        <v>1441</v>
      </c>
      <c r="C181" s="117" t="s">
        <v>384</v>
      </c>
    </row>
    <row r="182" spans="1:3" ht="165">
      <c r="A182" s="117" t="s">
        <v>678</v>
      </c>
      <c r="B182" s="117" t="s">
        <v>1655</v>
      </c>
    </row>
    <row r="183" spans="1:3">
      <c r="A183" s="117" t="s">
        <v>679</v>
      </c>
      <c r="B183" s="121" t="s">
        <v>1438</v>
      </c>
      <c r="C183" s="117" t="s">
        <v>384</v>
      </c>
    </row>
    <row r="185" spans="1:3" ht="30">
      <c r="A185" s="14" t="s">
        <v>1622</v>
      </c>
      <c r="B185" s="14" t="s">
        <v>1623</v>
      </c>
    </row>
    <row r="186" spans="1:3">
      <c r="A186" s="117" t="s">
        <v>669</v>
      </c>
      <c r="B186" s="121" t="s">
        <v>434</v>
      </c>
      <c r="C186" s="117" t="s">
        <v>384</v>
      </c>
    </row>
    <row r="187" spans="1:3">
      <c r="A187" s="117" t="s">
        <v>675</v>
      </c>
      <c r="B187" s="117" t="s">
        <v>1616</v>
      </c>
    </row>
    <row r="188" spans="1:3" ht="45">
      <c r="A188" s="117" t="s">
        <v>676</v>
      </c>
      <c r="B188" s="117" t="s">
        <v>1624</v>
      </c>
    </row>
    <row r="189" spans="1:3">
      <c r="A189" s="117" t="s">
        <v>677</v>
      </c>
      <c r="B189" s="121" t="s">
        <v>684</v>
      </c>
      <c r="C189" s="117" t="s">
        <v>384</v>
      </c>
    </row>
    <row r="190" spans="1:3" ht="135">
      <c r="A190" s="117" t="s">
        <v>678</v>
      </c>
      <c r="B190" s="117" t="s">
        <v>1625</v>
      </c>
    </row>
    <row r="191" spans="1:3">
      <c r="A191" s="117" t="s">
        <v>679</v>
      </c>
      <c r="B191" s="121" t="s">
        <v>1438</v>
      </c>
      <c r="C191" s="117" t="s">
        <v>384</v>
      </c>
    </row>
    <row r="194" spans="1:3">
      <c r="A194" s="14" t="s">
        <v>1626</v>
      </c>
      <c r="B194" s="14" t="s">
        <v>1627</v>
      </c>
    </row>
    <row r="195" spans="1:3">
      <c r="A195" s="117" t="s">
        <v>669</v>
      </c>
      <c r="B195" s="121" t="s">
        <v>434</v>
      </c>
      <c r="C195" s="117" t="s">
        <v>384</v>
      </c>
    </row>
    <row r="196" spans="1:3">
      <c r="A196" s="117" t="s">
        <v>675</v>
      </c>
      <c r="B196" s="117" t="s">
        <v>1616</v>
      </c>
    </row>
    <row r="197" spans="1:3" ht="30">
      <c r="A197" s="117" t="s">
        <v>676</v>
      </c>
      <c r="B197" s="117" t="s">
        <v>1628</v>
      </c>
    </row>
    <row r="198" spans="1:3">
      <c r="A198" s="117" t="s">
        <v>677</v>
      </c>
      <c r="B198" s="121" t="s">
        <v>1441</v>
      </c>
      <c r="C198" s="117" t="s">
        <v>384</v>
      </c>
    </row>
    <row r="199" spans="1:3" ht="45">
      <c r="A199" s="117" t="s">
        <v>678</v>
      </c>
      <c r="B199" s="117" t="s">
        <v>1629</v>
      </c>
    </row>
    <row r="200" spans="1:3">
      <c r="A200" s="117" t="s">
        <v>679</v>
      </c>
      <c r="B200" s="121" t="s">
        <v>1438</v>
      </c>
      <c r="C200" s="117" t="s">
        <v>384</v>
      </c>
    </row>
    <row r="202" spans="1:3">
      <c r="A202" s="14" t="s">
        <v>1630</v>
      </c>
      <c r="B202" s="14" t="s">
        <v>1631</v>
      </c>
    </row>
    <row r="203" spans="1:3">
      <c r="A203" s="117" t="s">
        <v>669</v>
      </c>
      <c r="B203" s="121" t="s">
        <v>434</v>
      </c>
      <c r="C203" s="117" t="s">
        <v>384</v>
      </c>
    </row>
    <row r="204" spans="1:3">
      <c r="A204" s="117" t="s">
        <v>675</v>
      </c>
      <c r="B204" s="117" t="s">
        <v>1616</v>
      </c>
    </row>
    <row r="205" spans="1:3" ht="30">
      <c r="A205" s="117" t="s">
        <v>676</v>
      </c>
      <c r="B205" s="117" t="s">
        <v>1632</v>
      </c>
    </row>
    <row r="206" spans="1:3">
      <c r="A206" s="117" t="s">
        <v>677</v>
      </c>
      <c r="B206" s="121" t="s">
        <v>684</v>
      </c>
      <c r="C206" s="117" t="s">
        <v>384</v>
      </c>
    </row>
    <row r="207" spans="1:3" ht="60">
      <c r="A207" s="117" t="s">
        <v>678</v>
      </c>
      <c r="B207" s="117" t="s">
        <v>1633</v>
      </c>
    </row>
    <row r="208" spans="1:3">
      <c r="A208" s="117" t="s">
        <v>679</v>
      </c>
      <c r="B208" s="121" t="s">
        <v>1438</v>
      </c>
      <c r="C208" s="117" t="s">
        <v>384</v>
      </c>
    </row>
    <row r="210" spans="1:3">
      <c r="A210" s="14" t="s">
        <v>1634</v>
      </c>
      <c r="B210" s="14" t="s">
        <v>1635</v>
      </c>
    </row>
    <row r="211" spans="1:3">
      <c r="A211" s="117" t="s">
        <v>669</v>
      </c>
      <c r="B211" s="121" t="s">
        <v>434</v>
      </c>
      <c r="C211" s="117" t="s">
        <v>384</v>
      </c>
    </row>
    <row r="212" spans="1:3">
      <c r="A212" s="117" t="s">
        <v>675</v>
      </c>
      <c r="B212" s="117" t="s">
        <v>1616</v>
      </c>
    </row>
    <row r="213" spans="1:3" ht="30">
      <c r="A213" s="117" t="s">
        <v>676</v>
      </c>
      <c r="B213" s="117" t="s">
        <v>1617</v>
      </c>
    </row>
    <row r="214" spans="1:3">
      <c r="A214" s="117" t="s">
        <v>677</v>
      </c>
      <c r="B214" s="121" t="s">
        <v>684</v>
      </c>
      <c r="C214" s="117" t="s">
        <v>384</v>
      </c>
    </row>
    <row r="215" spans="1:3" ht="135">
      <c r="A215" s="117" t="s">
        <v>678</v>
      </c>
      <c r="B215" s="117" t="s">
        <v>1618</v>
      </c>
    </row>
    <row r="216" spans="1:3">
      <c r="A216" s="117" t="s">
        <v>679</v>
      </c>
      <c r="B216" s="121" t="s">
        <v>683</v>
      </c>
      <c r="C216" s="117" t="s">
        <v>384</v>
      </c>
    </row>
    <row r="218" spans="1:3">
      <c r="A218" s="14" t="s">
        <v>1636</v>
      </c>
      <c r="B218" s="14" t="s">
        <v>1637</v>
      </c>
    </row>
    <row r="219" spans="1:3">
      <c r="A219" s="117" t="s">
        <v>669</v>
      </c>
      <c r="B219" s="121" t="s">
        <v>434</v>
      </c>
      <c r="C219" s="117" t="s">
        <v>384</v>
      </c>
    </row>
    <row r="220" spans="1:3">
      <c r="A220" s="117" t="s">
        <v>675</v>
      </c>
      <c r="B220" s="117" t="s">
        <v>1616</v>
      </c>
    </row>
    <row r="221" spans="1:3" ht="30">
      <c r="A221" s="117" t="s">
        <v>676</v>
      </c>
      <c r="B221" s="117" t="s">
        <v>1638</v>
      </c>
    </row>
    <row r="222" spans="1:3">
      <c r="A222" s="117" t="s">
        <v>677</v>
      </c>
      <c r="B222" s="121" t="s">
        <v>684</v>
      </c>
      <c r="C222" s="117" t="s">
        <v>384</v>
      </c>
    </row>
    <row r="223" spans="1:3" ht="135">
      <c r="A223" s="117" t="s">
        <v>678</v>
      </c>
      <c r="B223" s="117" t="s">
        <v>1639</v>
      </c>
    </row>
    <row r="224" spans="1:3">
      <c r="A224" s="117" t="s">
        <v>679</v>
      </c>
      <c r="B224" s="121" t="s">
        <v>1438</v>
      </c>
      <c r="C224" s="117" t="s">
        <v>384</v>
      </c>
    </row>
    <row r="226" spans="1:3">
      <c r="A226" s="14" t="s">
        <v>1640</v>
      </c>
      <c r="B226" s="14" t="s">
        <v>1641</v>
      </c>
    </row>
    <row r="227" spans="1:3">
      <c r="A227" s="117" t="s">
        <v>669</v>
      </c>
      <c r="B227" s="121" t="s">
        <v>434</v>
      </c>
      <c r="C227" s="117" t="s">
        <v>384</v>
      </c>
    </row>
    <row r="228" spans="1:3">
      <c r="A228" s="117" t="s">
        <v>675</v>
      </c>
      <c r="B228" s="117" t="s">
        <v>1616</v>
      </c>
    </row>
    <row r="229" spans="1:3" ht="30">
      <c r="A229" s="117" t="s">
        <v>676</v>
      </c>
      <c r="B229" s="117" t="s">
        <v>1642</v>
      </c>
    </row>
    <row r="230" spans="1:3">
      <c r="A230" s="117" t="s">
        <v>677</v>
      </c>
      <c r="B230" s="121" t="s">
        <v>684</v>
      </c>
      <c r="C230" s="117" t="s">
        <v>384</v>
      </c>
    </row>
    <row r="231" spans="1:3" ht="45">
      <c r="A231" s="117" t="s">
        <v>678</v>
      </c>
      <c r="B231" s="117" t="s">
        <v>1643</v>
      </c>
    </row>
    <row r="232" spans="1:3">
      <c r="A232" s="117" t="s">
        <v>679</v>
      </c>
      <c r="B232" s="121" t="s">
        <v>683</v>
      </c>
      <c r="C232" s="117" t="s">
        <v>384</v>
      </c>
    </row>
    <row r="234" spans="1:3">
      <c r="A234" s="14" t="s">
        <v>1644</v>
      </c>
      <c r="B234" s="14" t="s">
        <v>1645</v>
      </c>
    </row>
    <row r="235" spans="1:3">
      <c r="A235" s="117" t="s">
        <v>669</v>
      </c>
      <c r="B235" s="121" t="s">
        <v>434</v>
      </c>
      <c r="C235" s="117" t="s">
        <v>384</v>
      </c>
    </row>
    <row r="236" spans="1:3">
      <c r="A236" s="117" t="s">
        <v>675</v>
      </c>
      <c r="B236" s="117" t="s">
        <v>1616</v>
      </c>
    </row>
    <row r="237" spans="1:3">
      <c r="A237" s="117" t="s">
        <v>676</v>
      </c>
      <c r="B237" s="117" t="s">
        <v>1646</v>
      </c>
    </row>
    <row r="238" spans="1:3">
      <c r="A238" s="117" t="s">
        <v>677</v>
      </c>
      <c r="B238" s="121" t="s">
        <v>684</v>
      </c>
      <c r="C238" s="117" t="s">
        <v>384</v>
      </c>
    </row>
    <row r="239" spans="1:3" ht="105">
      <c r="A239" s="117" t="s">
        <v>678</v>
      </c>
      <c r="B239" s="117" t="s">
        <v>1647</v>
      </c>
    </row>
    <row r="240" spans="1:3">
      <c r="A240" s="117" t="s">
        <v>679</v>
      </c>
      <c r="B240" s="121" t="s">
        <v>1438</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30">
      <c r="A257" s="117" t="s">
        <v>711</v>
      </c>
      <c r="B257" s="117" t="s">
        <v>712</v>
      </c>
    </row>
    <row r="259" spans="1:3">
      <c r="A259" s="19" t="s">
        <v>603</v>
      </c>
    </row>
    <row r="261" spans="1:3">
      <c r="A261" s="28" t="s">
        <v>816</v>
      </c>
      <c r="B261" s="29"/>
      <c r="C261" s="30"/>
    </row>
    <row r="262" spans="1:3" ht="75">
      <c r="A262" s="259" t="s">
        <v>1176</v>
      </c>
      <c r="B262" s="121" t="s">
        <v>1175</v>
      </c>
      <c r="C262" s="117" t="s">
        <v>384</v>
      </c>
    </row>
    <row r="264" spans="1:3">
      <c r="A264" s="100" t="s">
        <v>817</v>
      </c>
      <c r="B264" s="100"/>
    </row>
    <row r="265" spans="1:3">
      <c r="A265" s="28" t="s">
        <v>818</v>
      </c>
      <c r="B265" s="29"/>
      <c r="C265" s="30"/>
    </row>
    <row r="266" spans="1:3" ht="90">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1668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5"/>
  <cols>
    <col min="1" max="1" width="7.28515625" customWidth="1"/>
    <col min="2" max="2" width="23" customWidth="1"/>
    <col min="3" max="3" width="7.42578125" customWidth="1"/>
    <col min="4" max="4" width="23.28515625" customWidth="1"/>
    <col min="5" max="5" width="19.28515625" customWidth="1"/>
    <col min="6" max="6" width="8.42578125" bestFit="1" customWidth="1"/>
    <col min="7" max="7" width="8" bestFit="1" customWidth="1"/>
  </cols>
  <sheetData>
    <row r="1" spans="1:7">
      <c r="A1" t="s">
        <v>880</v>
      </c>
      <c r="B1" t="s">
        <v>906</v>
      </c>
      <c r="C1" t="s">
        <v>920</v>
      </c>
      <c r="D1" t="s">
        <v>921</v>
      </c>
      <c r="E1" t="s">
        <v>907</v>
      </c>
      <c r="F1" t="s">
        <v>922</v>
      </c>
      <c r="G1" t="s">
        <v>923</v>
      </c>
    </row>
    <row r="2" spans="1:7">
      <c r="A2" t="s">
        <v>897</v>
      </c>
      <c r="B2" t="s">
        <v>1535</v>
      </c>
      <c r="C2" t="s">
        <v>882</v>
      </c>
      <c r="D2" t="s">
        <v>1548</v>
      </c>
      <c r="E2" t="s">
        <v>1154</v>
      </c>
      <c r="F2" t="s">
        <v>897</v>
      </c>
      <c r="G2" t="s">
        <v>411</v>
      </c>
    </row>
    <row r="3" spans="1:7">
      <c r="A3" t="s">
        <v>897</v>
      </c>
      <c r="B3" t="s">
        <v>1535</v>
      </c>
      <c r="C3" t="s">
        <v>883</v>
      </c>
      <c r="D3" t="s">
        <v>1547</v>
      </c>
      <c r="E3" t="s">
        <v>912</v>
      </c>
      <c r="F3" t="s">
        <v>897</v>
      </c>
      <c r="G3" t="s">
        <v>411</v>
      </c>
    </row>
    <row r="4" spans="1:7">
      <c r="A4" t="s">
        <v>898</v>
      </c>
      <c r="B4" t="s">
        <v>1536</v>
      </c>
      <c r="C4" t="s">
        <v>884</v>
      </c>
      <c r="D4" t="s">
        <v>1551</v>
      </c>
      <c r="E4" t="s">
        <v>911</v>
      </c>
      <c r="F4" t="s">
        <v>898</v>
      </c>
      <c r="G4" t="s">
        <v>411</v>
      </c>
    </row>
    <row r="5" spans="1:7">
      <c r="A5" t="s">
        <v>898</v>
      </c>
      <c r="B5" t="s">
        <v>1536</v>
      </c>
      <c r="C5" t="s">
        <v>885</v>
      </c>
      <c r="D5" t="s">
        <v>1551</v>
      </c>
      <c r="E5" t="s">
        <v>911</v>
      </c>
      <c r="F5" t="s">
        <v>898</v>
      </c>
      <c r="G5" t="s">
        <v>411</v>
      </c>
    </row>
    <row r="6" spans="1:7">
      <c r="A6" t="s">
        <v>898</v>
      </c>
      <c r="B6" t="s">
        <v>1536</v>
      </c>
      <c r="C6" t="s">
        <v>886</v>
      </c>
      <c r="D6" t="s">
        <v>1553</v>
      </c>
      <c r="E6" t="s">
        <v>1154</v>
      </c>
      <c r="F6" t="s">
        <v>898</v>
      </c>
      <c r="G6" t="s">
        <v>411</v>
      </c>
    </row>
    <row r="7" spans="1:7">
      <c r="A7" t="s">
        <v>899</v>
      </c>
      <c r="B7" t="s">
        <v>1538</v>
      </c>
      <c r="C7" t="s">
        <v>891</v>
      </c>
      <c r="D7" t="s">
        <v>1560</v>
      </c>
      <c r="E7" t="s">
        <v>1361</v>
      </c>
      <c r="F7" t="s">
        <v>899</v>
      </c>
      <c r="G7" t="s">
        <v>411</v>
      </c>
    </row>
    <row r="8" spans="1:7">
      <c r="A8" t="s">
        <v>899</v>
      </c>
      <c r="B8" t="s">
        <v>1538</v>
      </c>
      <c r="C8" t="s">
        <v>892</v>
      </c>
      <c r="D8" t="s">
        <v>1560</v>
      </c>
      <c r="E8" t="s">
        <v>1361</v>
      </c>
      <c r="F8" t="s">
        <v>899</v>
      </c>
      <c r="G8" t="s">
        <v>411</v>
      </c>
    </row>
    <row r="9" spans="1:7">
      <c r="A9" t="s">
        <v>899</v>
      </c>
      <c r="B9" t="s">
        <v>1538</v>
      </c>
      <c r="C9" t="s">
        <v>893</v>
      </c>
      <c r="D9" t="s">
        <v>1560</v>
      </c>
      <c r="E9" t="s">
        <v>1361</v>
      </c>
      <c r="F9" t="s">
        <v>899</v>
      </c>
      <c r="G9" t="s">
        <v>411</v>
      </c>
    </row>
    <row r="10" spans="1:7">
      <c r="A10" t="s">
        <v>900</v>
      </c>
      <c r="B10" t="s">
        <v>1540</v>
      </c>
      <c r="C10" t="s">
        <v>890</v>
      </c>
      <c r="D10" t="s">
        <v>1565</v>
      </c>
      <c r="E10" t="s">
        <v>1361</v>
      </c>
      <c r="F10" t="s">
        <v>900</v>
      </c>
      <c r="G10" t="s">
        <v>411</v>
      </c>
    </row>
    <row r="11" spans="1:7">
      <c r="A11" t="s">
        <v>902</v>
      </c>
      <c r="B11" t="s">
        <v>1352</v>
      </c>
      <c r="C11" t="s">
        <v>751</v>
      </c>
      <c r="D11" t="s">
        <v>1566</v>
      </c>
      <c r="E11" t="s">
        <v>1360</v>
      </c>
      <c r="F11" t="s">
        <v>902</v>
      </c>
      <c r="G11" t="s">
        <v>411</v>
      </c>
    </row>
    <row r="12" spans="1:7">
      <c r="A12" t="s">
        <v>903</v>
      </c>
      <c r="B12" t="s">
        <v>1353</v>
      </c>
      <c r="C12" t="s">
        <v>894</v>
      </c>
      <c r="D12" t="s">
        <v>1662</v>
      </c>
      <c r="E12" t="s">
        <v>1661</v>
      </c>
      <c r="F12" t="s">
        <v>903</v>
      </c>
      <c r="G12" t="s">
        <v>411</v>
      </c>
    </row>
    <row r="13" spans="1:7">
      <c r="A13" t="s">
        <v>903</v>
      </c>
      <c r="B13" t="s">
        <v>1353</v>
      </c>
      <c r="C13" t="s">
        <v>895</v>
      </c>
      <c r="D13" t="s">
        <v>1567</v>
      </c>
      <c r="E13" t="s">
        <v>1362</v>
      </c>
      <c r="F13" t="s">
        <v>903</v>
      </c>
      <c r="G13" t="s">
        <v>411</v>
      </c>
    </row>
    <row r="14" spans="1:7">
      <c r="A14" t="s">
        <v>903</v>
      </c>
      <c r="B14" t="s">
        <v>1353</v>
      </c>
      <c r="C14" t="s">
        <v>887</v>
      </c>
      <c r="D14" t="s">
        <v>1662</v>
      </c>
      <c r="E14" t="s">
        <v>1661</v>
      </c>
      <c r="F14" t="s">
        <v>903</v>
      </c>
      <c r="G14" t="s">
        <v>411</v>
      </c>
    </row>
    <row r="15" spans="1:7">
      <c r="A15" t="s">
        <v>903</v>
      </c>
      <c r="B15" t="s">
        <v>1353</v>
      </c>
      <c r="C15" t="s">
        <v>888</v>
      </c>
      <c r="D15" t="s">
        <v>1567</v>
      </c>
      <c r="E15" t="s">
        <v>1362</v>
      </c>
      <c r="F15" t="s">
        <v>903</v>
      </c>
      <c r="G15" t="s">
        <v>411</v>
      </c>
    </row>
    <row r="16" spans="1:7">
      <c r="A16" t="s">
        <v>903</v>
      </c>
      <c r="B16" t="s">
        <v>1353</v>
      </c>
      <c r="C16" t="s">
        <v>889</v>
      </c>
      <c r="D16" t="s">
        <v>1567</v>
      </c>
      <c r="E16" t="s">
        <v>1362</v>
      </c>
      <c r="F16" t="s">
        <v>903</v>
      </c>
      <c r="G16" t="s">
        <v>411</v>
      </c>
    </row>
    <row r="17" spans="1:7">
      <c r="A17" t="s">
        <v>904</v>
      </c>
      <c r="B17" t="s">
        <v>1354</v>
      </c>
      <c r="C17" t="s">
        <v>753</v>
      </c>
      <c r="D17" t="s">
        <v>1568</v>
      </c>
      <c r="E17" t="s">
        <v>1359</v>
      </c>
      <c r="F17" t="s">
        <v>904</v>
      </c>
      <c r="G17" t="s">
        <v>411</v>
      </c>
    </row>
    <row r="18" spans="1:7">
      <c r="A18" t="s">
        <v>905</v>
      </c>
      <c r="B18" t="s">
        <v>1355</v>
      </c>
      <c r="C18" t="s">
        <v>835</v>
      </c>
      <c r="D18" t="s">
        <v>1569</v>
      </c>
      <c r="E18" t="s">
        <v>1243</v>
      </c>
      <c r="F18" t="s">
        <v>905</v>
      </c>
      <c r="G18" t="s">
        <v>411</v>
      </c>
    </row>
    <row r="19" spans="1:7">
      <c r="A19" t="s">
        <v>897</v>
      </c>
      <c r="B19" t="s">
        <v>1535</v>
      </c>
      <c r="C19" t="s">
        <v>883</v>
      </c>
      <c r="D19" t="s">
        <v>1548</v>
      </c>
      <c r="E19" t="s">
        <v>1154</v>
      </c>
      <c r="F19" t="s">
        <v>897</v>
      </c>
    </row>
    <row r="20" spans="1:7">
      <c r="A20" t="s">
        <v>898</v>
      </c>
      <c r="B20" t="s">
        <v>1536</v>
      </c>
      <c r="C20" t="s">
        <v>884</v>
      </c>
      <c r="D20" t="s">
        <v>1552</v>
      </c>
      <c r="E20" t="s">
        <v>912</v>
      </c>
      <c r="F20" t="s">
        <v>898</v>
      </c>
    </row>
    <row r="21" spans="1:7">
      <c r="A21" t="s">
        <v>898</v>
      </c>
      <c r="B21" t="s">
        <v>1536</v>
      </c>
      <c r="C21" t="s">
        <v>884</v>
      </c>
      <c r="D21" t="s">
        <v>1553</v>
      </c>
      <c r="E21" t="s">
        <v>1154</v>
      </c>
      <c r="F21" t="s">
        <v>898</v>
      </c>
    </row>
    <row r="22" spans="1:7">
      <c r="A22" t="s">
        <v>898</v>
      </c>
      <c r="B22" t="s">
        <v>1536</v>
      </c>
      <c r="C22" t="s">
        <v>884</v>
      </c>
      <c r="D22" t="s">
        <v>1555</v>
      </c>
      <c r="E22" t="s">
        <v>1361</v>
      </c>
      <c r="F22" t="s">
        <v>898</v>
      </c>
    </row>
    <row r="23" spans="1:7">
      <c r="A23" t="s">
        <v>898</v>
      </c>
      <c r="B23" t="s">
        <v>1536</v>
      </c>
      <c r="C23" t="s">
        <v>884</v>
      </c>
      <c r="D23" t="s">
        <v>1554</v>
      </c>
      <c r="E23" t="s">
        <v>1293</v>
      </c>
      <c r="F23" t="s">
        <v>898</v>
      </c>
    </row>
    <row r="24" spans="1:7">
      <c r="A24" t="s">
        <v>898</v>
      </c>
      <c r="B24" t="s">
        <v>1536</v>
      </c>
      <c r="C24" t="s">
        <v>886</v>
      </c>
      <c r="D24" t="s">
        <v>1554</v>
      </c>
      <c r="E24" t="s">
        <v>1293</v>
      </c>
      <c r="F24" t="s">
        <v>898</v>
      </c>
    </row>
    <row r="25" spans="1:7">
      <c r="A25" t="s">
        <v>903</v>
      </c>
      <c r="B25" t="s">
        <v>1353</v>
      </c>
      <c r="C25" t="s">
        <v>895</v>
      </c>
      <c r="D25" t="s">
        <v>1662</v>
      </c>
      <c r="E25" t="s">
        <v>1661</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5"/>
  <cols>
    <col min="1" max="1" width="15.140625" bestFit="1" customWidth="1"/>
    <col min="2" max="2" width="15.7109375" bestFit="1" customWidth="1"/>
    <col min="3" max="4" width="3" bestFit="1" customWidth="1"/>
    <col min="5" max="6" width="2.7109375" bestFit="1" customWidth="1"/>
    <col min="7" max="7" width="6.85546875" bestFit="1" customWidth="1"/>
    <col min="8" max="8" width="3" bestFit="1" customWidth="1"/>
    <col min="9" max="10" width="2.7109375" bestFit="1" customWidth="1"/>
    <col min="11" max="11" width="10.7109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109375" defaultRowHeight="15"/>
  <cols>
    <col min="1" max="1" width="7.28515625" style="125" customWidth="1"/>
    <col min="2" max="2" width="37" style="125" customWidth="1"/>
    <col min="3" max="3" width="5.42578125" style="128" bestFit="1" customWidth="1"/>
    <col min="4" max="4" width="30.42578125" style="125" customWidth="1"/>
    <col min="5" max="5" width="27.28515625" style="125" customWidth="1"/>
    <col min="6" max="6" width="8.7109375" style="128"/>
    <col min="7" max="7" width="8.28515625" style="64" bestFit="1" customWidth="1"/>
    <col min="8" max="8" width="34.28515625" style="125" bestFit="1" customWidth="1"/>
    <col min="9" max="9" width="8.42578125" style="125" bestFit="1" customWidth="1"/>
    <col min="10" max="16" width="9.42578125" style="125" customWidth="1"/>
    <col min="17" max="16384" width="8.7109375" style="125"/>
  </cols>
  <sheetData>
    <row r="1" spans="1:13" s="117" customFormat="1" ht="30">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1535</v>
      </c>
      <c r="C2" s="319" t="s">
        <v>882</v>
      </c>
      <c r="D2" s="319" t="s">
        <v>1548</v>
      </c>
      <c r="E2" s="319" t="s">
        <v>1154</v>
      </c>
      <c r="F2" s="319" t="s">
        <v>897</v>
      </c>
      <c r="G2" s="319" t="s">
        <v>411</v>
      </c>
      <c r="H2" s="317" t="str">
        <f t="shared" ref="H2" si="0">VLOOKUP(E2,tbl_RolePAlookup,2,FALSE)</f>
        <v>[4] Engineering</v>
      </c>
      <c r="I2" s="427">
        <f t="shared" ref="I2" si="1">VLOOKUP(C2,tbl_PAcount,L$1+1,FALSE)</f>
        <v>10</v>
      </c>
    </row>
    <row r="3" spans="1:13">
      <c r="A3" s="319" t="s">
        <v>897</v>
      </c>
      <c r="B3" s="319" t="s">
        <v>1535</v>
      </c>
      <c r="C3" s="319" t="s">
        <v>883</v>
      </c>
      <c r="D3" s="319" t="s">
        <v>1547</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1536</v>
      </c>
      <c r="C4" s="319" t="s">
        <v>884</v>
      </c>
      <c r="D4" s="319" t="s">
        <v>1551</v>
      </c>
      <c r="E4" s="319" t="s">
        <v>911</v>
      </c>
      <c r="F4" s="319" t="s">
        <v>898</v>
      </c>
      <c r="G4" s="319" t="s">
        <v>411</v>
      </c>
      <c r="H4" s="317" t="str">
        <f t="shared" si="2"/>
        <v>[4] Engineering</v>
      </c>
      <c r="I4" s="427">
        <f t="shared" si="3"/>
        <v>6</v>
      </c>
    </row>
    <row r="5" spans="1:13">
      <c r="A5" s="319" t="s">
        <v>898</v>
      </c>
      <c r="B5" s="319" t="s">
        <v>1536</v>
      </c>
      <c r="C5" s="319" t="s">
        <v>885</v>
      </c>
      <c r="D5" s="319" t="s">
        <v>1551</v>
      </c>
      <c r="E5" s="319" t="s">
        <v>911</v>
      </c>
      <c r="F5" s="319" t="s">
        <v>898</v>
      </c>
      <c r="G5" s="319" t="s">
        <v>411</v>
      </c>
      <c r="H5" s="317" t="str">
        <f t="shared" si="2"/>
        <v>[4] Engineering</v>
      </c>
      <c r="I5" s="427">
        <f t="shared" si="3"/>
        <v>14</v>
      </c>
    </row>
    <row r="6" spans="1:13">
      <c r="A6" s="319" t="s">
        <v>898</v>
      </c>
      <c r="B6" s="319" t="s">
        <v>1536</v>
      </c>
      <c r="C6" s="319" t="s">
        <v>886</v>
      </c>
      <c r="D6" s="319" t="s">
        <v>1553</v>
      </c>
      <c r="E6" s="319" t="s">
        <v>1154</v>
      </c>
      <c r="F6" s="319" t="s">
        <v>898</v>
      </c>
      <c r="G6" s="319" t="s">
        <v>411</v>
      </c>
      <c r="H6" s="317" t="str">
        <f t="shared" si="2"/>
        <v>[4] Engineering</v>
      </c>
      <c r="I6" s="427">
        <f t="shared" si="3"/>
        <v>7</v>
      </c>
    </row>
    <row r="7" spans="1:13">
      <c r="A7" s="319" t="s">
        <v>899</v>
      </c>
      <c r="B7" s="319" t="s">
        <v>1538</v>
      </c>
      <c r="C7" s="319" t="s">
        <v>891</v>
      </c>
      <c r="D7" s="319" t="s">
        <v>1560</v>
      </c>
      <c r="E7" s="319" t="s">
        <v>1361</v>
      </c>
      <c r="F7" s="319" t="s">
        <v>899</v>
      </c>
      <c r="G7" s="319" t="s">
        <v>411</v>
      </c>
      <c r="H7" s="317" t="str">
        <f t="shared" si="2"/>
        <v>[3] Project Management</v>
      </c>
      <c r="I7" s="427">
        <f t="shared" si="3"/>
        <v>6</v>
      </c>
    </row>
    <row r="8" spans="1:13">
      <c r="A8" s="319" t="s">
        <v>899</v>
      </c>
      <c r="B8" s="319" t="s">
        <v>1538</v>
      </c>
      <c r="C8" s="319" t="s">
        <v>892</v>
      </c>
      <c r="D8" s="319" t="s">
        <v>1560</v>
      </c>
      <c r="E8" s="319" t="s">
        <v>1361</v>
      </c>
      <c r="F8" s="319" t="s">
        <v>899</v>
      </c>
      <c r="G8" s="319" t="s">
        <v>411</v>
      </c>
      <c r="H8" s="317" t="str">
        <f t="shared" si="2"/>
        <v>[3] Project Management</v>
      </c>
      <c r="I8" s="427">
        <f t="shared" si="3"/>
        <v>10</v>
      </c>
    </row>
    <row r="9" spans="1:13">
      <c r="A9" s="319" t="s">
        <v>899</v>
      </c>
      <c r="B9" s="319" t="s">
        <v>1538</v>
      </c>
      <c r="C9" s="319" t="s">
        <v>893</v>
      </c>
      <c r="D9" s="319" t="s">
        <v>1560</v>
      </c>
      <c r="E9" s="319" t="s">
        <v>1361</v>
      </c>
      <c r="F9" s="319" t="s">
        <v>899</v>
      </c>
      <c r="G9" s="319" t="s">
        <v>411</v>
      </c>
      <c r="H9" s="317" t="str">
        <f t="shared" si="2"/>
        <v>[3] Project Management</v>
      </c>
      <c r="I9" s="427">
        <f t="shared" si="3"/>
        <v>15</v>
      </c>
    </row>
    <row r="10" spans="1:13">
      <c r="A10" s="319" t="s">
        <v>900</v>
      </c>
      <c r="B10" s="319" t="s">
        <v>1540</v>
      </c>
      <c r="C10" s="319" t="s">
        <v>890</v>
      </c>
      <c r="D10" s="319" t="s">
        <v>1565</v>
      </c>
      <c r="E10" s="319" t="s">
        <v>1361</v>
      </c>
      <c r="F10" s="319" t="s">
        <v>900</v>
      </c>
      <c r="G10" s="319" t="s">
        <v>411</v>
      </c>
      <c r="H10" s="317" t="str">
        <f t="shared" si="2"/>
        <v>[3] Project Management</v>
      </c>
      <c r="I10" s="427">
        <f t="shared" si="3"/>
        <v>8</v>
      </c>
    </row>
    <row r="11" spans="1:13">
      <c r="A11" s="319" t="s">
        <v>902</v>
      </c>
      <c r="B11" s="319" t="s">
        <v>1352</v>
      </c>
      <c r="C11" s="319" t="s">
        <v>751</v>
      </c>
      <c r="D11" s="319" t="s">
        <v>1566</v>
      </c>
      <c r="E11" s="319" t="s">
        <v>1360</v>
      </c>
      <c r="F11" s="319" t="s">
        <v>902</v>
      </c>
      <c r="G11" s="319" t="s">
        <v>411</v>
      </c>
      <c r="H11" s="317" t="str">
        <f t="shared" si="2"/>
        <v>[5] Configuration Management</v>
      </c>
      <c r="I11" s="427">
        <f t="shared" si="3"/>
        <v>7</v>
      </c>
    </row>
    <row r="12" spans="1:13">
      <c r="A12" s="319" t="s">
        <v>903</v>
      </c>
      <c r="B12" s="319" t="s">
        <v>1353</v>
      </c>
      <c r="C12" s="319" t="s">
        <v>894</v>
      </c>
      <c r="D12" s="319" t="s">
        <v>1662</v>
      </c>
      <c r="E12" s="319" t="s">
        <v>1661</v>
      </c>
      <c r="F12" s="319" t="s">
        <v>903</v>
      </c>
      <c r="G12" s="319" t="s">
        <v>411</v>
      </c>
      <c r="H12" s="317" t="str">
        <f t="shared" si="2"/>
        <v>[6] Process Management</v>
      </c>
      <c r="I12" s="427">
        <f t="shared" si="3"/>
        <v>11</v>
      </c>
    </row>
    <row r="13" spans="1:13">
      <c r="A13" s="319" t="s">
        <v>903</v>
      </c>
      <c r="B13" s="319" t="s">
        <v>1353</v>
      </c>
      <c r="C13" s="319" t="s">
        <v>895</v>
      </c>
      <c r="D13" s="319" t="s">
        <v>1567</v>
      </c>
      <c r="E13" s="319" t="s">
        <v>1362</v>
      </c>
      <c r="F13" s="319" t="s">
        <v>903</v>
      </c>
      <c r="G13" s="319" t="s">
        <v>411</v>
      </c>
      <c r="H13" s="317" t="str">
        <f t="shared" si="2"/>
        <v>[6] Process Management</v>
      </c>
      <c r="I13" s="427">
        <f t="shared" si="3"/>
        <v>8</v>
      </c>
    </row>
    <row r="14" spans="1:13">
      <c r="A14" s="319" t="s">
        <v>903</v>
      </c>
      <c r="B14" s="319" t="s">
        <v>1353</v>
      </c>
      <c r="C14" s="319" t="s">
        <v>887</v>
      </c>
      <c r="D14" s="319" t="s">
        <v>1662</v>
      </c>
      <c r="E14" s="319" t="s">
        <v>1661</v>
      </c>
      <c r="F14" s="319" t="s">
        <v>903</v>
      </c>
      <c r="G14" s="319" t="s">
        <v>411</v>
      </c>
      <c r="H14" s="317" t="str">
        <f t="shared" si="2"/>
        <v>[6] Process Management</v>
      </c>
      <c r="I14" s="427">
        <f t="shared" si="3"/>
        <v>22</v>
      </c>
    </row>
    <row r="15" spans="1:13">
      <c r="A15" s="319" t="s">
        <v>903</v>
      </c>
      <c r="B15" s="319" t="s">
        <v>1353</v>
      </c>
      <c r="C15" s="319" t="s">
        <v>888</v>
      </c>
      <c r="D15" s="319" t="s">
        <v>1567</v>
      </c>
      <c r="E15" s="319" t="s">
        <v>1362</v>
      </c>
      <c r="F15" s="319" t="s">
        <v>903</v>
      </c>
      <c r="G15" s="319" t="s">
        <v>411</v>
      </c>
      <c r="H15" s="317" t="str">
        <f t="shared" si="2"/>
        <v>[6] Process Management</v>
      </c>
      <c r="I15" s="427">
        <f t="shared" si="3"/>
        <v>11</v>
      </c>
    </row>
    <row r="16" spans="1:13">
      <c r="A16" s="319" t="s">
        <v>903</v>
      </c>
      <c r="B16" s="319" t="s">
        <v>1353</v>
      </c>
      <c r="C16" s="319" t="s">
        <v>889</v>
      </c>
      <c r="D16" s="319" t="s">
        <v>1567</v>
      </c>
      <c r="E16" s="319" t="s">
        <v>1362</v>
      </c>
      <c r="F16" s="319" t="s">
        <v>903</v>
      </c>
      <c r="G16" s="319" t="s">
        <v>411</v>
      </c>
      <c r="H16" s="317" t="str">
        <f t="shared" si="2"/>
        <v>[6] Process Management</v>
      </c>
      <c r="I16" s="427">
        <f t="shared" si="3"/>
        <v>11</v>
      </c>
    </row>
    <row r="17" spans="1:9">
      <c r="A17" s="319" t="s">
        <v>904</v>
      </c>
      <c r="B17" s="319" t="s">
        <v>1354</v>
      </c>
      <c r="C17" s="319" t="s">
        <v>753</v>
      </c>
      <c r="D17" s="319" t="s">
        <v>1568</v>
      </c>
      <c r="E17" s="319" t="s">
        <v>1359</v>
      </c>
      <c r="F17" s="319" t="s">
        <v>904</v>
      </c>
      <c r="G17" s="319" t="s">
        <v>411</v>
      </c>
      <c r="H17" s="317" t="str">
        <f t="shared" si="2"/>
        <v>[7] Organisational Training</v>
      </c>
      <c r="I17" s="427">
        <f t="shared" si="3"/>
        <v>9</v>
      </c>
    </row>
    <row r="18" spans="1:9">
      <c r="A18" s="319" t="s">
        <v>905</v>
      </c>
      <c r="B18" s="319" t="s">
        <v>1355</v>
      </c>
      <c r="C18" s="319" t="s">
        <v>835</v>
      </c>
      <c r="D18" s="319" t="s">
        <v>1569</v>
      </c>
      <c r="E18" s="319" t="s">
        <v>1243</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5"/>
  <cols>
    <col min="1" max="1" width="27.28515625" bestFit="1" customWidth="1"/>
    <col min="2" max="2" width="14.7109375" bestFit="1" customWidth="1"/>
    <col min="4" max="4" width="29.85546875" customWidth="1"/>
  </cols>
  <sheetData>
    <row r="1" spans="1:10">
      <c r="D1" s="316" t="s">
        <v>1298</v>
      </c>
      <c r="E1" s="316">
        <f>VALUE(RIGHT(Planning!B10,1))</f>
        <v>5</v>
      </c>
      <c r="F1" s="125" t="s">
        <v>1299</v>
      </c>
    </row>
    <row r="3" spans="1:10" ht="30">
      <c r="A3" s="311" t="s">
        <v>916</v>
      </c>
      <c r="B3" t="s">
        <v>1297</v>
      </c>
      <c r="D3" s="415" t="s">
        <v>1307</v>
      </c>
      <c r="E3" s="415" t="s">
        <v>925</v>
      </c>
      <c r="F3" s="416" t="s">
        <v>910</v>
      </c>
      <c r="G3" s="415" t="s">
        <v>1300</v>
      </c>
      <c r="H3" s="415" t="s">
        <v>1301</v>
      </c>
      <c r="I3" s="415" t="s">
        <v>1302</v>
      </c>
      <c r="J3" s="415"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53" workbookViewId="0">
      <selection activeCell="I69" sqref="I69"/>
    </sheetView>
  </sheetViews>
  <sheetFormatPr defaultColWidth="8.7109375" defaultRowHeight="15"/>
  <cols>
    <col min="1" max="2" width="10.42578125" style="8" customWidth="1"/>
    <col min="3" max="3" width="36.285156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65" t="s">
        <v>1200</v>
      </c>
      <c r="B1" s="465"/>
      <c r="C1" s="465"/>
      <c r="D1" s="465"/>
      <c r="E1" s="465"/>
      <c r="F1" s="465"/>
      <c r="G1" s="465"/>
      <c r="H1" s="65"/>
      <c r="I1" s="140" t="s">
        <v>926</v>
      </c>
      <c r="J1" s="141" t="s">
        <v>927</v>
      </c>
      <c r="K1" s="135" t="s">
        <v>928</v>
      </c>
      <c r="L1" s="135" t="s">
        <v>929</v>
      </c>
      <c r="M1" s="136"/>
      <c r="N1" s="67"/>
      <c r="O1" s="67"/>
      <c r="P1" s="67"/>
    </row>
    <row r="2" spans="1:16" ht="14.65"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30">
      <c r="A4" s="455" t="s">
        <v>930</v>
      </c>
      <c r="B4" s="455"/>
      <c r="C4" s="68" t="str">
        <f>J11</f>
        <v>Mini team 1:ATM-5 / ATM-6 / ATM-7</v>
      </c>
      <c r="D4" s="68" t="str">
        <f>M11</f>
        <v>Full team: ATM-1 / ATM-2 / ATM-3 / ATM-4 /ATM-5 / ATM-6 / ATM-7 / ATM-8</v>
      </c>
      <c r="E4" s="68" t="str">
        <f>CONCATENATE("LA team: ",'Agreement 3'!B7," and ATMs if applicable")</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4"/>
      <c r="D13" s="444"/>
      <c r="E13" s="444"/>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61" t="str">
        <f>CONCATENATE("Schedule above includes ",Planning!B28," non-working day(s).")</f>
        <v>Schedule above includes 0 non-working day(s).</v>
      </c>
      <c r="B15" s="461"/>
      <c r="C15" s="461"/>
      <c r="D15" s="461"/>
      <c r="E15" s="461"/>
      <c r="F15" s="461"/>
      <c r="G15" s="461"/>
      <c r="H15" s="65"/>
      <c r="I15" s="135"/>
      <c r="K15" s="139"/>
      <c r="L15" s="135" t="str">
        <f>'P1PA-SS'!B95</f>
        <v>ATM-5</v>
      </c>
      <c r="M15" s="136"/>
      <c r="N15" s="67"/>
      <c r="O15" s="67"/>
      <c r="P15" s="67"/>
    </row>
    <row r="16" spans="1:16">
      <c r="A16" s="459" t="str">
        <f>J4</f>
        <v>Day 3</v>
      </c>
      <c r="B16" s="459"/>
      <c r="C16" s="460">
        <f>I4</f>
        <v>44298</v>
      </c>
      <c r="D16" s="460"/>
      <c r="E16" s="460"/>
      <c r="F16" s="459" t="str">
        <f>A16</f>
        <v>Day 3</v>
      </c>
      <c r="G16" s="459"/>
      <c r="H16" s="65"/>
      <c r="I16" s="135"/>
      <c r="K16" s="139"/>
      <c r="L16" s="135" t="str">
        <f>'P1PA-SS'!B96</f>
        <v>ATM-6</v>
      </c>
      <c r="M16" s="136"/>
      <c r="N16" s="67"/>
      <c r="O16" s="67"/>
      <c r="P16" s="67"/>
    </row>
    <row r="17" spans="1:18" ht="30">
      <c r="A17" s="459" t="s">
        <v>930</v>
      </c>
      <c r="B17" s="459"/>
      <c r="C17" s="71" t="str">
        <f>C4</f>
        <v>Mini team 1:ATM-5 / ATM-6 / ATM-7</v>
      </c>
      <c r="D17" s="71" t="str">
        <f>D4</f>
        <v>Full team: ATM-1 / ATM-2 / ATM-3 / ATM-4 /ATM-5 / ATM-6 / ATM-7 / ATM-8</v>
      </c>
      <c r="E17" s="71" t="str">
        <f>E4</f>
        <v>LA team: van Zyl, Pieter and ATMs if applicable</v>
      </c>
      <c r="F17" s="459" t="s">
        <v>931</v>
      </c>
      <c r="G17" s="459"/>
      <c r="H17" s="65"/>
      <c r="K17" s="139"/>
      <c r="L17" s="135" t="str">
        <f>'P1PA-SS'!B97</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62" t="s">
        <v>986</v>
      </c>
      <c r="D19" s="463"/>
      <c r="E19" s="464"/>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4" t="s">
        <v>987</v>
      </c>
      <c r="D20" s="454"/>
      <c r="E20" s="45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00000000000001"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6" t="s">
        <v>988</v>
      </c>
      <c r="D24" s="456"/>
      <c r="E24" s="456"/>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00000000000001"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6" t="s">
        <v>1670</v>
      </c>
      <c r="D29" s="456"/>
      <c r="E29" s="45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4" t="s">
        <v>938</v>
      </c>
      <c r="D33" s="444"/>
      <c r="E33" s="444"/>
      <c r="F33" s="70">
        <v>0.47916666666666669</v>
      </c>
      <c r="G33" s="70">
        <v>0.5</v>
      </c>
      <c r="H33" s="65"/>
      <c r="I33" s="136"/>
      <c r="J33" s="136"/>
      <c r="K33" s="136"/>
      <c r="L33" s="136"/>
      <c r="M33" s="136"/>
      <c r="N33" s="67"/>
      <c r="O33" s="67"/>
      <c r="P33" s="67"/>
    </row>
    <row r="34" spans="1:16" ht="18.600000000000001"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30">
      <c r="A36" s="459" t="s">
        <v>930</v>
      </c>
      <c r="B36" s="459"/>
      <c r="C36" s="71" t="str">
        <f>C17</f>
        <v>Mini team 1:ATM-5 / ATM-6 / ATM-7</v>
      </c>
      <c r="D36" s="71" t="str">
        <f>D17</f>
        <v>Full team: ATM-1 / ATM-2 / ATM-3 / ATM-4 /ATM-5 / ATM-6 / ATM-7 / ATM-8</v>
      </c>
      <c r="E36" s="71" t="str">
        <f>E17</f>
        <v>LA team: van Zyl, Pieter and ATMs if applicable</v>
      </c>
      <c r="F36" s="459" t="s">
        <v>931</v>
      </c>
      <c r="G36" s="459"/>
      <c r="H36" s="74"/>
    </row>
    <row r="37" spans="1:16" ht="18" customHeight="1">
      <c r="A37" s="70">
        <v>0.41666666666666669</v>
      </c>
      <c r="B37" s="70">
        <v>0.4375</v>
      </c>
      <c r="C37" s="444" t="s">
        <v>938</v>
      </c>
      <c r="D37" s="444"/>
      <c r="E37" s="72" t="s">
        <v>936</v>
      </c>
      <c r="F37" s="70">
        <v>0.16666666666666666</v>
      </c>
      <c r="G37" s="70">
        <v>0.1875</v>
      </c>
      <c r="H37" s="74"/>
    </row>
    <row r="38" spans="1:16" ht="18" customHeight="1">
      <c r="A38" s="70">
        <v>0.4375</v>
      </c>
      <c r="B38" s="70">
        <v>0.45833333333333331</v>
      </c>
      <c r="C38" s="456" t="s">
        <v>989</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1671</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990</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938</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30">
      <c r="A55" s="455" t="s">
        <v>930</v>
      </c>
      <c r="B55" s="455"/>
      <c r="C55" s="68" t="str">
        <f>C36</f>
        <v>Mini team 1:ATM-5 / ATM-6 / ATM-7</v>
      </c>
      <c r="D55" s="68" t="str">
        <f>D36</f>
        <v>Full team: ATM-1 / ATM-2 / ATM-3 / ATM-4 /ATM-5 / ATM-6 / ATM-7 / ATM-8</v>
      </c>
      <c r="E55" s="68" t="str">
        <f>E36</f>
        <v>LA team: van Zyl, Pieter and ATMs if applicable</v>
      </c>
      <c r="F55" s="455" t="s">
        <v>931</v>
      </c>
      <c r="G55" s="455"/>
      <c r="H55" s="74"/>
    </row>
    <row r="56" spans="1:8" ht="18" customHeight="1">
      <c r="A56" s="70">
        <v>0.41666666666666669</v>
      </c>
      <c r="B56" s="70">
        <v>0.4375</v>
      </c>
      <c r="C56" s="444" t="s">
        <v>940</v>
      </c>
      <c r="D56" s="444"/>
      <c r="E56" s="72" t="s">
        <v>936</v>
      </c>
      <c r="F56" s="70">
        <v>0.16666666666666666</v>
      </c>
      <c r="G56" s="70">
        <v>0.1875</v>
      </c>
      <c r="H56" s="74"/>
    </row>
    <row r="57" spans="1:8" ht="18" customHeight="1">
      <c r="A57" s="70">
        <v>0.4375</v>
      </c>
      <c r="B57" s="70">
        <v>0.45833333333333331</v>
      </c>
      <c r="C57" s="456" t="s">
        <v>991</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1672</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992</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44" t="s">
        <v>938</v>
      </c>
      <c r="D71" s="444"/>
      <c r="E71" s="444"/>
      <c r="F71" s="70">
        <v>0.47916666666666669</v>
      </c>
      <c r="G71" s="70">
        <v>0.5</v>
      </c>
      <c r="H71" s="74"/>
    </row>
    <row r="72" spans="1:8" ht="18" customHeight="1">
      <c r="A72" s="70">
        <v>0.75</v>
      </c>
      <c r="B72" s="70">
        <v>0.83333333333333337</v>
      </c>
      <c r="C72" s="444" t="s">
        <v>939</v>
      </c>
      <c r="D72" s="444"/>
      <c r="E72" s="444"/>
      <c r="F72" s="70">
        <v>0.5</v>
      </c>
      <c r="G72" s="70">
        <v>0.58333333333333337</v>
      </c>
      <c r="H72" s="74"/>
    </row>
    <row r="73" spans="1:8">
      <c r="A73" s="455" t="str">
        <f>J7</f>
        <v>Day 6</v>
      </c>
      <c r="B73" s="455"/>
      <c r="C73" s="458">
        <f>I7</f>
        <v>44301</v>
      </c>
      <c r="D73" s="458"/>
      <c r="E73" s="458"/>
      <c r="F73" s="455" t="str">
        <f>A73</f>
        <v>Day 6</v>
      </c>
      <c r="G73" s="455"/>
      <c r="H73" s="74"/>
    </row>
    <row r="74" spans="1:8" ht="30">
      <c r="A74" s="455" t="s">
        <v>930</v>
      </c>
      <c r="B74" s="455"/>
      <c r="C74" s="68" t="str">
        <f>C55</f>
        <v>Mini team 1:ATM-5 / ATM-6 / ATM-7</v>
      </c>
      <c r="D74" s="68" t="str">
        <f>D55</f>
        <v>Full team: ATM-1 / ATM-2 / ATM-3 / ATM-4 /ATM-5 / ATM-6 / ATM-7 / ATM-8</v>
      </c>
      <c r="E74" s="68"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993</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57" t="s">
        <v>941</v>
      </c>
      <c r="D81" s="457"/>
      <c r="E81" s="457"/>
      <c r="F81" s="70">
        <v>0.29166666666666669</v>
      </c>
      <c r="G81" s="70">
        <v>0.3125</v>
      </c>
      <c r="H81" s="74"/>
    </row>
    <row r="82" spans="1:8" ht="18" customHeight="1">
      <c r="A82" s="70">
        <v>0.5625</v>
      </c>
      <c r="B82" s="70">
        <v>0.58333333333333337</v>
      </c>
      <c r="C82" s="457"/>
      <c r="D82" s="457"/>
      <c r="E82" s="457"/>
      <c r="F82" s="70">
        <v>0.3125</v>
      </c>
      <c r="G82" s="70">
        <v>0.33333333333333331</v>
      </c>
      <c r="H82" s="74"/>
    </row>
    <row r="83" spans="1:8" ht="18" customHeight="1">
      <c r="A83" s="70">
        <v>0.58333333333333337</v>
      </c>
      <c r="B83" s="70">
        <v>0.60416666666666663</v>
      </c>
      <c r="C83" s="457"/>
      <c r="D83" s="457"/>
      <c r="E83" s="457"/>
      <c r="F83" s="70">
        <v>0.33333333333333331</v>
      </c>
      <c r="G83" s="70">
        <v>0.35416666666666669</v>
      </c>
      <c r="H83" s="74"/>
    </row>
    <row r="84" spans="1:8" ht="18" customHeight="1">
      <c r="A84" s="70">
        <v>0.60416666666666663</v>
      </c>
      <c r="B84" s="70">
        <v>0.625</v>
      </c>
      <c r="C84" s="457"/>
      <c r="D84" s="457"/>
      <c r="E84" s="457"/>
      <c r="F84" s="70">
        <v>0.35416666666666669</v>
      </c>
      <c r="G84" s="70">
        <v>0.375</v>
      </c>
      <c r="H84" s="74"/>
    </row>
    <row r="85" spans="1:8" ht="18" customHeight="1">
      <c r="A85" s="70">
        <v>0.625</v>
      </c>
      <c r="B85" s="70">
        <v>0.64583333333333337</v>
      </c>
      <c r="C85" s="456" t="s">
        <v>994</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30">
      <c r="A93" s="455" t="s">
        <v>930</v>
      </c>
      <c r="B93" s="455"/>
      <c r="C93" s="68" t="str">
        <f>C74</f>
        <v>Mini team 1:ATM-5 / ATM-6 / ATM-7</v>
      </c>
      <c r="D93" s="68" t="str">
        <f>D74</f>
        <v>Full team: ATM-1 / ATM-2 / ATM-3 / ATM-4 /ATM-5 / ATM-6 / ATM-7 / ATM-8</v>
      </c>
      <c r="E93" s="68"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995</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996</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942</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997</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943</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944</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109375" defaultRowHeight="15"/>
  <cols>
    <col min="1" max="2" width="10.42578125" style="8" customWidth="1"/>
    <col min="3" max="3" width="32.425781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65" t="s">
        <v>1201</v>
      </c>
      <c r="B1" s="465"/>
      <c r="C1" s="465"/>
      <c r="D1" s="465"/>
      <c r="E1" s="465"/>
      <c r="F1" s="465"/>
      <c r="G1" s="465"/>
      <c r="H1" s="65"/>
      <c r="I1" s="140" t="s">
        <v>926</v>
      </c>
      <c r="J1" s="141" t="s">
        <v>927</v>
      </c>
      <c r="K1" s="135" t="s">
        <v>928</v>
      </c>
      <c r="L1" s="135" t="s">
        <v>929</v>
      </c>
      <c r="M1" s="136"/>
      <c r="N1" s="67"/>
      <c r="O1" s="67"/>
      <c r="P1" s="67"/>
    </row>
    <row r="2" spans="1:16" ht="14.65" customHeight="1">
      <c r="A2" s="466" t="str">
        <f>CONCATENATE(TEXT(Planning!B26,"[$-x-sysdate]dddd, mmmm dd, yyyy")," (Technology test)")</f>
        <v>Thursday, 08 April 2021 (Technology test)</v>
      </c>
      <c r="B2" s="466"/>
      <c r="C2" s="466"/>
      <c r="D2" s="466"/>
      <c r="E2" s="466"/>
      <c r="F2" s="466"/>
      <c r="G2" s="466"/>
      <c r="H2" s="65"/>
      <c r="I2" s="135"/>
      <c r="J2" s="135"/>
      <c r="K2" s="135"/>
      <c r="L2" s="136"/>
      <c r="M2" s="136"/>
      <c r="N2" s="67"/>
      <c r="O2" s="67"/>
      <c r="P2" s="67"/>
    </row>
    <row r="3" spans="1:16">
      <c r="A3" s="455" t="str">
        <f>J3</f>
        <v>Day 1-2</v>
      </c>
      <c r="B3" s="455"/>
      <c r="C3" s="458" t="str">
        <f>CONCATENATE(TEXT(I3,"[$-x-sysdate]dddd, mmmm dd, yyyy")," to ",TEXT(K3,"[$-x-sysdate]dddd, mmmm dd, yyyy"))</f>
        <v>Saturday, 10 April 2021 to Sunday, 11 April 2021</v>
      </c>
      <c r="D3" s="458"/>
      <c r="E3" s="458"/>
      <c r="F3" s="455" t="str">
        <f>A3</f>
        <v>Day 1-2</v>
      </c>
      <c r="G3" s="455"/>
      <c r="H3" s="65"/>
      <c r="I3" s="142">
        <f>Planning!B27</f>
        <v>44296</v>
      </c>
      <c r="J3" s="143" t="str">
        <f>_xlfn.CONCAT("Day 1-",L3)</f>
        <v>Day 1-2</v>
      </c>
      <c r="K3" s="144">
        <f>Planning!B27+Planning!B29-1</f>
        <v>44297</v>
      </c>
      <c r="L3" s="135">
        <f>K3-I3+1</f>
        <v>2</v>
      </c>
      <c r="M3" s="136"/>
      <c r="N3" s="67"/>
      <c r="O3" s="67"/>
      <c r="P3" s="67"/>
    </row>
    <row r="4" spans="1:16" ht="49.5" customHeight="1">
      <c r="A4" s="455" t="s">
        <v>930</v>
      </c>
      <c r="B4" s="455"/>
      <c r="C4" s="231" t="str">
        <f>'Schedule4-1P'!C4</f>
        <v>Mini team 1:ATM-5 / ATM-6 / ATM-7</v>
      </c>
      <c r="D4" s="231" t="str">
        <f>'Schedule4-1P'!D4</f>
        <v>Full team: ATM-1 / ATM-2 / ATM-3 / ATM-4 /ATM-5 / ATM-6 / ATM-7 / ATM-8</v>
      </c>
      <c r="E4" s="231" t="str">
        <f>'Schedule4-1P'!E4</f>
        <v>LA team: van Zyl, Pieter and ATMs if applicable</v>
      </c>
      <c r="F4" s="455" t="s">
        <v>931</v>
      </c>
      <c r="G4" s="455"/>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4" t="s">
        <v>932</v>
      </c>
      <c r="D5" s="444" t="s">
        <v>932</v>
      </c>
      <c r="E5" s="444"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4"/>
      <c r="D6" s="444"/>
      <c r="E6" s="444"/>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4"/>
      <c r="D7" s="444"/>
      <c r="E7" s="444"/>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4"/>
      <c r="D8" s="444"/>
      <c r="E8" s="444"/>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4"/>
      <c r="D9" s="444"/>
      <c r="E9" s="444"/>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4"/>
      <c r="D10" s="444"/>
      <c r="E10" s="444"/>
      <c r="F10" s="70">
        <v>0.375</v>
      </c>
      <c r="G10" s="70">
        <v>0.41666666666666669</v>
      </c>
      <c r="H10" s="65"/>
      <c r="I10" s="144"/>
      <c r="J10" s="136"/>
      <c r="K10" s="136"/>
      <c r="L10" s="136"/>
      <c r="M10" s="136"/>
      <c r="N10" s="67"/>
      <c r="O10" s="67"/>
      <c r="P10" s="67"/>
    </row>
    <row r="11" spans="1:16" ht="18" customHeight="1">
      <c r="A11" s="70">
        <v>0.66666666666666696</v>
      </c>
      <c r="B11" s="70">
        <v>0.70833333333333337</v>
      </c>
      <c r="C11" s="444"/>
      <c r="D11" s="444"/>
      <c r="E11" s="444"/>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4"/>
      <c r="D12" s="444"/>
      <c r="E12" s="444"/>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4"/>
      <c r="D13" s="444"/>
      <c r="E13" s="444"/>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61" t="str">
        <f>CONCATENATE("Schedule above includes ",Planning!B28," non-working day(s).")</f>
        <v>Schedule above includes 0 non-working day(s).</v>
      </c>
      <c r="B15" s="461"/>
      <c r="C15" s="461"/>
      <c r="D15" s="461"/>
      <c r="E15" s="461"/>
      <c r="F15" s="461"/>
      <c r="G15" s="461"/>
      <c r="H15" s="65"/>
      <c r="K15" s="139"/>
      <c r="L15" s="135" t="str">
        <f>'P1PA-SS'!B95</f>
        <v>ATM-5</v>
      </c>
      <c r="M15" s="136"/>
      <c r="N15" s="67"/>
      <c r="O15" s="67"/>
      <c r="P15" s="67"/>
    </row>
    <row r="16" spans="1:16">
      <c r="A16" s="459" t="str">
        <f>J4</f>
        <v>Day 3</v>
      </c>
      <c r="B16" s="459"/>
      <c r="C16" s="460">
        <f>I4</f>
        <v>44298</v>
      </c>
      <c r="D16" s="460"/>
      <c r="E16" s="460"/>
      <c r="F16" s="459" t="str">
        <f>A16</f>
        <v>Day 3</v>
      </c>
      <c r="G16" s="459"/>
      <c r="H16" s="65"/>
      <c r="K16" s="139"/>
      <c r="L16" s="135" t="str">
        <f>'P1PA-SS'!B96</f>
        <v>ATM-6</v>
      </c>
      <c r="M16" s="136"/>
      <c r="N16" s="67"/>
      <c r="O16" s="67"/>
      <c r="P16" s="67"/>
    </row>
    <row r="17" spans="1:18" ht="30">
      <c r="A17" s="459" t="s">
        <v>930</v>
      </c>
      <c r="B17" s="459"/>
      <c r="C17" s="233" t="str">
        <f>C4</f>
        <v>Mini team 1:ATM-5 / ATM-6 / ATM-7</v>
      </c>
      <c r="D17" s="233" t="str">
        <f>D4</f>
        <v>Full team: ATM-1 / ATM-2 / ATM-3 / ATM-4 /ATM-5 / ATM-6 / ATM-7 / ATM-8</v>
      </c>
      <c r="E17" s="233" t="str">
        <f>E4</f>
        <v>LA team: van Zyl, Pieter and ATMs if applicable</v>
      </c>
      <c r="F17" s="459" t="s">
        <v>931</v>
      </c>
      <c r="G17" s="459"/>
      <c r="H17" s="65"/>
      <c r="K17" s="139"/>
      <c r="L17" s="135" t="str">
        <f>'P1PA-SS'!B97</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56" t="s">
        <v>986</v>
      </c>
      <c r="D19" s="456"/>
      <c r="E19" s="45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4" t="s">
        <v>987</v>
      </c>
      <c r="D20" s="454"/>
      <c r="E20" s="454"/>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4"/>
      <c r="D21" s="454"/>
      <c r="E21" s="454"/>
      <c r="F21" s="70">
        <v>0.22916666666666666</v>
      </c>
      <c r="G21" s="70">
        <v>0.25</v>
      </c>
      <c r="H21" s="65"/>
      <c r="I21" s="136"/>
      <c r="J21" s="136"/>
      <c r="K21" s="136"/>
      <c r="L21" s="136"/>
      <c r="M21" s="136"/>
      <c r="N21" s="67"/>
      <c r="O21" s="67"/>
      <c r="P21" s="67"/>
    </row>
    <row r="22" spans="1:18" ht="18.600000000000001" customHeight="1">
      <c r="A22" s="70">
        <v>0.5</v>
      </c>
      <c r="B22" s="70">
        <v>0.52083333333333337</v>
      </c>
      <c r="C22" s="444" t="s">
        <v>937</v>
      </c>
      <c r="D22" s="444"/>
      <c r="E22" s="444"/>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4"/>
      <c r="D23" s="444"/>
      <c r="E23" s="444"/>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6" t="s">
        <v>988</v>
      </c>
      <c r="D24" s="456"/>
      <c r="E24" s="456"/>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6"/>
      <c r="D25" s="456"/>
      <c r="E25" s="456"/>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6"/>
      <c r="D26" s="456"/>
      <c r="E26" s="456"/>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6"/>
      <c r="D27" s="456"/>
      <c r="E27" s="456"/>
      <c r="F27" s="70">
        <v>0.35416666666666669</v>
      </c>
      <c r="G27" s="70">
        <v>0.375</v>
      </c>
      <c r="H27" s="65"/>
      <c r="I27" s="136"/>
      <c r="J27" s="136"/>
      <c r="K27" s="136"/>
      <c r="L27" s="136"/>
      <c r="M27" s="136"/>
      <c r="N27" s="67"/>
      <c r="O27" s="67"/>
      <c r="P27" s="67"/>
    </row>
    <row r="28" spans="1:18" ht="18.600000000000001" customHeight="1">
      <c r="A28" s="70">
        <v>0.625</v>
      </c>
      <c r="B28" s="70">
        <v>0.64583333333333337</v>
      </c>
      <c r="C28" s="444" t="s">
        <v>938</v>
      </c>
      <c r="D28" s="444"/>
      <c r="E28" s="444"/>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6" t="s">
        <v>988</v>
      </c>
      <c r="D29" s="456"/>
      <c r="E29" s="456"/>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6"/>
      <c r="D30" s="456"/>
      <c r="E30" s="456"/>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6"/>
      <c r="D31" s="456"/>
      <c r="E31" s="456"/>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6"/>
      <c r="D32" s="456"/>
      <c r="E32" s="456"/>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4" t="s">
        <v>1127</v>
      </c>
      <c r="D33" s="444"/>
      <c r="E33" s="444"/>
      <c r="F33" s="70">
        <v>0.47916666666666669</v>
      </c>
      <c r="G33" s="70">
        <v>0.5</v>
      </c>
      <c r="H33" s="65"/>
      <c r="I33" s="136"/>
      <c r="J33" s="136"/>
      <c r="K33" s="136"/>
      <c r="L33" s="136"/>
      <c r="M33" s="136"/>
      <c r="N33" s="67"/>
      <c r="O33" s="67"/>
      <c r="P33" s="67"/>
    </row>
    <row r="34" spans="1:16" ht="18.600000000000001" customHeight="1">
      <c r="A34" s="70">
        <v>0.75</v>
      </c>
      <c r="B34" s="70">
        <v>0.83333333333333337</v>
      </c>
      <c r="C34" s="444" t="s">
        <v>939</v>
      </c>
      <c r="D34" s="444"/>
      <c r="E34" s="444"/>
      <c r="F34" s="70">
        <v>0.5</v>
      </c>
      <c r="G34" s="70">
        <v>0.58333333333333337</v>
      </c>
      <c r="H34" s="65"/>
      <c r="I34" s="136"/>
      <c r="J34" s="136"/>
      <c r="K34" s="136"/>
      <c r="L34" s="136"/>
      <c r="M34" s="136"/>
      <c r="N34" s="67"/>
      <c r="O34" s="67"/>
      <c r="P34" s="67"/>
    </row>
    <row r="35" spans="1:16">
      <c r="A35" s="459" t="str">
        <f>J5</f>
        <v>Day 4</v>
      </c>
      <c r="B35" s="459"/>
      <c r="C35" s="460">
        <f>I5</f>
        <v>44299</v>
      </c>
      <c r="D35" s="460"/>
      <c r="E35" s="460"/>
      <c r="F35" s="459" t="str">
        <f>A35</f>
        <v>Day 4</v>
      </c>
      <c r="G35" s="459"/>
      <c r="H35" s="74"/>
    </row>
    <row r="36" spans="1:16" ht="30">
      <c r="A36" s="459" t="s">
        <v>930</v>
      </c>
      <c r="B36" s="459"/>
      <c r="C36" s="233" t="str">
        <f>C17</f>
        <v>Mini team 1:ATM-5 / ATM-6 / ATM-7</v>
      </c>
      <c r="D36" s="233" t="str">
        <f>D17</f>
        <v>Full team: ATM-1 / ATM-2 / ATM-3 / ATM-4 /ATM-5 / ATM-6 / ATM-7 / ATM-8</v>
      </c>
      <c r="E36" s="233" t="str">
        <f>E17</f>
        <v>LA team: van Zyl, Pieter and ATMs if applicable</v>
      </c>
      <c r="F36" s="459" t="s">
        <v>931</v>
      </c>
      <c r="G36" s="459"/>
      <c r="H36" s="74"/>
    </row>
    <row r="37" spans="1:16" ht="18" customHeight="1">
      <c r="A37" s="70">
        <v>0.41666666666666669</v>
      </c>
      <c r="B37" s="70">
        <v>0.4375</v>
      </c>
      <c r="C37" s="444" t="s">
        <v>938</v>
      </c>
      <c r="D37" s="444"/>
      <c r="E37" s="232" t="s">
        <v>936</v>
      </c>
      <c r="F37" s="70">
        <v>0.16666666666666666</v>
      </c>
      <c r="G37" s="70">
        <v>0.1875</v>
      </c>
      <c r="H37" s="74"/>
    </row>
    <row r="38" spans="1:16" ht="18" customHeight="1">
      <c r="A38" s="70">
        <v>0.4375</v>
      </c>
      <c r="B38" s="70">
        <v>0.45833333333333331</v>
      </c>
      <c r="C38" s="456" t="s">
        <v>989</v>
      </c>
      <c r="D38" s="456"/>
      <c r="E38" s="456"/>
      <c r="F38" s="70">
        <v>0.1875</v>
      </c>
      <c r="G38" s="70">
        <v>0.20833333333333334</v>
      </c>
      <c r="H38" s="74"/>
    </row>
    <row r="39" spans="1:16" ht="18" customHeight="1">
      <c r="A39" s="70">
        <v>0.45833333333333331</v>
      </c>
      <c r="B39" s="70">
        <v>0.47916666666666669</v>
      </c>
      <c r="C39" s="456"/>
      <c r="D39" s="456"/>
      <c r="E39" s="456"/>
      <c r="F39" s="70">
        <v>0.20833333333333334</v>
      </c>
      <c r="G39" s="70">
        <v>0.22916666666666666</v>
      </c>
      <c r="H39" s="74"/>
    </row>
    <row r="40" spans="1:16" ht="18" customHeight="1">
      <c r="A40" s="70">
        <v>0.47916666666666669</v>
      </c>
      <c r="B40" s="70">
        <v>0.5</v>
      </c>
      <c r="C40" s="456"/>
      <c r="D40" s="456"/>
      <c r="E40" s="456"/>
      <c r="F40" s="70">
        <v>0.22916666666666666</v>
      </c>
      <c r="G40" s="70">
        <v>0.25</v>
      </c>
      <c r="H40" s="74"/>
    </row>
    <row r="41" spans="1:16" ht="18" customHeight="1">
      <c r="A41" s="70">
        <v>0.5</v>
      </c>
      <c r="B41" s="70">
        <v>0.52083333333333337</v>
      </c>
      <c r="C41" s="444" t="s">
        <v>937</v>
      </c>
      <c r="D41" s="444"/>
      <c r="E41" s="444"/>
      <c r="F41" s="70">
        <v>0.25</v>
      </c>
      <c r="G41" s="70">
        <v>0.27083333333333331</v>
      </c>
      <c r="H41" s="74"/>
    </row>
    <row r="42" spans="1:16" ht="18" customHeight="1">
      <c r="A42" s="70">
        <v>0.52083333333333337</v>
      </c>
      <c r="B42" s="70">
        <v>0.54166666666666663</v>
      </c>
      <c r="C42" s="444"/>
      <c r="D42" s="444"/>
      <c r="E42" s="444"/>
      <c r="F42" s="70">
        <v>0.27083333333333331</v>
      </c>
      <c r="G42" s="70">
        <v>0.29166666666666669</v>
      </c>
      <c r="H42" s="74"/>
    </row>
    <row r="43" spans="1:16" ht="18" customHeight="1">
      <c r="A43" s="70">
        <v>0.54166666666666663</v>
      </c>
      <c r="B43" s="70">
        <v>0.5625</v>
      </c>
      <c r="C43" s="456" t="s">
        <v>989</v>
      </c>
      <c r="D43" s="456"/>
      <c r="E43" s="456"/>
      <c r="F43" s="70">
        <v>0.29166666666666669</v>
      </c>
      <c r="G43" s="70">
        <v>0.3125</v>
      </c>
      <c r="H43" s="74"/>
    </row>
    <row r="44" spans="1:16" ht="18" customHeight="1">
      <c r="A44" s="70">
        <v>0.5625</v>
      </c>
      <c r="B44" s="70">
        <v>0.58333333333333337</v>
      </c>
      <c r="C44" s="456"/>
      <c r="D44" s="456"/>
      <c r="E44" s="456"/>
      <c r="F44" s="70">
        <v>0.3125</v>
      </c>
      <c r="G44" s="70">
        <v>0.33333333333333331</v>
      </c>
      <c r="H44" s="74"/>
    </row>
    <row r="45" spans="1:16" ht="18" customHeight="1">
      <c r="A45" s="70">
        <v>0.58333333333333337</v>
      </c>
      <c r="B45" s="70">
        <v>0.60416666666666663</v>
      </c>
      <c r="C45" s="456"/>
      <c r="D45" s="456"/>
      <c r="E45" s="456"/>
      <c r="F45" s="70">
        <v>0.33333333333333331</v>
      </c>
      <c r="G45" s="70">
        <v>0.35416666666666669</v>
      </c>
      <c r="H45" s="74"/>
    </row>
    <row r="46" spans="1:16" ht="18" customHeight="1">
      <c r="A46" s="70">
        <v>0.60416666666666663</v>
      </c>
      <c r="B46" s="70">
        <v>0.625</v>
      </c>
      <c r="C46" s="456"/>
      <c r="D46" s="456"/>
      <c r="E46" s="456"/>
      <c r="F46" s="70">
        <v>0.35416666666666669</v>
      </c>
      <c r="G46" s="70">
        <v>0.375</v>
      </c>
      <c r="H46" s="74"/>
    </row>
    <row r="47" spans="1:16" ht="18" customHeight="1">
      <c r="A47" s="70">
        <v>0.625</v>
      </c>
      <c r="B47" s="70">
        <v>0.64583333333333337</v>
      </c>
      <c r="C47" s="456"/>
      <c r="D47" s="456"/>
      <c r="E47" s="456"/>
      <c r="F47" s="70">
        <v>0.375</v>
      </c>
      <c r="G47" s="70">
        <v>0.39583333333333331</v>
      </c>
      <c r="H47" s="74"/>
    </row>
    <row r="48" spans="1:16" ht="18" customHeight="1">
      <c r="A48" s="70">
        <v>0.64583333333333337</v>
      </c>
      <c r="B48" s="70">
        <v>0.66666666666666663</v>
      </c>
      <c r="C48" s="444" t="s">
        <v>938</v>
      </c>
      <c r="D48" s="444"/>
      <c r="E48" s="444" t="s">
        <v>936</v>
      </c>
      <c r="F48" s="70">
        <v>0.39583333333333331</v>
      </c>
      <c r="G48" s="70">
        <v>0.41666666666666669</v>
      </c>
      <c r="H48" s="74"/>
    </row>
    <row r="49" spans="1:8" ht="18" customHeight="1">
      <c r="A49" s="70">
        <v>0.66666666666666663</v>
      </c>
      <c r="B49" s="70">
        <v>0.6875</v>
      </c>
      <c r="C49" s="444"/>
      <c r="D49" s="444"/>
      <c r="E49" s="444"/>
      <c r="F49" s="70">
        <v>0.41666666666666669</v>
      </c>
      <c r="G49" s="70">
        <v>0.4375</v>
      </c>
      <c r="H49" s="74"/>
    </row>
    <row r="50" spans="1:8" ht="18" customHeight="1">
      <c r="A50" s="70">
        <v>0.6875</v>
      </c>
      <c r="B50" s="70">
        <v>0.70833333333333337</v>
      </c>
      <c r="C50" s="456" t="s">
        <v>990</v>
      </c>
      <c r="D50" s="456"/>
      <c r="E50" s="456"/>
      <c r="F50" s="70">
        <v>0.4375</v>
      </c>
      <c r="G50" s="70">
        <v>0.45833333333333331</v>
      </c>
      <c r="H50" s="74"/>
    </row>
    <row r="51" spans="1:8" ht="18" customHeight="1">
      <c r="A51" s="70">
        <v>0.70833333333333337</v>
      </c>
      <c r="B51" s="70">
        <v>0.72916666666666663</v>
      </c>
      <c r="C51" s="456"/>
      <c r="D51" s="456"/>
      <c r="E51" s="456"/>
      <c r="F51" s="70">
        <v>0.45833333333333331</v>
      </c>
      <c r="G51" s="70">
        <v>0.47916666666666669</v>
      </c>
      <c r="H51" s="74"/>
    </row>
    <row r="52" spans="1:8" ht="18" customHeight="1">
      <c r="A52" s="70">
        <v>0.72916666666666663</v>
      </c>
      <c r="B52" s="70">
        <v>0.75</v>
      </c>
      <c r="C52" s="444" t="s">
        <v>1127</v>
      </c>
      <c r="D52" s="444"/>
      <c r="E52" s="444"/>
      <c r="F52" s="70">
        <v>0.47916666666666669</v>
      </c>
      <c r="G52" s="70">
        <v>0.5</v>
      </c>
      <c r="H52" s="74"/>
    </row>
    <row r="53" spans="1:8" ht="18" customHeight="1">
      <c r="A53" s="70">
        <v>0.75</v>
      </c>
      <c r="B53" s="70">
        <v>0.83333333333333337</v>
      </c>
      <c r="C53" s="444" t="s">
        <v>939</v>
      </c>
      <c r="D53" s="444"/>
      <c r="E53" s="444"/>
      <c r="F53" s="70">
        <v>0.5</v>
      </c>
      <c r="G53" s="70">
        <v>0.58333333333333337</v>
      </c>
      <c r="H53" s="74"/>
    </row>
    <row r="54" spans="1:8">
      <c r="A54" s="455" t="str">
        <f>J6</f>
        <v>Day 5</v>
      </c>
      <c r="B54" s="455"/>
      <c r="C54" s="458">
        <f>I6</f>
        <v>44300</v>
      </c>
      <c r="D54" s="458"/>
      <c r="E54" s="458"/>
      <c r="F54" s="455" t="str">
        <f>A54</f>
        <v>Day 5</v>
      </c>
      <c r="G54" s="455"/>
      <c r="H54" s="74"/>
    </row>
    <row r="55" spans="1:8" ht="30">
      <c r="A55" s="455" t="s">
        <v>930</v>
      </c>
      <c r="B55" s="455"/>
      <c r="C55" s="231" t="str">
        <f>C36</f>
        <v>Mini team 1:ATM-5 / ATM-6 / ATM-7</v>
      </c>
      <c r="D55" s="231" t="str">
        <f>D36</f>
        <v>Full team: ATM-1 / ATM-2 / ATM-3 / ATM-4 /ATM-5 / ATM-6 / ATM-7 / ATM-8</v>
      </c>
      <c r="E55" s="231" t="str">
        <f>E36</f>
        <v>LA team: van Zyl, Pieter and ATMs if applicable</v>
      </c>
      <c r="F55" s="455" t="s">
        <v>931</v>
      </c>
      <c r="G55" s="455"/>
      <c r="H55" s="74"/>
    </row>
    <row r="56" spans="1:8" ht="18" customHeight="1">
      <c r="A56" s="70">
        <v>0.41666666666666669</v>
      </c>
      <c r="B56" s="70">
        <v>0.4375</v>
      </c>
      <c r="C56" s="444" t="s">
        <v>940</v>
      </c>
      <c r="D56" s="444"/>
      <c r="E56" s="232" t="s">
        <v>936</v>
      </c>
      <c r="F56" s="70">
        <v>0.16666666666666666</v>
      </c>
      <c r="G56" s="70">
        <v>0.1875</v>
      </c>
      <c r="H56" s="74"/>
    </row>
    <row r="57" spans="1:8" ht="18" customHeight="1">
      <c r="A57" s="70">
        <v>0.4375</v>
      </c>
      <c r="B57" s="70">
        <v>0.45833333333333331</v>
      </c>
      <c r="C57" s="456" t="s">
        <v>991</v>
      </c>
      <c r="D57" s="456"/>
      <c r="E57" s="456"/>
      <c r="F57" s="70">
        <v>0.1875</v>
      </c>
      <c r="G57" s="70">
        <v>0.20833333333333334</v>
      </c>
      <c r="H57" s="74"/>
    </row>
    <row r="58" spans="1:8" ht="18" customHeight="1">
      <c r="A58" s="70">
        <v>0.45833333333333331</v>
      </c>
      <c r="B58" s="70">
        <v>0.47916666666666669</v>
      </c>
      <c r="C58" s="456"/>
      <c r="D58" s="456"/>
      <c r="E58" s="456"/>
      <c r="F58" s="70">
        <v>0.20833333333333334</v>
      </c>
      <c r="G58" s="70">
        <v>0.22916666666666666</v>
      </c>
      <c r="H58" s="74"/>
    </row>
    <row r="59" spans="1:8" ht="18" customHeight="1">
      <c r="A59" s="70">
        <v>0.47916666666666669</v>
      </c>
      <c r="B59" s="70">
        <v>0.5</v>
      </c>
      <c r="C59" s="456"/>
      <c r="D59" s="456"/>
      <c r="E59" s="456"/>
      <c r="F59" s="70">
        <v>0.22916666666666666</v>
      </c>
      <c r="G59" s="70">
        <v>0.25</v>
      </c>
      <c r="H59" s="74"/>
    </row>
    <row r="60" spans="1:8" ht="18" customHeight="1">
      <c r="A60" s="70">
        <v>0.5</v>
      </c>
      <c r="B60" s="70">
        <v>0.52083333333333337</v>
      </c>
      <c r="C60" s="444" t="s">
        <v>937</v>
      </c>
      <c r="D60" s="444"/>
      <c r="E60" s="444"/>
      <c r="F60" s="70">
        <v>0.25</v>
      </c>
      <c r="G60" s="70">
        <v>0.27083333333333331</v>
      </c>
      <c r="H60" s="74"/>
    </row>
    <row r="61" spans="1:8" ht="18" customHeight="1">
      <c r="A61" s="70">
        <v>0.52083333333333337</v>
      </c>
      <c r="B61" s="70">
        <v>0.54166666666666663</v>
      </c>
      <c r="C61" s="444"/>
      <c r="D61" s="444"/>
      <c r="E61" s="444"/>
      <c r="F61" s="70">
        <v>0.27083333333333331</v>
      </c>
      <c r="G61" s="70">
        <v>0.29166666666666669</v>
      </c>
      <c r="H61" s="74"/>
    </row>
    <row r="62" spans="1:8" ht="18" customHeight="1">
      <c r="A62" s="70">
        <v>0.54166666666666663</v>
      </c>
      <c r="B62" s="70">
        <v>0.5625</v>
      </c>
      <c r="C62" s="456" t="s">
        <v>991</v>
      </c>
      <c r="D62" s="456"/>
      <c r="E62" s="456"/>
      <c r="F62" s="70">
        <v>0.29166666666666669</v>
      </c>
      <c r="G62" s="70">
        <v>0.3125</v>
      </c>
      <c r="H62" s="74"/>
    </row>
    <row r="63" spans="1:8" ht="18" customHeight="1">
      <c r="A63" s="70">
        <v>0.5625</v>
      </c>
      <c r="B63" s="70">
        <v>0.58333333333333337</v>
      </c>
      <c r="C63" s="456"/>
      <c r="D63" s="456"/>
      <c r="E63" s="456"/>
      <c r="F63" s="70">
        <v>0.3125</v>
      </c>
      <c r="G63" s="70">
        <v>0.33333333333333331</v>
      </c>
      <c r="H63" s="74"/>
    </row>
    <row r="64" spans="1:8" ht="18" customHeight="1">
      <c r="A64" s="70">
        <v>0.58333333333333337</v>
      </c>
      <c r="B64" s="70">
        <v>0.60416666666666663</v>
      </c>
      <c r="C64" s="456"/>
      <c r="D64" s="456"/>
      <c r="E64" s="456"/>
      <c r="F64" s="70">
        <v>0.33333333333333331</v>
      </c>
      <c r="G64" s="70">
        <v>0.35416666666666669</v>
      </c>
      <c r="H64" s="74"/>
    </row>
    <row r="65" spans="1:8" ht="18" customHeight="1">
      <c r="A65" s="70">
        <v>0.60416666666666663</v>
      </c>
      <c r="B65" s="70">
        <v>0.625</v>
      </c>
      <c r="C65" s="456"/>
      <c r="D65" s="456"/>
      <c r="E65" s="456"/>
      <c r="F65" s="70">
        <v>0.35416666666666669</v>
      </c>
      <c r="G65" s="70">
        <v>0.375</v>
      </c>
      <c r="H65" s="74"/>
    </row>
    <row r="66" spans="1:8" ht="18" customHeight="1">
      <c r="A66" s="70">
        <v>0.625</v>
      </c>
      <c r="B66" s="70">
        <v>0.64583333333333337</v>
      </c>
      <c r="C66" s="456"/>
      <c r="D66" s="456"/>
      <c r="E66" s="456"/>
      <c r="F66" s="70">
        <v>0.375</v>
      </c>
      <c r="G66" s="70">
        <v>0.39583333333333331</v>
      </c>
      <c r="H66" s="74"/>
    </row>
    <row r="67" spans="1:8" ht="18" customHeight="1">
      <c r="A67" s="70">
        <v>0.64583333333333337</v>
      </c>
      <c r="B67" s="70">
        <v>0.66666666666666663</v>
      </c>
      <c r="C67" s="456"/>
      <c r="D67" s="456"/>
      <c r="E67" s="456"/>
      <c r="F67" s="70">
        <v>0.39583333333333331</v>
      </c>
      <c r="G67" s="70">
        <v>0.41666666666666669</v>
      </c>
      <c r="H67" s="74"/>
    </row>
    <row r="68" spans="1:8" ht="18" customHeight="1">
      <c r="A68" s="70">
        <v>0.66666666666666663</v>
      </c>
      <c r="B68" s="70">
        <v>0.6875</v>
      </c>
      <c r="C68" s="444" t="s">
        <v>938</v>
      </c>
      <c r="D68" s="444"/>
      <c r="E68" s="444"/>
      <c r="F68" s="70">
        <v>0.41666666666666669</v>
      </c>
      <c r="G68" s="70">
        <v>0.4375</v>
      </c>
      <c r="H68" s="74"/>
    </row>
    <row r="69" spans="1:8" ht="18" customHeight="1">
      <c r="A69" s="70">
        <v>0.6875</v>
      </c>
      <c r="B69" s="70">
        <v>0.70833333333333337</v>
      </c>
      <c r="C69" s="456" t="s">
        <v>992</v>
      </c>
      <c r="D69" s="456"/>
      <c r="E69" s="456"/>
      <c r="F69" s="70">
        <v>0.4375</v>
      </c>
      <c r="G69" s="70">
        <v>0.45833333333333331</v>
      </c>
      <c r="H69" s="74"/>
    </row>
    <row r="70" spans="1:8" ht="18" customHeight="1">
      <c r="A70" s="70">
        <v>0.70833333333333337</v>
      </c>
      <c r="B70" s="70">
        <v>0.72916666666666663</v>
      </c>
      <c r="C70" s="456"/>
      <c r="D70" s="456"/>
      <c r="E70" s="456"/>
      <c r="F70" s="70">
        <v>0.45833333333333331</v>
      </c>
      <c r="G70" s="70">
        <v>0.47916666666666669</v>
      </c>
      <c r="H70" s="74"/>
    </row>
    <row r="71" spans="1:8" ht="18" customHeight="1">
      <c r="A71" s="70">
        <v>0.72916666666666663</v>
      </c>
      <c r="B71" s="70">
        <v>0.75</v>
      </c>
      <c r="C71" s="467" t="s">
        <v>1126</v>
      </c>
      <c r="D71" s="468"/>
      <c r="E71" s="469"/>
      <c r="F71" s="70">
        <v>0.47916666666666669</v>
      </c>
      <c r="G71" s="70">
        <v>0.5</v>
      </c>
      <c r="H71" s="74"/>
    </row>
    <row r="72" spans="1:8" ht="18" customHeight="1">
      <c r="A72" s="70">
        <v>0.75</v>
      </c>
      <c r="B72" s="70">
        <v>0.83333333333333337</v>
      </c>
      <c r="C72" s="470"/>
      <c r="D72" s="471"/>
      <c r="E72" s="472"/>
      <c r="F72" s="70">
        <v>0.5</v>
      </c>
      <c r="G72" s="70">
        <v>0.58333333333333337</v>
      </c>
      <c r="H72" s="74"/>
    </row>
    <row r="73" spans="1:8">
      <c r="A73" s="455" t="str">
        <f>J7</f>
        <v>Day 6</v>
      </c>
      <c r="B73" s="455"/>
      <c r="C73" s="458">
        <f>I7</f>
        <v>44301</v>
      </c>
      <c r="D73" s="458"/>
      <c r="E73" s="458"/>
      <c r="F73" s="455" t="str">
        <f>A73</f>
        <v>Day 6</v>
      </c>
      <c r="G73" s="455"/>
      <c r="H73" s="74"/>
    </row>
    <row r="74" spans="1:8" ht="30">
      <c r="A74" s="455" t="s">
        <v>930</v>
      </c>
      <c r="B74" s="455"/>
      <c r="C74" s="231" t="str">
        <f>C55</f>
        <v>Mini team 1:ATM-5 / ATM-6 / ATM-7</v>
      </c>
      <c r="D74" s="231" t="str">
        <f>D55</f>
        <v>Full team: ATM-1 / ATM-2 / ATM-3 / ATM-4 /ATM-5 / ATM-6 / ATM-7 / ATM-8</v>
      </c>
      <c r="E74" s="231" t="str">
        <f>E55</f>
        <v>LA team: van Zyl, Pieter and ATMs if applicable</v>
      </c>
      <c r="F74" s="455" t="s">
        <v>931</v>
      </c>
      <c r="G74" s="455"/>
      <c r="H74" s="74"/>
    </row>
    <row r="75" spans="1:8" ht="18" customHeight="1">
      <c r="A75" s="70">
        <v>0.41666666666666669</v>
      </c>
      <c r="B75" s="70">
        <v>0.4375</v>
      </c>
      <c r="C75" s="444" t="s">
        <v>938</v>
      </c>
      <c r="D75" s="444"/>
      <c r="E75" s="444"/>
      <c r="F75" s="70">
        <v>0.16666666666666666</v>
      </c>
      <c r="G75" s="70">
        <v>0.1875</v>
      </c>
      <c r="H75" s="74"/>
    </row>
    <row r="76" spans="1:8" ht="18" customHeight="1">
      <c r="A76" s="70">
        <v>0.4375</v>
      </c>
      <c r="B76" s="70">
        <v>0.45833333333333331</v>
      </c>
      <c r="C76" s="456" t="s">
        <v>993</v>
      </c>
      <c r="D76" s="456"/>
      <c r="E76" s="456"/>
      <c r="F76" s="70">
        <v>0.1875</v>
      </c>
      <c r="G76" s="70">
        <v>0.20833333333333334</v>
      </c>
      <c r="H76" s="74"/>
    </row>
    <row r="77" spans="1:8" ht="18" customHeight="1">
      <c r="A77" s="70">
        <v>0.45833333333333331</v>
      </c>
      <c r="B77" s="70">
        <v>0.47916666666666669</v>
      </c>
      <c r="C77" s="456"/>
      <c r="D77" s="456"/>
      <c r="E77" s="456"/>
      <c r="F77" s="70">
        <v>0.20833333333333334</v>
      </c>
      <c r="G77" s="70">
        <v>0.22916666666666666</v>
      </c>
      <c r="H77" s="74"/>
    </row>
    <row r="78" spans="1:8" ht="18" customHeight="1">
      <c r="A78" s="70">
        <v>0.47916666666666669</v>
      </c>
      <c r="B78" s="70">
        <v>0.5</v>
      </c>
      <c r="C78" s="444" t="s">
        <v>938</v>
      </c>
      <c r="D78" s="444"/>
      <c r="E78" s="444"/>
      <c r="F78" s="70">
        <v>0.22916666666666666</v>
      </c>
      <c r="G78" s="70">
        <v>0.25</v>
      </c>
      <c r="H78" s="74"/>
    </row>
    <row r="79" spans="1:8" ht="18" customHeight="1">
      <c r="A79" s="70">
        <v>0.5</v>
      </c>
      <c r="B79" s="70">
        <v>0.52083333333333337</v>
      </c>
      <c r="C79" s="444" t="s">
        <v>937</v>
      </c>
      <c r="D79" s="444"/>
      <c r="E79" s="444"/>
      <c r="F79" s="70">
        <v>0.25</v>
      </c>
      <c r="G79" s="70">
        <v>0.27083333333333331</v>
      </c>
      <c r="H79" s="74"/>
    </row>
    <row r="80" spans="1:8" ht="18" customHeight="1">
      <c r="A80" s="70">
        <v>0.52083333333333337</v>
      </c>
      <c r="B80" s="70">
        <v>0.54166666666666663</v>
      </c>
      <c r="C80" s="444"/>
      <c r="D80" s="444"/>
      <c r="E80" s="444"/>
      <c r="F80" s="70">
        <v>0.27083333333333331</v>
      </c>
      <c r="G80" s="70">
        <v>0.29166666666666669</v>
      </c>
      <c r="H80" s="74"/>
    </row>
    <row r="81" spans="1:8" ht="18" customHeight="1">
      <c r="A81" s="70">
        <v>0.54166666666666663</v>
      </c>
      <c r="B81" s="70">
        <v>0.5625</v>
      </c>
      <c r="C81" s="467" t="s">
        <v>1126</v>
      </c>
      <c r="D81" s="468"/>
      <c r="E81" s="469"/>
      <c r="F81" s="70">
        <v>0.29166666666666669</v>
      </c>
      <c r="G81" s="70">
        <v>0.3125</v>
      </c>
      <c r="H81" s="74"/>
    </row>
    <row r="82" spans="1:8" ht="18" customHeight="1">
      <c r="A82" s="70">
        <v>0.5625</v>
      </c>
      <c r="B82" s="70">
        <v>0.58333333333333337</v>
      </c>
      <c r="C82" s="470"/>
      <c r="D82" s="471"/>
      <c r="E82" s="472"/>
      <c r="F82" s="70">
        <v>0.3125</v>
      </c>
      <c r="G82" s="70">
        <v>0.33333333333333331</v>
      </c>
      <c r="H82" s="74"/>
    </row>
    <row r="83" spans="1:8" ht="18" customHeight="1">
      <c r="A83" s="70">
        <v>0.58333333333333337</v>
      </c>
      <c r="B83" s="70">
        <v>0.60416666666666663</v>
      </c>
      <c r="C83" s="473" t="s">
        <v>941</v>
      </c>
      <c r="D83" s="474"/>
      <c r="E83" s="475"/>
      <c r="F83" s="70">
        <v>0.33333333333333331</v>
      </c>
      <c r="G83" s="70">
        <v>0.35416666666666669</v>
      </c>
      <c r="H83" s="74"/>
    </row>
    <row r="84" spans="1:8" ht="18" customHeight="1">
      <c r="A84" s="70">
        <v>0.60416666666666663</v>
      </c>
      <c r="B84" s="70">
        <v>0.625</v>
      </c>
      <c r="C84" s="476"/>
      <c r="D84" s="477"/>
      <c r="E84" s="478"/>
      <c r="F84" s="70">
        <v>0.35416666666666669</v>
      </c>
      <c r="G84" s="70">
        <v>0.375</v>
      </c>
      <c r="H84" s="74"/>
    </row>
    <row r="85" spans="1:8" ht="18" customHeight="1">
      <c r="A85" s="70">
        <v>0.625</v>
      </c>
      <c r="B85" s="70">
        <v>0.64583333333333337</v>
      </c>
      <c r="C85" s="456" t="s">
        <v>994</v>
      </c>
      <c r="D85" s="456"/>
      <c r="E85" s="456"/>
      <c r="F85" s="70">
        <v>0.375</v>
      </c>
      <c r="G85" s="70">
        <v>0.39583333333333331</v>
      </c>
      <c r="H85" s="74"/>
    </row>
    <row r="86" spans="1:8" ht="18" customHeight="1">
      <c r="A86" s="70">
        <v>0.64583333333333337</v>
      </c>
      <c r="B86" s="70">
        <v>0.66666666666666663</v>
      </c>
      <c r="C86" s="456"/>
      <c r="D86" s="456"/>
      <c r="E86" s="456"/>
      <c r="F86" s="70">
        <v>0.39583333333333331</v>
      </c>
      <c r="G86" s="70">
        <v>0.41666666666666669</v>
      </c>
      <c r="H86" s="74"/>
    </row>
    <row r="87" spans="1:8" ht="18" customHeight="1">
      <c r="A87" s="70">
        <v>0.66666666666666663</v>
      </c>
      <c r="B87" s="70">
        <v>0.6875</v>
      </c>
      <c r="C87" s="444" t="s">
        <v>938</v>
      </c>
      <c r="D87" s="444"/>
      <c r="E87" s="444"/>
      <c r="F87" s="70">
        <v>0.41666666666666669</v>
      </c>
      <c r="G87" s="70">
        <v>0.4375</v>
      </c>
      <c r="H87" s="74"/>
    </row>
    <row r="88" spans="1:8" ht="18" customHeight="1">
      <c r="A88" s="70">
        <v>0.6875</v>
      </c>
      <c r="B88" s="70">
        <v>0.70833333333333337</v>
      </c>
      <c r="C88" s="444"/>
      <c r="D88" s="444"/>
      <c r="E88" s="444"/>
      <c r="F88" s="70">
        <v>0.4375</v>
      </c>
      <c r="G88" s="70">
        <v>0.45833333333333331</v>
      </c>
      <c r="H88" s="74"/>
    </row>
    <row r="89" spans="1:8" ht="18" customHeight="1">
      <c r="A89" s="70">
        <v>0.70833333333333337</v>
      </c>
      <c r="B89" s="70">
        <v>0.72916666666666663</v>
      </c>
      <c r="C89" s="444"/>
      <c r="D89" s="444"/>
      <c r="E89" s="444"/>
      <c r="F89" s="70">
        <v>0.45833333333333331</v>
      </c>
      <c r="G89" s="70">
        <v>0.47916666666666669</v>
      </c>
      <c r="H89" s="74"/>
    </row>
    <row r="90" spans="1:8" ht="18" customHeight="1">
      <c r="A90" s="70">
        <v>0.72916666666666663</v>
      </c>
      <c r="B90" s="70">
        <v>0.75</v>
      </c>
      <c r="C90" s="444"/>
      <c r="D90" s="444"/>
      <c r="E90" s="444"/>
      <c r="F90" s="70">
        <v>0.47916666666666669</v>
      </c>
      <c r="G90" s="70">
        <v>0.5</v>
      </c>
      <c r="H90" s="74"/>
    </row>
    <row r="91" spans="1:8" ht="18" customHeight="1">
      <c r="A91" s="70">
        <v>0.75</v>
      </c>
      <c r="B91" s="70">
        <v>0.83333333333333337</v>
      </c>
      <c r="C91" s="444" t="s">
        <v>939</v>
      </c>
      <c r="D91" s="444"/>
      <c r="E91" s="444"/>
      <c r="F91" s="70">
        <v>0.5</v>
      </c>
      <c r="G91" s="70">
        <v>0.58333333333333337</v>
      </c>
      <c r="H91" s="74"/>
    </row>
    <row r="92" spans="1:8">
      <c r="A92" s="455" t="str">
        <f>J8</f>
        <v>Day 7</v>
      </c>
      <c r="B92" s="455"/>
      <c r="C92" s="458">
        <f>I8</f>
        <v>44302</v>
      </c>
      <c r="D92" s="458"/>
      <c r="E92" s="458"/>
      <c r="F92" s="455" t="str">
        <f>A92</f>
        <v>Day 7</v>
      </c>
      <c r="G92" s="455"/>
      <c r="H92" s="74"/>
    </row>
    <row r="93" spans="1:8" ht="30">
      <c r="A93" s="455" t="s">
        <v>930</v>
      </c>
      <c r="B93" s="455"/>
      <c r="C93" s="231" t="str">
        <f>C74</f>
        <v>Mini team 1:ATM-5 / ATM-6 / ATM-7</v>
      </c>
      <c r="D93" s="231" t="str">
        <f>D74</f>
        <v>Full team: ATM-1 / ATM-2 / ATM-3 / ATM-4 /ATM-5 / ATM-6 / ATM-7 / ATM-8</v>
      </c>
      <c r="E93" s="231" t="str">
        <f>E74</f>
        <v>LA team: van Zyl, Pieter and ATMs if applicable</v>
      </c>
      <c r="F93" s="455" t="s">
        <v>931</v>
      </c>
      <c r="G93" s="455"/>
      <c r="H93" s="74"/>
    </row>
    <row r="94" spans="1:8" ht="18" customHeight="1">
      <c r="A94" s="70">
        <v>0.41666666666666669</v>
      </c>
      <c r="B94" s="70">
        <v>0.4375</v>
      </c>
      <c r="C94" s="444" t="s">
        <v>938</v>
      </c>
      <c r="D94" s="444"/>
      <c r="E94" s="444"/>
      <c r="F94" s="70">
        <v>0.16666666666666666</v>
      </c>
      <c r="G94" s="70">
        <v>0.1875</v>
      </c>
      <c r="H94" s="74"/>
    </row>
    <row r="95" spans="1:8" ht="18" customHeight="1">
      <c r="A95" s="70">
        <v>0.4375</v>
      </c>
      <c r="B95" s="70">
        <v>0.45833333333333331</v>
      </c>
      <c r="C95" s="438" t="s">
        <v>995</v>
      </c>
      <c r="D95" s="439"/>
      <c r="E95" s="440"/>
      <c r="F95" s="70">
        <v>0.1875</v>
      </c>
      <c r="G95" s="70">
        <v>0.20833333333333334</v>
      </c>
      <c r="H95" s="74"/>
    </row>
    <row r="96" spans="1:8" ht="18" customHeight="1">
      <c r="A96" s="70">
        <v>0.45833333333333331</v>
      </c>
      <c r="B96" s="70">
        <v>0.47916666666666669</v>
      </c>
      <c r="C96" s="441"/>
      <c r="D96" s="442"/>
      <c r="E96" s="443"/>
      <c r="F96" s="70">
        <v>0.20833333333333334</v>
      </c>
      <c r="G96" s="70">
        <v>0.22916666666666666</v>
      </c>
      <c r="H96" s="74"/>
    </row>
    <row r="97" spans="1:8" ht="18" customHeight="1">
      <c r="A97" s="70">
        <v>0.47916666666666669</v>
      </c>
      <c r="B97" s="70">
        <v>0.5</v>
      </c>
      <c r="C97" s="438" t="s">
        <v>996</v>
      </c>
      <c r="D97" s="439"/>
      <c r="E97" s="440"/>
      <c r="F97" s="70">
        <v>0.22916666666666666</v>
      </c>
      <c r="G97" s="70">
        <v>0.25</v>
      </c>
      <c r="H97" s="74"/>
    </row>
    <row r="98" spans="1:8" ht="18" customHeight="1">
      <c r="A98" s="70">
        <v>0.5</v>
      </c>
      <c r="B98" s="70">
        <v>0.52083333333333337</v>
      </c>
      <c r="C98" s="441"/>
      <c r="D98" s="442"/>
      <c r="E98" s="443"/>
      <c r="F98" s="70">
        <v>0.25</v>
      </c>
      <c r="G98" s="70">
        <v>0.27083333333333331</v>
      </c>
      <c r="H98" s="74"/>
    </row>
    <row r="99" spans="1:8" ht="18" customHeight="1">
      <c r="A99" s="70">
        <v>0.52083333333333337</v>
      </c>
      <c r="B99" s="70">
        <v>0.54166666666666663</v>
      </c>
      <c r="C99" s="445" t="s">
        <v>937</v>
      </c>
      <c r="D99" s="446"/>
      <c r="E99" s="447"/>
      <c r="F99" s="70">
        <v>0.27083333333333331</v>
      </c>
      <c r="G99" s="70">
        <v>0.29166666666666669</v>
      </c>
      <c r="H99" s="74"/>
    </row>
    <row r="100" spans="1:8" ht="18" customHeight="1">
      <c r="A100" s="70">
        <v>0.54166666666666663</v>
      </c>
      <c r="B100" s="70">
        <v>0.5625</v>
      </c>
      <c r="C100" s="451"/>
      <c r="D100" s="452"/>
      <c r="E100" s="453"/>
      <c r="F100" s="70">
        <v>0.29166666666666669</v>
      </c>
      <c r="G100" s="70">
        <v>0.3125</v>
      </c>
      <c r="H100" s="74"/>
    </row>
    <row r="101" spans="1:8" ht="18" customHeight="1">
      <c r="A101" s="70">
        <v>0.5625</v>
      </c>
      <c r="B101" s="70">
        <v>0.58333333333333337</v>
      </c>
      <c r="C101" s="445" t="s">
        <v>942</v>
      </c>
      <c r="D101" s="446"/>
      <c r="E101" s="447"/>
      <c r="F101" s="70">
        <v>0.3125</v>
      </c>
      <c r="G101" s="70">
        <v>0.33333333333333331</v>
      </c>
      <c r="H101" s="74"/>
    </row>
    <row r="102" spans="1:8" ht="18" customHeight="1">
      <c r="A102" s="70">
        <v>0.58333333333333337</v>
      </c>
      <c r="B102" s="70">
        <v>0.60416666666666663</v>
      </c>
      <c r="C102" s="448"/>
      <c r="D102" s="449"/>
      <c r="E102" s="450"/>
      <c r="F102" s="70">
        <v>0.33333333333333331</v>
      </c>
      <c r="G102" s="70">
        <v>0.35416666666666669</v>
      </c>
      <c r="H102" s="74"/>
    </row>
    <row r="103" spans="1:8" ht="18" customHeight="1">
      <c r="A103" s="70">
        <v>0.60416666666666663</v>
      </c>
      <c r="B103" s="70">
        <v>0.625</v>
      </c>
      <c r="C103" s="451"/>
      <c r="D103" s="452"/>
      <c r="E103" s="453"/>
      <c r="F103" s="70">
        <v>0.35416666666666669</v>
      </c>
      <c r="G103" s="70">
        <v>0.375</v>
      </c>
      <c r="H103" s="74"/>
    </row>
    <row r="104" spans="1:8" ht="18" customHeight="1">
      <c r="A104" s="70">
        <v>0.625</v>
      </c>
      <c r="B104" s="70">
        <v>0.64583333333333337</v>
      </c>
      <c r="C104" s="454" t="s">
        <v>997</v>
      </c>
      <c r="D104" s="454"/>
      <c r="E104" s="454"/>
      <c r="F104" s="70">
        <v>0.375</v>
      </c>
      <c r="G104" s="70">
        <v>0.39583333333333331</v>
      </c>
      <c r="H104" s="74"/>
    </row>
    <row r="105" spans="1:8" ht="18" customHeight="1">
      <c r="A105" s="70">
        <v>0.64583333333333337</v>
      </c>
      <c r="B105" s="70">
        <v>0.66666666666666663</v>
      </c>
      <c r="C105" s="454"/>
      <c r="D105" s="454"/>
      <c r="E105" s="454"/>
      <c r="F105" s="70">
        <v>0.39583333333333331</v>
      </c>
      <c r="G105" s="70">
        <v>0.41666666666666669</v>
      </c>
      <c r="H105" s="74"/>
    </row>
    <row r="106" spans="1:8" ht="18" customHeight="1">
      <c r="A106" s="70">
        <v>0.66666666666666663</v>
      </c>
      <c r="B106" s="70">
        <v>0.6875</v>
      </c>
      <c r="C106" s="444" t="s">
        <v>943</v>
      </c>
      <c r="D106" s="444"/>
      <c r="E106" s="444"/>
      <c r="F106" s="70">
        <v>0.41666666666666669</v>
      </c>
      <c r="G106" s="70">
        <v>0.4375</v>
      </c>
      <c r="H106" s="74"/>
    </row>
    <row r="107" spans="1:8" ht="18" customHeight="1">
      <c r="A107" s="70">
        <v>0.6875</v>
      </c>
      <c r="B107" s="70">
        <v>0.70833333333333337</v>
      </c>
      <c r="C107" s="444"/>
      <c r="D107" s="444"/>
      <c r="E107" s="444"/>
      <c r="F107" s="70">
        <v>0.4375</v>
      </c>
      <c r="G107" s="70">
        <v>0.45833333333333331</v>
      </c>
      <c r="H107" s="74"/>
    </row>
    <row r="108" spans="1:8" ht="18" customHeight="1">
      <c r="A108" s="70">
        <v>0.70833333333333337</v>
      </c>
      <c r="B108" s="70">
        <v>0.72916666666666663</v>
      </c>
      <c r="C108" s="444" t="s">
        <v>944</v>
      </c>
      <c r="D108" s="444"/>
      <c r="E108" s="444"/>
      <c r="F108" s="70">
        <v>0.45833333333333331</v>
      </c>
      <c r="G108" s="70">
        <v>0.47916666666666669</v>
      </c>
      <c r="H108" s="74"/>
    </row>
    <row r="109" spans="1:8" ht="18" customHeight="1">
      <c r="A109" s="70">
        <v>0.72916666666666663</v>
      </c>
      <c r="B109" s="70">
        <v>0.75</v>
      </c>
      <c r="C109" s="444"/>
      <c r="D109" s="444"/>
      <c r="E109" s="444"/>
      <c r="F109" s="70">
        <v>0.47916666666666669</v>
      </c>
      <c r="G109" s="70">
        <v>0.5</v>
      </c>
      <c r="H109" s="74"/>
    </row>
    <row r="110" spans="1:8" ht="18" customHeight="1">
      <c r="A110" s="70">
        <v>0.75</v>
      </c>
      <c r="B110" s="70">
        <v>0.83333333333333337</v>
      </c>
      <c r="C110" s="444"/>
      <c r="D110" s="444"/>
      <c r="E110" s="444"/>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ColWidth="8.7109375" defaultRowHeight="15"/>
  <cols>
    <col min="1" max="16384" width="8.7109375" style="8"/>
  </cols>
  <sheetData>
    <row r="1" spans="1:8" ht="15.75" thickBot="1">
      <c r="A1" s="8" t="s">
        <v>1444</v>
      </c>
    </row>
    <row r="2" spans="1:8">
      <c r="A2" s="332" t="s">
        <v>1445</v>
      </c>
      <c r="B2" s="333">
        <f>Planning!B27</f>
        <v>44296</v>
      </c>
      <c r="C2" s="334">
        <f>B2+1</f>
        <v>44297</v>
      </c>
      <c r="D2" s="334">
        <f t="shared" ref="D2:G2" si="0">C2+1</f>
        <v>44298</v>
      </c>
      <c r="E2" s="334">
        <f t="shared" si="0"/>
        <v>44299</v>
      </c>
      <c r="F2" s="334">
        <f t="shared" si="0"/>
        <v>44300</v>
      </c>
      <c r="G2" s="334">
        <f t="shared" si="0"/>
        <v>44301</v>
      </c>
      <c r="H2" s="335" t="s">
        <v>1446</v>
      </c>
    </row>
    <row r="3" spans="1:8" ht="30">
      <c r="A3" s="336">
        <v>0.41666666666666702</v>
      </c>
      <c r="B3" s="492" t="s">
        <v>1447</v>
      </c>
      <c r="C3" s="337" t="s">
        <v>1448</v>
      </c>
      <c r="D3" s="338" t="s">
        <v>1449</v>
      </c>
      <c r="E3" s="338" t="s">
        <v>1449</v>
      </c>
      <c r="F3" s="479" t="s">
        <v>1450</v>
      </c>
      <c r="G3" s="479" t="s">
        <v>1451</v>
      </c>
      <c r="H3" s="339">
        <f t="shared" ref="H3:H19" si="1">+A3-0.25</f>
        <v>0.16666666666666702</v>
      </c>
    </row>
    <row r="4" spans="1:8">
      <c r="A4" s="336">
        <v>0.4375</v>
      </c>
      <c r="B4" s="492"/>
      <c r="C4" s="340" t="s">
        <v>1452</v>
      </c>
      <c r="D4" s="480" t="s">
        <v>1453</v>
      </c>
      <c r="E4" s="480" t="s">
        <v>1454</v>
      </c>
      <c r="F4" s="479"/>
      <c r="G4" s="479"/>
      <c r="H4" s="339">
        <f t="shared" si="1"/>
        <v>0.1875</v>
      </c>
    </row>
    <row r="5" spans="1:8">
      <c r="A5" s="336">
        <v>0.45833333333333398</v>
      </c>
      <c r="B5" s="493" t="s">
        <v>1455</v>
      </c>
      <c r="C5" s="491" t="s">
        <v>1456</v>
      </c>
      <c r="D5" s="480"/>
      <c r="E5" s="480"/>
      <c r="F5" s="479"/>
      <c r="G5" s="479"/>
      <c r="H5" s="339">
        <f t="shared" si="1"/>
        <v>0.20833333333333398</v>
      </c>
    </row>
    <row r="6" spans="1:8">
      <c r="A6" s="336">
        <v>0.47916666666666702</v>
      </c>
      <c r="B6" s="493"/>
      <c r="C6" s="491"/>
      <c r="D6" s="480"/>
      <c r="E6" s="480"/>
      <c r="F6" s="479"/>
      <c r="G6" s="337" t="s">
        <v>1452</v>
      </c>
      <c r="H6" s="339">
        <f t="shared" si="1"/>
        <v>0.22916666666666702</v>
      </c>
    </row>
    <row r="7" spans="1:8">
      <c r="A7" s="336">
        <v>0.5</v>
      </c>
      <c r="B7" s="493"/>
      <c r="C7" s="480" t="s">
        <v>1457</v>
      </c>
      <c r="D7" s="480"/>
      <c r="E7" s="480"/>
      <c r="F7" s="487" t="s">
        <v>937</v>
      </c>
      <c r="G7" s="487" t="s">
        <v>937</v>
      </c>
      <c r="H7" s="339">
        <f t="shared" si="1"/>
        <v>0.25</v>
      </c>
    </row>
    <row r="8" spans="1:8" ht="30">
      <c r="A8" s="336">
        <v>0.52083333333333404</v>
      </c>
      <c r="B8" s="341" t="s">
        <v>1447</v>
      </c>
      <c r="C8" s="480"/>
      <c r="D8" s="480"/>
      <c r="E8" s="480"/>
      <c r="F8" s="487"/>
      <c r="G8" s="487"/>
      <c r="H8" s="339">
        <f t="shared" si="1"/>
        <v>0.27083333333333404</v>
      </c>
    </row>
    <row r="9" spans="1:8">
      <c r="A9" s="336">
        <v>0.54166666666666696</v>
      </c>
      <c r="B9" s="486" t="s">
        <v>937</v>
      </c>
      <c r="C9" s="487" t="s">
        <v>937</v>
      </c>
      <c r="D9" s="487" t="s">
        <v>937</v>
      </c>
      <c r="E9" s="487" t="s">
        <v>937</v>
      </c>
      <c r="F9" s="337" t="s">
        <v>1452</v>
      </c>
      <c r="G9" s="491" t="s">
        <v>794</v>
      </c>
      <c r="H9" s="339">
        <f t="shared" si="1"/>
        <v>0.29166666666666696</v>
      </c>
    </row>
    <row r="10" spans="1:8">
      <c r="A10" s="336">
        <v>0.5625</v>
      </c>
      <c r="B10" s="486"/>
      <c r="C10" s="487"/>
      <c r="D10" s="487"/>
      <c r="E10" s="487"/>
      <c r="F10" s="491" t="s">
        <v>1458</v>
      </c>
      <c r="G10" s="491"/>
      <c r="H10" s="339">
        <f t="shared" si="1"/>
        <v>0.3125</v>
      </c>
    </row>
    <row r="11" spans="1:8">
      <c r="A11" s="336">
        <v>0.58333333333333304</v>
      </c>
      <c r="B11" s="492" t="s">
        <v>1459</v>
      </c>
      <c r="C11" s="480" t="s">
        <v>1460</v>
      </c>
      <c r="D11" s="480" t="s">
        <v>1461</v>
      </c>
      <c r="E11" s="480" t="s">
        <v>1462</v>
      </c>
      <c r="F11" s="491"/>
      <c r="G11" s="479" t="s">
        <v>1463</v>
      </c>
      <c r="H11" s="339">
        <f t="shared" si="1"/>
        <v>0.33333333333333304</v>
      </c>
    </row>
    <row r="12" spans="1:8">
      <c r="A12" s="336">
        <v>0.60416666666666696</v>
      </c>
      <c r="B12" s="492"/>
      <c r="C12" s="480"/>
      <c r="D12" s="480"/>
      <c r="E12" s="480"/>
      <c r="F12" s="491" t="s">
        <v>1464</v>
      </c>
      <c r="G12" s="479"/>
      <c r="H12" s="339">
        <f t="shared" si="1"/>
        <v>0.35416666666666696</v>
      </c>
    </row>
    <row r="13" spans="1:8">
      <c r="A13" s="336">
        <v>0.625</v>
      </c>
      <c r="B13" s="492"/>
      <c r="C13" s="480"/>
      <c r="D13" s="480" t="s">
        <v>1465</v>
      </c>
      <c r="E13" s="480"/>
      <c r="F13" s="491"/>
      <c r="G13" s="479"/>
      <c r="H13" s="339">
        <f t="shared" si="1"/>
        <v>0.375</v>
      </c>
    </row>
    <row r="14" spans="1:8">
      <c r="A14" s="336">
        <v>0.64583333333333304</v>
      </c>
      <c r="B14" s="492"/>
      <c r="C14" s="480"/>
      <c r="D14" s="480"/>
      <c r="E14" s="480"/>
      <c r="F14" s="479" t="s">
        <v>1451</v>
      </c>
      <c r="G14" s="494" t="s">
        <v>1466</v>
      </c>
      <c r="H14" s="339">
        <f t="shared" si="1"/>
        <v>0.39583333333333304</v>
      </c>
    </row>
    <row r="15" spans="1:8">
      <c r="A15" s="336">
        <v>0.66666666666666696</v>
      </c>
      <c r="B15" s="492"/>
      <c r="C15" s="340" t="s">
        <v>1452</v>
      </c>
      <c r="D15" s="480"/>
      <c r="E15" s="479" t="s">
        <v>1450</v>
      </c>
      <c r="F15" s="479"/>
      <c r="G15" s="494"/>
      <c r="H15" s="339">
        <f t="shared" si="1"/>
        <v>0.41666666666666696</v>
      </c>
    </row>
    <row r="16" spans="1:8">
      <c r="A16" s="336">
        <v>0.6875</v>
      </c>
      <c r="B16" s="492"/>
      <c r="C16" s="480" t="s">
        <v>1467</v>
      </c>
      <c r="D16" s="480" t="s">
        <v>1468</v>
      </c>
      <c r="E16" s="479"/>
      <c r="F16" s="479"/>
      <c r="G16" s="494"/>
      <c r="H16" s="339">
        <f t="shared" si="1"/>
        <v>0.4375</v>
      </c>
    </row>
    <row r="17" spans="1:8">
      <c r="A17" s="336">
        <v>0.70833333333333304</v>
      </c>
      <c r="B17" s="342" t="s">
        <v>1469</v>
      </c>
      <c r="C17" s="480"/>
      <c r="D17" s="480"/>
      <c r="E17" s="479"/>
      <c r="F17" s="479"/>
      <c r="G17" s="494"/>
      <c r="H17" s="339">
        <f t="shared" si="1"/>
        <v>0.45833333333333304</v>
      </c>
    </row>
    <row r="18" spans="1:8">
      <c r="A18" s="336">
        <v>0.72916666666666663</v>
      </c>
      <c r="B18" s="343" t="s">
        <v>1449</v>
      </c>
      <c r="C18" s="338" t="s">
        <v>1449</v>
      </c>
      <c r="D18" s="338" t="s">
        <v>1449</v>
      </c>
      <c r="E18" s="338" t="s">
        <v>1449</v>
      </c>
      <c r="F18" s="338" t="s">
        <v>1449</v>
      </c>
      <c r="G18" s="494"/>
      <c r="H18" s="339">
        <f t="shared" si="1"/>
        <v>0.47916666666666663</v>
      </c>
    </row>
    <row r="19" spans="1:8" ht="15.75" thickBot="1">
      <c r="A19" s="344">
        <v>0.75</v>
      </c>
      <c r="B19" s="488" t="s">
        <v>939</v>
      </c>
      <c r="C19" s="489"/>
      <c r="D19" s="489"/>
      <c r="E19" s="489"/>
      <c r="F19" s="489"/>
      <c r="G19" s="489"/>
      <c r="H19" s="345">
        <f t="shared" si="1"/>
        <v>0.5</v>
      </c>
    </row>
    <row r="21" spans="1:8" ht="15.75" thickBot="1">
      <c r="A21" s="8" t="s">
        <v>1470</v>
      </c>
    </row>
    <row r="22" spans="1:8">
      <c r="A22" s="332" t="s">
        <v>1445</v>
      </c>
      <c r="B22" s="333">
        <f>Planning!B27</f>
        <v>44296</v>
      </c>
      <c r="C22" s="333">
        <f>B22+1</f>
        <v>44297</v>
      </c>
      <c r="D22" s="333">
        <f t="shared" ref="D22:F22" si="2">C22+1</f>
        <v>44298</v>
      </c>
      <c r="E22" s="333">
        <f t="shared" si="2"/>
        <v>44299</v>
      </c>
      <c r="F22" s="333">
        <f t="shared" si="2"/>
        <v>44300</v>
      </c>
      <c r="G22" s="333">
        <f>F22+1</f>
        <v>44301</v>
      </c>
      <c r="H22" s="335" t="s">
        <v>1446</v>
      </c>
    </row>
    <row r="23" spans="1:8" ht="30">
      <c r="A23" s="336">
        <v>0.41666666666666702</v>
      </c>
      <c r="B23" s="492" t="s">
        <v>1447</v>
      </c>
      <c r="C23" s="337" t="s">
        <v>1448</v>
      </c>
      <c r="D23" s="338" t="s">
        <v>1449</v>
      </c>
      <c r="E23" s="338" t="s">
        <v>1449</v>
      </c>
      <c r="F23" s="481" t="s">
        <v>1450</v>
      </c>
      <c r="G23" s="481" t="s">
        <v>1451</v>
      </c>
      <c r="H23" s="339">
        <f t="shared" ref="H23:H39" si="3">+A23-0.25</f>
        <v>0.16666666666666702</v>
      </c>
    </row>
    <row r="24" spans="1:8">
      <c r="A24" s="336">
        <v>0.4375</v>
      </c>
      <c r="B24" s="492"/>
      <c r="C24" s="340" t="s">
        <v>1452</v>
      </c>
      <c r="D24" s="480" t="s">
        <v>1453</v>
      </c>
      <c r="E24" s="480" t="s">
        <v>1454</v>
      </c>
      <c r="F24" s="490"/>
      <c r="G24" s="490"/>
      <c r="H24" s="339">
        <f t="shared" si="3"/>
        <v>0.1875</v>
      </c>
    </row>
    <row r="25" spans="1:8">
      <c r="A25" s="336">
        <v>0.45833333333333398</v>
      </c>
      <c r="B25" s="493" t="s">
        <v>1455</v>
      </c>
      <c r="C25" s="491" t="s">
        <v>1456</v>
      </c>
      <c r="D25" s="480"/>
      <c r="E25" s="480"/>
      <c r="F25" s="490"/>
      <c r="G25" s="490"/>
      <c r="H25" s="339">
        <f t="shared" si="3"/>
        <v>0.20833333333333398</v>
      </c>
    </row>
    <row r="26" spans="1:8">
      <c r="A26" s="336">
        <v>0.47916666666666702</v>
      </c>
      <c r="B26" s="493"/>
      <c r="C26" s="491"/>
      <c r="D26" s="480"/>
      <c r="E26" s="480"/>
      <c r="F26" s="490"/>
      <c r="G26" s="490"/>
      <c r="H26" s="339">
        <f t="shared" si="3"/>
        <v>0.22916666666666702</v>
      </c>
    </row>
    <row r="27" spans="1:8">
      <c r="A27" s="336">
        <v>0.5</v>
      </c>
      <c r="B27" s="493"/>
      <c r="C27" s="480" t="s">
        <v>1457</v>
      </c>
      <c r="D27" s="480"/>
      <c r="E27" s="480"/>
      <c r="F27" s="490"/>
      <c r="G27" s="490"/>
      <c r="H27" s="339">
        <f t="shared" si="3"/>
        <v>0.25</v>
      </c>
    </row>
    <row r="28" spans="1:8" ht="30">
      <c r="A28" s="336">
        <v>0.52083333333333404</v>
      </c>
      <c r="B28" s="341" t="s">
        <v>1447</v>
      </c>
      <c r="C28" s="480"/>
      <c r="D28" s="480"/>
      <c r="E28" s="480"/>
      <c r="F28" s="482"/>
      <c r="G28" s="482"/>
      <c r="H28" s="339">
        <f t="shared" si="3"/>
        <v>0.27083333333333404</v>
      </c>
    </row>
    <row r="29" spans="1:8">
      <c r="A29" s="336">
        <v>0.54166666666666696</v>
      </c>
      <c r="B29" s="486" t="s">
        <v>937</v>
      </c>
      <c r="C29" s="487" t="s">
        <v>937</v>
      </c>
      <c r="D29" s="487" t="s">
        <v>937</v>
      </c>
      <c r="E29" s="487" t="s">
        <v>937</v>
      </c>
      <c r="F29" s="487" t="s">
        <v>937</v>
      </c>
      <c r="G29" s="487" t="s">
        <v>937</v>
      </c>
      <c r="H29" s="339">
        <f t="shared" si="3"/>
        <v>0.29166666666666696</v>
      </c>
    </row>
    <row r="30" spans="1:8">
      <c r="A30" s="336">
        <v>0.5625</v>
      </c>
      <c r="B30" s="486"/>
      <c r="C30" s="487"/>
      <c r="D30" s="487"/>
      <c r="E30" s="487"/>
      <c r="F30" s="487"/>
      <c r="G30" s="487"/>
      <c r="H30" s="339">
        <f t="shared" si="3"/>
        <v>0.3125</v>
      </c>
    </row>
    <row r="31" spans="1:8">
      <c r="A31" s="336">
        <v>0.58333333333333304</v>
      </c>
      <c r="B31" s="481" t="s">
        <v>1459</v>
      </c>
      <c r="C31" s="480" t="s">
        <v>1460</v>
      </c>
      <c r="D31" s="480" t="s">
        <v>1461</v>
      </c>
      <c r="E31" s="480" t="s">
        <v>1462</v>
      </c>
      <c r="F31" s="338" t="s">
        <v>1452</v>
      </c>
      <c r="G31" s="338" t="s">
        <v>1452</v>
      </c>
      <c r="H31" s="339">
        <f t="shared" si="3"/>
        <v>0.33333333333333304</v>
      </c>
    </row>
    <row r="32" spans="1:8">
      <c r="A32" s="336">
        <v>0.60416666666666696</v>
      </c>
      <c r="B32" s="490"/>
      <c r="C32" s="480"/>
      <c r="D32" s="480"/>
      <c r="E32" s="480"/>
      <c r="F32" s="491" t="s">
        <v>1458</v>
      </c>
      <c r="G32" s="491" t="s">
        <v>794</v>
      </c>
      <c r="H32" s="339">
        <f t="shared" si="3"/>
        <v>0.35416666666666696</v>
      </c>
    </row>
    <row r="33" spans="1:8">
      <c r="A33" s="336">
        <v>0.625</v>
      </c>
      <c r="B33" s="490"/>
      <c r="C33" s="480"/>
      <c r="D33" s="480" t="s">
        <v>1465</v>
      </c>
      <c r="E33" s="480"/>
      <c r="F33" s="491"/>
      <c r="G33" s="491"/>
      <c r="H33" s="339">
        <f t="shared" si="3"/>
        <v>0.375</v>
      </c>
    </row>
    <row r="34" spans="1:8">
      <c r="A34" s="336">
        <v>0.64583333333333304</v>
      </c>
      <c r="B34" s="490"/>
      <c r="C34" s="480"/>
      <c r="D34" s="480"/>
      <c r="E34" s="480"/>
      <c r="F34" s="491" t="s">
        <v>1464</v>
      </c>
      <c r="G34" s="483" t="s">
        <v>1471</v>
      </c>
      <c r="H34" s="339">
        <f t="shared" si="3"/>
        <v>0.39583333333333304</v>
      </c>
    </row>
    <row r="35" spans="1:8">
      <c r="A35" s="336">
        <v>0.66666666666666696</v>
      </c>
      <c r="B35" s="482"/>
      <c r="C35" s="340" t="s">
        <v>1452</v>
      </c>
      <c r="D35" s="480"/>
      <c r="E35" s="479" t="s">
        <v>1450</v>
      </c>
      <c r="F35" s="491"/>
      <c r="G35" s="484"/>
      <c r="H35" s="339">
        <f t="shared" si="3"/>
        <v>0.41666666666666696</v>
      </c>
    </row>
    <row r="36" spans="1:8">
      <c r="A36" s="336">
        <v>0.6875</v>
      </c>
      <c r="B36" s="346" t="s">
        <v>1472</v>
      </c>
      <c r="C36" s="480" t="s">
        <v>1467</v>
      </c>
      <c r="D36" s="480" t="s">
        <v>1468</v>
      </c>
      <c r="E36" s="479"/>
      <c r="F36" s="481" t="s">
        <v>1451</v>
      </c>
      <c r="G36" s="483" t="s">
        <v>1473</v>
      </c>
      <c r="H36" s="339">
        <f t="shared" si="3"/>
        <v>0.4375</v>
      </c>
    </row>
    <row r="37" spans="1:8">
      <c r="A37" s="336">
        <v>0.70833333333333304</v>
      </c>
      <c r="B37" s="342" t="s">
        <v>1469</v>
      </c>
      <c r="C37" s="480"/>
      <c r="D37" s="480"/>
      <c r="E37" s="479"/>
      <c r="F37" s="482"/>
      <c r="G37" s="484"/>
      <c r="H37" s="339">
        <f t="shared" si="3"/>
        <v>0.45833333333333304</v>
      </c>
    </row>
    <row r="38" spans="1:8">
      <c r="A38" s="336">
        <v>0.72916666666666663</v>
      </c>
      <c r="B38" s="343" t="s">
        <v>1449</v>
      </c>
      <c r="C38" s="338" t="s">
        <v>1449</v>
      </c>
      <c r="D38" s="338" t="s">
        <v>1449</v>
      </c>
      <c r="E38" s="338" t="s">
        <v>1449</v>
      </c>
      <c r="F38" s="338" t="s">
        <v>1449</v>
      </c>
      <c r="G38" s="485"/>
      <c r="H38" s="339">
        <f t="shared" si="3"/>
        <v>0.47916666666666663</v>
      </c>
    </row>
    <row r="39" spans="1:8" ht="15.75" thickBot="1">
      <c r="A39" s="344">
        <v>0.75</v>
      </c>
      <c r="B39" s="488" t="s">
        <v>939</v>
      </c>
      <c r="C39" s="489"/>
      <c r="D39" s="489"/>
      <c r="E39" s="489"/>
      <c r="F39" s="489"/>
      <c r="G39" s="489"/>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5"/>
  <cols>
    <col min="1" max="1" width="26.7109375" customWidth="1"/>
    <col min="2" max="2" width="19.28515625" style="129" customWidth="1"/>
    <col min="3" max="3" width="29.28515625" customWidth="1"/>
    <col min="4" max="4" width="4.42578125" style="128" customWidth="1"/>
    <col min="5" max="24" width="4.28515625" style="128" customWidth="1"/>
  </cols>
  <sheetData>
    <row r="1" spans="1:24" ht="50.6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19" t="s">
        <v>411</v>
      </c>
      <c r="S5" s="419"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19" t="s">
        <v>411</v>
      </c>
    </row>
    <row r="7" spans="1:24">
      <c r="A7" s="129" t="str">
        <f>'P1PA-SS'!A93</f>
        <v>Appraisal team member</v>
      </c>
      <c r="B7" s="131" t="str">
        <f>'P1PA-SS'!B93</f>
        <v>ATM-3</v>
      </c>
      <c r="C7" s="129" t="str">
        <f>'P1PA-SS'!V93</f>
        <v>atm3.email@gmail.com</v>
      </c>
      <c r="D7" s="128">
        <f t="shared" si="1"/>
        <v>3</v>
      </c>
      <c r="H7" s="419" t="s">
        <v>411</v>
      </c>
      <c r="T7" s="419" t="s">
        <v>411</v>
      </c>
      <c r="U7" s="419" t="s">
        <v>411</v>
      </c>
    </row>
    <row r="8" spans="1:24" s="129" customFormat="1">
      <c r="A8" s="129" t="str">
        <f>'P1PA-SS'!A94</f>
        <v>Appraisal team member</v>
      </c>
      <c r="B8" s="131" t="str">
        <f>'P1PA-SS'!B94</f>
        <v>ATM-4</v>
      </c>
      <c r="C8" s="129" t="str">
        <f>'P1PA-SS'!V94</f>
        <v>atm4.email@gmail.com</v>
      </c>
      <c r="D8" s="128">
        <f t="shared" si="1"/>
        <v>5</v>
      </c>
      <c r="E8" s="419" t="s">
        <v>411</v>
      </c>
      <c r="F8" s="419" t="s">
        <v>411</v>
      </c>
      <c r="G8" s="128"/>
      <c r="H8" s="128"/>
      <c r="I8" s="419" t="s">
        <v>411</v>
      </c>
      <c r="J8" s="128"/>
      <c r="K8" s="128"/>
      <c r="L8" s="128"/>
      <c r="M8" s="128"/>
      <c r="N8" s="419" t="s">
        <v>411</v>
      </c>
      <c r="O8" s="419"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19" t="s">
        <v>411</v>
      </c>
      <c r="M9" s="419" t="s">
        <v>411</v>
      </c>
      <c r="N9" s="128"/>
      <c r="O9" s="128"/>
      <c r="P9" s="419" t="s">
        <v>411</v>
      </c>
      <c r="Q9" s="419" t="s">
        <v>411</v>
      </c>
      <c r="R9" s="419"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19" t="s">
        <v>411</v>
      </c>
      <c r="M10" s="419" t="s">
        <v>411</v>
      </c>
      <c r="N10" s="128"/>
      <c r="O10" s="128"/>
      <c r="P10" s="419" t="s">
        <v>411</v>
      </c>
      <c r="Q10" s="419" t="s">
        <v>411</v>
      </c>
      <c r="R10" s="419"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19" t="s">
        <v>411</v>
      </c>
      <c r="M11" s="419" t="s">
        <v>411</v>
      </c>
      <c r="N11" s="128"/>
      <c r="O11" s="128"/>
      <c r="P11" s="419" t="s">
        <v>411</v>
      </c>
      <c r="Q11" s="419" t="s">
        <v>411</v>
      </c>
      <c r="R11" s="419"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19"/>
      <c r="M12" s="419"/>
      <c r="N12" s="128"/>
      <c r="O12" s="128"/>
      <c r="P12" s="419"/>
      <c r="Q12" s="419"/>
      <c r="R12" s="419"/>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19"/>
      <c r="M13" s="419"/>
      <c r="N13" s="128"/>
      <c r="O13" s="128"/>
      <c r="P13" s="419"/>
      <c r="Q13" s="419"/>
      <c r="R13" s="419"/>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1648</v>
      </c>
    </row>
    <row r="22" spans="1:24">
      <c r="C22" s="419" t="s">
        <v>1649</v>
      </c>
    </row>
    <row r="23" spans="1:24">
      <c r="C23" s="149" t="s">
        <v>1650</v>
      </c>
    </row>
    <row r="24" spans="1:24">
      <c r="C24" s="284" t="s">
        <v>1651</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109375" defaultRowHeight="15"/>
  <cols>
    <col min="1" max="1" width="27.28515625" style="125" customWidth="1"/>
    <col min="2" max="2" width="65.7109375" style="125" customWidth="1"/>
    <col min="3" max="4" width="27.28515625" style="125" customWidth="1"/>
    <col min="5" max="16384" width="8.7109375" style="125"/>
  </cols>
  <sheetData>
    <row r="1" spans="1:22" s="117" customFormat="1">
      <c r="A1" s="118" t="s">
        <v>1427</v>
      </c>
      <c r="B1" s="118"/>
      <c r="C1" s="118"/>
      <c r="D1" s="118"/>
    </row>
    <row r="2" spans="1:22" s="117" customFormat="1">
      <c r="A2" s="28" t="s">
        <v>1416</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1417</v>
      </c>
      <c r="C3" s="330" t="s">
        <v>1418</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1396</v>
      </c>
      <c r="B7" s="64">
        <v>6</v>
      </c>
      <c r="C7" s="330" t="str">
        <f t="shared" si="0"/>
        <v>Engineers (6)</v>
      </c>
    </row>
    <row r="8" spans="1:22">
      <c r="A8" s="125" t="s">
        <v>1415</v>
      </c>
      <c r="B8" s="64">
        <v>1</v>
      </c>
      <c r="C8" s="330" t="str">
        <f t="shared" si="0"/>
        <v>EPG (1)</v>
      </c>
    </row>
    <row r="9" spans="1:22">
      <c r="A9" s="125" t="s">
        <v>753</v>
      </c>
      <c r="B9" s="64">
        <v>1</v>
      </c>
      <c r="C9" s="330" t="str">
        <f t="shared" si="0"/>
        <v>OT (1)</v>
      </c>
    </row>
    <row r="10" spans="1:22">
      <c r="A10" s="125" t="s">
        <v>1420</v>
      </c>
      <c r="B10" s="64">
        <v>1</v>
      </c>
      <c r="C10" s="330" t="str">
        <f t="shared" si="0"/>
        <v>OUC (1)</v>
      </c>
    </row>
    <row r="11" spans="1:22">
      <c r="A11" s="125" t="s">
        <v>1403</v>
      </c>
      <c r="B11" s="64">
        <v>2</v>
      </c>
      <c r="C11" s="330" t="str">
        <f t="shared" si="0"/>
        <v>PMs (2)</v>
      </c>
    </row>
    <row r="12" spans="1:22">
      <c r="A12" s="125" t="s">
        <v>752</v>
      </c>
      <c r="B12" s="64">
        <v>1</v>
      </c>
      <c r="C12" s="330" t="str">
        <f t="shared" si="0"/>
        <v>PPQA (1)</v>
      </c>
    </row>
    <row r="13" spans="1:22">
      <c r="A13" s="125" t="s">
        <v>1419</v>
      </c>
      <c r="B13" s="64">
        <v>2</v>
      </c>
      <c r="C13" s="330" t="str">
        <f t="shared" si="0"/>
        <v>SM (2)</v>
      </c>
    </row>
    <row r="14" spans="1:22">
      <c r="A14" s="125" t="s">
        <v>593</v>
      </c>
      <c r="B14" s="64">
        <v>1</v>
      </c>
      <c r="C14" s="330" t="str">
        <f t="shared" si="0"/>
        <v>Sponsor (1)</v>
      </c>
    </row>
    <row r="15" spans="1:22">
      <c r="A15" s="125" t="s">
        <v>1421</v>
      </c>
      <c r="B15" s="64">
        <v>1</v>
      </c>
      <c r="C15" s="330" t="str">
        <f t="shared" si="0"/>
        <v>RI (1)</v>
      </c>
    </row>
    <row r="16" spans="1:22">
      <c r="A16" s="125" t="s">
        <v>1422</v>
      </c>
      <c r="B16" s="330">
        <f>B7+B6</f>
        <v>7</v>
      </c>
      <c r="C16" s="330" t="str">
        <f t="shared" si="0"/>
        <v>ParticipantsPrelim1 (7)</v>
      </c>
    </row>
    <row r="17" spans="1:22">
      <c r="A17" s="125" t="s">
        <v>1423</v>
      </c>
      <c r="B17" s="330">
        <f>B8+B9+B11+B12</f>
        <v>5</v>
      </c>
      <c r="C17" s="330" t="str">
        <f t="shared" si="0"/>
        <v>ParticipantsPrelim2 (5)</v>
      </c>
    </row>
    <row r="18" spans="1:22">
      <c r="A18" s="125" t="s">
        <v>1426</v>
      </c>
      <c r="B18" s="64">
        <v>5</v>
      </c>
      <c r="C18" s="330" t="str">
        <f t="shared" si="0"/>
        <v>ParticipantsTechTest (5)</v>
      </c>
    </row>
    <row r="19" spans="1:22">
      <c r="A19" s="125" t="s">
        <v>1424</v>
      </c>
      <c r="B19" s="330">
        <f>B13+B12+B11+B10+B9+B7+B6+B5</f>
        <v>18</v>
      </c>
      <c r="C19" s="330" t="str">
        <f t="shared" si="0"/>
        <v>ParticipantsOpen (18)</v>
      </c>
    </row>
    <row r="20" spans="1:22">
      <c r="A20" s="125" t="s">
        <v>1425</v>
      </c>
      <c r="B20" s="330">
        <f>B14+B13+B12+B11+B10+B8+B7+B6</f>
        <v>15</v>
      </c>
      <c r="C20" s="330" t="str">
        <f t="shared" si="0"/>
        <v>ParticipantsFinal (15)</v>
      </c>
    </row>
    <row r="21" spans="1:22" s="238" customFormat="1">
      <c r="B21" s="331"/>
      <c r="C21" s="331"/>
    </row>
    <row r="22" spans="1:22" s="117" customFormat="1">
      <c r="A22" s="28" t="s">
        <v>1428</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1386</v>
      </c>
      <c r="B23" s="14" t="s">
        <v>1387</v>
      </c>
      <c r="C23" s="14" t="s">
        <v>1388</v>
      </c>
      <c r="D23" s="14" t="s">
        <v>1389</v>
      </c>
    </row>
    <row r="24" spans="1:22">
      <c r="A24" s="125" t="s">
        <v>1390</v>
      </c>
      <c r="B24" s="87" t="str">
        <f>C4</f>
        <v>ATL (1)</v>
      </c>
      <c r="C24" s="125" t="s">
        <v>1391</v>
      </c>
      <c r="D24" s="125">
        <v>120</v>
      </c>
    </row>
    <row r="25" spans="1:22">
      <c r="A25" s="125" t="s">
        <v>1390</v>
      </c>
      <c r="B25" s="87" t="str">
        <f>C5</f>
        <v>ATM (4)</v>
      </c>
      <c r="C25" s="125" t="s">
        <v>1391</v>
      </c>
      <c r="D25" s="125">
        <v>8</v>
      </c>
    </row>
    <row r="26" spans="1:22">
      <c r="A26" s="125" t="s">
        <v>1392</v>
      </c>
      <c r="B26" s="87" t="str">
        <f>_xlfn.CONCAT(C4,", ",C5,", ",C15)</f>
        <v>ATL (1), ATM (4), RI (1)</v>
      </c>
      <c r="C26" s="125" t="s">
        <v>1393</v>
      </c>
      <c r="D26" s="125">
        <v>8</v>
      </c>
    </row>
    <row r="27" spans="1:22">
      <c r="A27" s="125" t="s">
        <v>751</v>
      </c>
      <c r="B27" s="87" t="str">
        <f>_xlfn.CONCAT(B26,", ",C6)</f>
        <v>ATL (1), ATM (4), RI (1), CM (1)</v>
      </c>
      <c r="C27" s="125" t="s">
        <v>615</v>
      </c>
      <c r="D27" s="125">
        <v>1</v>
      </c>
    </row>
    <row r="28" spans="1:22">
      <c r="A28" s="125" t="s">
        <v>1394</v>
      </c>
      <c r="B28" s="87" t="str">
        <f>B26</f>
        <v>ATL (1), ATM (4), RI (1)</v>
      </c>
      <c r="C28" s="125" t="s">
        <v>1395</v>
      </c>
      <c r="D28" s="125">
        <v>12</v>
      </c>
    </row>
    <row r="29" spans="1:22">
      <c r="A29" s="125" t="s">
        <v>1396</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1397</v>
      </c>
      <c r="B32" s="87" t="str">
        <f>B26</f>
        <v>ATL (1), ATM (4), RI (1)</v>
      </c>
      <c r="C32" s="125" t="s">
        <v>1398</v>
      </c>
      <c r="D32" s="125">
        <v>24</v>
      </c>
    </row>
    <row r="33" spans="1:4">
      <c r="A33" s="125" t="s">
        <v>1399</v>
      </c>
      <c r="B33" s="87" t="str">
        <f>_xlfn.CONCAT(C4,", ",C15,", ",C10,", ",C8)</f>
        <v>ATL (1), RI (1), OUC (1), EPG (1)</v>
      </c>
      <c r="C33" s="125" t="s">
        <v>1400</v>
      </c>
      <c r="D33" s="125">
        <v>40</v>
      </c>
    </row>
    <row r="34" spans="1:4">
      <c r="A34" s="125" t="s">
        <v>1401</v>
      </c>
      <c r="B34" s="87" t="str">
        <f>_xlfn.CONCAT(C4,", ",C15,", ",C10,", ",C8)</f>
        <v>ATL (1), RI (1), OUC (1), EPG (1)</v>
      </c>
      <c r="C34" s="125" t="s">
        <v>1400</v>
      </c>
      <c r="D34" s="125">
        <v>120</v>
      </c>
    </row>
    <row r="35" spans="1:4">
      <c r="A35" s="125" t="s">
        <v>634</v>
      </c>
      <c r="B35" s="87" t="str">
        <f>_xlfn.CONCAT(B26,", ",C19,", ",C14)</f>
        <v>ATL (1), ATM (4), RI (1), ParticipantsOpen (18), Sponsor (1)</v>
      </c>
      <c r="C35" s="125" t="s">
        <v>1402</v>
      </c>
      <c r="D35" s="125">
        <v>1</v>
      </c>
    </row>
    <row r="36" spans="1:4">
      <c r="A36" s="125" t="s">
        <v>753</v>
      </c>
      <c r="B36" s="87" t="str">
        <f>_xlfn.CONCAT(B26,", ",C9)</f>
        <v>ATL (1), ATM (4), RI (1), OT (1)</v>
      </c>
      <c r="C36" s="125" t="s">
        <v>615</v>
      </c>
      <c r="D36" s="125">
        <v>1</v>
      </c>
    </row>
    <row r="37" spans="1:4">
      <c r="A37" s="125" t="s">
        <v>1403</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1404</v>
      </c>
      <c r="B39" s="87" t="str">
        <f>_xlfn.CONCAT(B26,", ",C16)</f>
        <v>ATL (1), ATM (4), RI (1), ParticipantsPrelim1 (7)</v>
      </c>
      <c r="C39" s="125" t="s">
        <v>755</v>
      </c>
      <c r="D39" s="125">
        <v>1</v>
      </c>
    </row>
    <row r="40" spans="1:4">
      <c r="A40" s="125" t="s">
        <v>1405</v>
      </c>
      <c r="B40" s="87" t="str">
        <f>_xlfn.CONCAT(B26,", ",C17)</f>
        <v>ATL (1), ATM (4), RI (1), ParticipantsPrelim2 (5)</v>
      </c>
      <c r="C40" s="125" t="s">
        <v>755</v>
      </c>
      <c r="D40" s="125">
        <v>1</v>
      </c>
    </row>
    <row r="41" spans="1:4">
      <c r="A41" s="125" t="s">
        <v>1406</v>
      </c>
      <c r="B41" s="87" t="str">
        <f>B26</f>
        <v>ATL (1), ATM (4), RI (1)</v>
      </c>
      <c r="C41" s="125" t="s">
        <v>1407</v>
      </c>
      <c r="D41" s="125">
        <v>4</v>
      </c>
    </row>
    <row r="42" spans="1:4">
      <c r="A42" s="125" t="s">
        <v>1408</v>
      </c>
      <c r="B42" s="87" t="str">
        <f>B26</f>
        <v>ATL (1), ATM (4), RI (1)</v>
      </c>
      <c r="C42" s="125" t="s">
        <v>1407</v>
      </c>
      <c r="D42" s="125">
        <v>8</v>
      </c>
    </row>
    <row r="43" spans="1:4">
      <c r="A43" s="125" t="s">
        <v>1409</v>
      </c>
      <c r="B43" s="87" t="str">
        <f>_xlfn.CONCAT(B26,", ",C20,", ",C14)</f>
        <v>ATL (1), ATM (4), RI (1), ParticipantsFinal (15), Sponsor (1)</v>
      </c>
      <c r="C43" s="125" t="s">
        <v>1410</v>
      </c>
      <c r="D43" s="125">
        <v>4</v>
      </c>
    </row>
    <row r="44" spans="1:4">
      <c r="A44" s="125" t="s">
        <v>932</v>
      </c>
      <c r="B44" s="87" t="str">
        <f>B26</f>
        <v>ATL (1), ATM (4), RI (1)</v>
      </c>
      <c r="C44" s="125" t="s">
        <v>1411</v>
      </c>
      <c r="D44" s="125">
        <v>18</v>
      </c>
    </row>
    <row r="45" spans="1:4">
      <c r="A45" s="125" t="s">
        <v>1412</v>
      </c>
      <c r="B45" s="87" t="str">
        <f>_xlfn.CONCAT(B26,", ",C13)</f>
        <v>ATL (1), ATM (4), RI (1), SM (2)</v>
      </c>
      <c r="C45" s="125" t="s">
        <v>615</v>
      </c>
      <c r="D45" s="125">
        <v>1</v>
      </c>
    </row>
    <row r="46" spans="1:4">
      <c r="A46" s="125" t="s">
        <v>1413</v>
      </c>
      <c r="B46" s="87" t="str">
        <f>_xlfn.CONCAT(B26,", ",C14)</f>
        <v>ATL (1), ATM (4), RI (1), Sponsor (1)</v>
      </c>
      <c r="C46" s="125" t="s">
        <v>1391</v>
      </c>
      <c r="D46" s="125">
        <v>5</v>
      </c>
    </row>
    <row r="47" spans="1:4">
      <c r="A47" s="125" t="s">
        <v>1414</v>
      </c>
      <c r="B47" s="87" t="str">
        <f>_xlfn.CONCAT(B26,", ",C18)</f>
        <v>ATL (1), ATM (4), RI (1), ParticipantsTechTest (5)</v>
      </c>
      <c r="C47" s="125" t="s">
        <v>1414</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5"/>
  <cols>
    <col min="1" max="3" width="13.7109375" customWidth="1"/>
    <col min="4" max="4" width="54.42578125" customWidth="1"/>
    <col min="5" max="9" width="13.7109375" customWidth="1"/>
    <col min="10" max="10" width="16.85546875" customWidth="1"/>
    <col min="11" max="21" width="13.7109375" customWidth="1"/>
  </cols>
  <sheetData>
    <row r="1" spans="1:16" ht="105">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1352</v>
      </c>
      <c r="B2" t="s">
        <v>1336</v>
      </c>
      <c r="C2">
        <v>1</v>
      </c>
      <c r="D2" t="s">
        <v>1542</v>
      </c>
      <c r="E2" t="s">
        <v>388</v>
      </c>
      <c r="H2" t="s">
        <v>1350</v>
      </c>
      <c r="I2" t="s">
        <v>388</v>
      </c>
      <c r="J2" t="s">
        <v>1566</v>
      </c>
      <c r="K2" t="s">
        <v>1598</v>
      </c>
      <c r="L2" t="s">
        <v>1597</v>
      </c>
      <c r="M2" t="s">
        <v>1585</v>
      </c>
      <c r="N2" t="s">
        <v>1586</v>
      </c>
      <c r="O2" t="s">
        <v>1602</v>
      </c>
      <c r="P2" t="s">
        <v>18</v>
      </c>
    </row>
    <row r="3" spans="1:16">
      <c r="A3" t="s">
        <v>1353</v>
      </c>
      <c r="B3" t="s">
        <v>1336</v>
      </c>
      <c r="C3">
        <v>2</v>
      </c>
      <c r="D3" t="s">
        <v>1543</v>
      </c>
      <c r="E3" t="s">
        <v>388</v>
      </c>
      <c r="H3" t="s">
        <v>1350</v>
      </c>
      <c r="I3" t="s">
        <v>388</v>
      </c>
      <c r="J3" t="s">
        <v>1567</v>
      </c>
      <c r="K3" t="s">
        <v>1598</v>
      </c>
      <c r="L3" t="s">
        <v>1597</v>
      </c>
      <c r="M3" t="s">
        <v>1585</v>
      </c>
      <c r="N3" t="s">
        <v>1586</v>
      </c>
      <c r="O3" t="s">
        <v>1602</v>
      </c>
      <c r="P3" t="s">
        <v>18</v>
      </c>
    </row>
    <row r="4" spans="1:16">
      <c r="A4" t="s">
        <v>1354</v>
      </c>
      <c r="B4" t="s">
        <v>1336</v>
      </c>
      <c r="C4">
        <v>1</v>
      </c>
      <c r="D4" t="s">
        <v>1544</v>
      </c>
      <c r="E4" t="s">
        <v>388</v>
      </c>
      <c r="H4" t="s">
        <v>1350</v>
      </c>
      <c r="I4" t="s">
        <v>388</v>
      </c>
      <c r="J4" t="s">
        <v>1568</v>
      </c>
      <c r="K4" t="s">
        <v>1598</v>
      </c>
      <c r="L4" t="s">
        <v>1597</v>
      </c>
      <c r="M4" t="s">
        <v>1585</v>
      </c>
      <c r="N4" t="s">
        <v>1586</v>
      </c>
      <c r="O4" t="s">
        <v>1602</v>
      </c>
      <c r="P4" t="s">
        <v>18</v>
      </c>
    </row>
    <row r="5" spans="1:16">
      <c r="A5" t="s">
        <v>1355</v>
      </c>
      <c r="B5" t="s">
        <v>1336</v>
      </c>
      <c r="C5">
        <v>1</v>
      </c>
      <c r="D5" t="s">
        <v>1545</v>
      </c>
      <c r="E5" t="s">
        <v>388</v>
      </c>
      <c r="H5" t="s">
        <v>1350</v>
      </c>
      <c r="I5" t="s">
        <v>388</v>
      </c>
      <c r="J5" t="s">
        <v>1569</v>
      </c>
      <c r="K5" t="s">
        <v>1598</v>
      </c>
      <c r="L5" t="s">
        <v>1597</v>
      </c>
      <c r="M5" t="s">
        <v>1585</v>
      </c>
      <c r="N5" t="s">
        <v>1586</v>
      </c>
      <c r="O5" t="s">
        <v>1602</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109375" customWidth="1"/>
    <col min="11" max="11" width="12.7109375" bestFit="1" customWidth="1"/>
    <col min="12" max="12" width="15.570312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1535</v>
      </c>
      <c r="C2">
        <v>5</v>
      </c>
      <c r="D2" t="s">
        <v>1534</v>
      </c>
      <c r="E2" t="s">
        <v>388</v>
      </c>
      <c r="H2" t="s">
        <v>1350</v>
      </c>
      <c r="I2" t="s">
        <v>1339</v>
      </c>
      <c r="J2" t="s">
        <v>1149</v>
      </c>
      <c r="K2" s="323">
        <v>44021</v>
      </c>
      <c r="L2" s="323">
        <v>44260</v>
      </c>
      <c r="M2" t="s">
        <v>388</v>
      </c>
      <c r="N2" t="s">
        <v>1550</v>
      </c>
      <c r="O2" t="s">
        <v>1598</v>
      </c>
      <c r="P2" t="s">
        <v>1597</v>
      </c>
      <c r="Q2" t="s">
        <v>1585</v>
      </c>
      <c r="R2" t="s">
        <v>1586</v>
      </c>
      <c r="S2" t="s">
        <v>1602</v>
      </c>
      <c r="T2" t="s">
        <v>18</v>
      </c>
    </row>
    <row r="3" spans="1:20" ht="24" customHeight="1">
      <c r="A3" t="s">
        <v>1536</v>
      </c>
      <c r="C3">
        <v>5</v>
      </c>
      <c r="D3" t="s">
        <v>1537</v>
      </c>
      <c r="E3" t="s">
        <v>388</v>
      </c>
      <c r="H3" t="s">
        <v>1350</v>
      </c>
      <c r="I3" t="s">
        <v>1339</v>
      </c>
      <c r="J3" t="s">
        <v>1149</v>
      </c>
      <c r="K3" s="323">
        <v>44086</v>
      </c>
      <c r="L3" s="323">
        <v>44258</v>
      </c>
      <c r="M3" t="s">
        <v>388</v>
      </c>
      <c r="N3" t="s">
        <v>1555</v>
      </c>
      <c r="O3" t="s">
        <v>1598</v>
      </c>
      <c r="P3" t="s">
        <v>1597</v>
      </c>
      <c r="Q3" t="s">
        <v>1585</v>
      </c>
      <c r="R3" t="s">
        <v>1586</v>
      </c>
      <c r="S3" t="s">
        <v>1602</v>
      </c>
      <c r="T3" t="s">
        <v>18</v>
      </c>
    </row>
    <row r="4" spans="1:20" ht="24" customHeight="1">
      <c r="A4" t="s">
        <v>1538</v>
      </c>
      <c r="C4">
        <v>5</v>
      </c>
      <c r="D4" t="s">
        <v>1539</v>
      </c>
      <c r="E4" t="s">
        <v>388</v>
      </c>
      <c r="H4" t="s">
        <v>1350</v>
      </c>
      <c r="I4" t="s">
        <v>1339</v>
      </c>
      <c r="J4" t="s">
        <v>1149</v>
      </c>
      <c r="K4" s="323">
        <v>44062</v>
      </c>
      <c r="L4" s="323">
        <v>44247</v>
      </c>
      <c r="M4" t="s">
        <v>388</v>
      </c>
      <c r="N4" t="s">
        <v>1560</v>
      </c>
      <c r="O4" t="s">
        <v>1598</v>
      </c>
      <c r="P4" t="s">
        <v>1597</v>
      </c>
      <c r="Q4" t="s">
        <v>1585</v>
      </c>
      <c r="R4" t="s">
        <v>1586</v>
      </c>
      <c r="S4" t="s">
        <v>1602</v>
      </c>
      <c r="T4" t="s">
        <v>18</v>
      </c>
    </row>
    <row r="5" spans="1:20" ht="24" customHeight="1">
      <c r="A5" t="s">
        <v>1540</v>
      </c>
      <c r="C5">
        <v>5</v>
      </c>
      <c r="D5" t="s">
        <v>1541</v>
      </c>
      <c r="E5" t="s">
        <v>388</v>
      </c>
      <c r="H5" t="s">
        <v>1350</v>
      </c>
      <c r="I5" t="s">
        <v>1339</v>
      </c>
      <c r="J5" t="s">
        <v>1149</v>
      </c>
      <c r="K5" s="323">
        <v>44116</v>
      </c>
      <c r="L5" s="323">
        <v>44265</v>
      </c>
      <c r="M5" t="s">
        <v>388</v>
      </c>
      <c r="N5" t="s">
        <v>1565</v>
      </c>
      <c r="O5" t="s">
        <v>1598</v>
      </c>
      <c r="P5" t="s">
        <v>1597</v>
      </c>
      <c r="Q5" t="s">
        <v>1585</v>
      </c>
      <c r="R5" t="s">
        <v>1586</v>
      </c>
      <c r="S5" t="s">
        <v>1602</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5"/>
  <cols>
    <col min="1" max="3" width="35.28515625" customWidth="1"/>
  </cols>
  <sheetData>
    <row r="1" spans="1:3">
      <c r="A1" t="s">
        <v>1289</v>
      </c>
      <c r="B1" t="s">
        <v>1290</v>
      </c>
      <c r="C1" t="s">
        <v>1291</v>
      </c>
    </row>
    <row r="2" spans="1:3">
      <c r="A2" t="s">
        <v>1548</v>
      </c>
      <c r="B2" t="s">
        <v>1154</v>
      </c>
      <c r="C2" t="s">
        <v>1350</v>
      </c>
    </row>
    <row r="3" spans="1:3">
      <c r="A3" t="s">
        <v>1547</v>
      </c>
      <c r="B3" t="s">
        <v>912</v>
      </c>
      <c r="C3" t="s">
        <v>1350</v>
      </c>
    </row>
    <row r="4" spans="1:3">
      <c r="A4" t="s">
        <v>1551</v>
      </c>
      <c r="B4" t="s">
        <v>911</v>
      </c>
      <c r="C4" t="s">
        <v>1350</v>
      </c>
    </row>
    <row r="5" spans="1:3">
      <c r="A5" t="s">
        <v>1553</v>
      </c>
      <c r="B5" t="s">
        <v>1154</v>
      </c>
      <c r="C5" t="s">
        <v>1350</v>
      </c>
    </row>
    <row r="6" spans="1:3">
      <c r="A6" t="s">
        <v>1560</v>
      </c>
      <c r="B6" t="s">
        <v>1361</v>
      </c>
      <c r="C6" t="s">
        <v>1350</v>
      </c>
    </row>
    <row r="7" spans="1:3">
      <c r="A7" t="s">
        <v>1565</v>
      </c>
      <c r="B7" t="s">
        <v>1361</v>
      </c>
      <c r="C7" t="s">
        <v>1350</v>
      </c>
    </row>
    <row r="8" spans="1:3">
      <c r="A8" t="s">
        <v>1566</v>
      </c>
      <c r="B8" t="s">
        <v>1360</v>
      </c>
      <c r="C8" t="s">
        <v>1350</v>
      </c>
    </row>
    <row r="9" spans="1:3">
      <c r="A9" t="s">
        <v>1567</v>
      </c>
      <c r="B9" t="s">
        <v>1362</v>
      </c>
      <c r="C9" t="s">
        <v>1350</v>
      </c>
    </row>
    <row r="10" spans="1:3">
      <c r="A10" t="s">
        <v>1568</v>
      </c>
      <c r="B10" t="s">
        <v>1359</v>
      </c>
      <c r="C10" t="s">
        <v>1350</v>
      </c>
    </row>
    <row r="11" spans="1:3">
      <c r="A11" t="s">
        <v>1569</v>
      </c>
      <c r="B11" t="s">
        <v>1243</v>
      </c>
      <c r="C11" t="s">
        <v>1350</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5"/>
  <cols>
    <col min="1" max="1" width="35.7109375" customWidth="1"/>
    <col min="2" max="10" width="8.140625" customWidth="1"/>
  </cols>
  <sheetData>
    <row r="1" spans="1:9">
      <c r="A1" t="s">
        <v>921</v>
      </c>
      <c r="B1" t="s">
        <v>1535</v>
      </c>
      <c r="C1" t="s">
        <v>1536</v>
      </c>
      <c r="D1" t="s">
        <v>1538</v>
      </c>
      <c r="E1" t="s">
        <v>1540</v>
      </c>
      <c r="F1" t="s">
        <v>1352</v>
      </c>
      <c r="G1" t="s">
        <v>1353</v>
      </c>
      <c r="H1" t="s">
        <v>1354</v>
      </c>
      <c r="I1" t="s">
        <v>1355</v>
      </c>
    </row>
    <row r="2" spans="1:9">
      <c r="A2" t="s">
        <v>1548</v>
      </c>
      <c r="B2" t="s">
        <v>1308</v>
      </c>
    </row>
    <row r="3" spans="1:9">
      <c r="A3" t="s">
        <v>1547</v>
      </c>
      <c r="B3" t="s">
        <v>1308</v>
      </c>
    </row>
    <row r="4" spans="1:9">
      <c r="A4" t="s">
        <v>1551</v>
      </c>
      <c r="C4" t="s">
        <v>1308</v>
      </c>
    </row>
    <row r="5" spans="1:9">
      <c r="A5" t="s">
        <v>1553</v>
      </c>
      <c r="C5" t="s">
        <v>1308</v>
      </c>
    </row>
    <row r="6" spans="1:9">
      <c r="A6" t="s">
        <v>1560</v>
      </c>
      <c r="D6" t="s">
        <v>1308</v>
      </c>
    </row>
    <row r="7" spans="1:9">
      <c r="A7" t="s">
        <v>1565</v>
      </c>
      <c r="E7" t="s">
        <v>1308</v>
      </c>
    </row>
    <row r="8" spans="1:9">
      <c r="A8" t="s">
        <v>1566</v>
      </c>
      <c r="F8" t="s">
        <v>1308</v>
      </c>
    </row>
    <row r="9" spans="1:9">
      <c r="A9" t="s">
        <v>1567</v>
      </c>
      <c r="G9" t="s">
        <v>1308</v>
      </c>
    </row>
    <row r="10" spans="1:9">
      <c r="A10" t="s">
        <v>1568</v>
      </c>
      <c r="H10" t="s">
        <v>1308</v>
      </c>
    </row>
    <row r="11" spans="1:9">
      <c r="A11" t="s">
        <v>1569</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5"/>
  <cols>
    <col min="1" max="1" width="33.28515625" customWidth="1"/>
    <col min="2" max="20" width="6.285156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1548</v>
      </c>
      <c r="D2" t="s">
        <v>1308</v>
      </c>
      <c r="E2" t="s">
        <v>1308</v>
      </c>
      <c r="F2" t="s">
        <v>1308</v>
      </c>
      <c r="G2" t="s">
        <v>1308</v>
      </c>
    </row>
    <row r="3" spans="1:20">
      <c r="A3" t="s">
        <v>1547</v>
      </c>
      <c r="E3" t="s">
        <v>1308</v>
      </c>
      <c r="F3" t="s">
        <v>1308</v>
      </c>
    </row>
    <row r="4" spans="1:20">
      <c r="A4" t="s">
        <v>1551</v>
      </c>
      <c r="B4" t="s">
        <v>1308</v>
      </c>
      <c r="E4" t="s">
        <v>1308</v>
      </c>
    </row>
    <row r="5" spans="1:20">
      <c r="A5" t="s">
        <v>1553</v>
      </c>
      <c r="D5" t="s">
        <v>1308</v>
      </c>
      <c r="E5" t="s">
        <v>1308</v>
      </c>
      <c r="F5" t="s">
        <v>1308</v>
      </c>
      <c r="G5" t="s">
        <v>1308</v>
      </c>
    </row>
    <row r="6" spans="1:20">
      <c r="A6" t="s">
        <v>1560</v>
      </c>
      <c r="E6" t="s">
        <v>1308</v>
      </c>
      <c r="H6" t="s">
        <v>1308</v>
      </c>
      <c r="I6" t="s">
        <v>1308</v>
      </c>
      <c r="J6" t="s">
        <v>1308</v>
      </c>
      <c r="K6" t="s">
        <v>1308</v>
      </c>
      <c r="M6" t="s">
        <v>1308</v>
      </c>
      <c r="N6" t="s">
        <v>1308</v>
      </c>
    </row>
    <row r="7" spans="1:20">
      <c r="A7" t="s">
        <v>1565</v>
      </c>
      <c r="E7" t="s">
        <v>1308</v>
      </c>
      <c r="H7" t="s">
        <v>1308</v>
      </c>
      <c r="I7" t="s">
        <v>1308</v>
      </c>
      <c r="J7" t="s">
        <v>1308</v>
      </c>
      <c r="K7" t="s">
        <v>1308</v>
      </c>
      <c r="M7" t="s">
        <v>1308</v>
      </c>
      <c r="N7" t="s">
        <v>1308</v>
      </c>
    </row>
    <row r="8" spans="1:20">
      <c r="A8" t="s">
        <v>1566</v>
      </c>
      <c r="O8" t="s">
        <v>1308</v>
      </c>
    </row>
    <row r="9" spans="1:20">
      <c r="A9" t="s">
        <v>1567</v>
      </c>
      <c r="M9" t="s">
        <v>1308</v>
      </c>
      <c r="N9" t="s">
        <v>1308</v>
      </c>
      <c r="P9" t="s">
        <v>1308</v>
      </c>
      <c r="Q9" t="s">
        <v>1308</v>
      </c>
      <c r="R9" t="s">
        <v>1308</v>
      </c>
    </row>
    <row r="10" spans="1:20">
      <c r="A10" t="s">
        <v>1568</v>
      </c>
      <c r="L10" t="s">
        <v>1308</v>
      </c>
    </row>
    <row r="11" spans="1:20">
      <c r="A11" t="s">
        <v>1569</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109375" defaultRowHeight="15"/>
  <cols>
    <col min="1" max="22" width="8.7109375" style="196"/>
    <col min="23" max="23" width="8.7109375" style="196" hidden="1" customWidth="1"/>
    <col min="24" max="16384" width="8.7109375" style="196"/>
  </cols>
  <sheetData>
    <row r="2" spans="2:28" ht="94.5">
      <c r="B2" s="504" t="s">
        <v>1085</v>
      </c>
      <c r="C2" s="504" t="s">
        <v>1086</v>
      </c>
      <c r="D2" s="495" t="s">
        <v>1087</v>
      </c>
      <c r="E2" s="497"/>
      <c r="F2" s="498" t="s">
        <v>1088</v>
      </c>
      <c r="G2" s="500"/>
      <c r="H2" s="495" t="s">
        <v>1089</v>
      </c>
      <c r="I2" s="496"/>
      <c r="J2" s="496"/>
      <c r="K2" s="497"/>
      <c r="L2" s="498" t="s">
        <v>1090</v>
      </c>
      <c r="M2" s="499"/>
      <c r="N2" s="500"/>
      <c r="O2" s="210" t="s">
        <v>1091</v>
      </c>
      <c r="P2" s="211" t="s">
        <v>1092</v>
      </c>
      <c r="Q2" s="495" t="s">
        <v>1093</v>
      </c>
      <c r="R2" s="496"/>
      <c r="S2" s="497"/>
      <c r="T2" s="498" t="s">
        <v>1094</v>
      </c>
      <c r="U2" s="499"/>
      <c r="V2" s="500"/>
      <c r="W2" s="207" t="s">
        <v>1095</v>
      </c>
    </row>
    <row r="3" spans="2:28" ht="15.75">
      <c r="B3" s="505"/>
      <c r="C3" s="505"/>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75">
      <c r="B5" s="501"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75">
      <c r="B6" s="502"/>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75">
      <c r="B7" s="502"/>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75">
      <c r="B8" s="502"/>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75">
      <c r="B9" s="503"/>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75">
      <c r="B11" s="501"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75">
      <c r="B12" s="502"/>
      <c r="C12" s="286">
        <v>2.1</v>
      </c>
      <c r="D12" s="214"/>
      <c r="E12" s="214"/>
      <c r="F12" s="214"/>
      <c r="G12" s="214"/>
      <c r="H12" s="214"/>
      <c r="I12" s="425" t="s">
        <v>1656</v>
      </c>
      <c r="J12" s="214"/>
      <c r="K12" s="214"/>
      <c r="L12" s="214"/>
      <c r="M12" s="214"/>
      <c r="N12" s="214"/>
      <c r="O12" s="214"/>
      <c r="P12" s="214"/>
      <c r="Q12" s="214"/>
      <c r="R12" s="214"/>
      <c r="S12" s="214"/>
      <c r="T12" s="214"/>
      <c r="U12" s="214"/>
      <c r="V12" s="214"/>
      <c r="W12" s="197" t="s">
        <v>1099</v>
      </c>
    </row>
    <row r="13" spans="2:28" ht="15.75">
      <c r="B13" s="502"/>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4" customHeight="1">
      <c r="B14" s="502"/>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75">
      <c r="B15" s="502"/>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75">
      <c r="B16" s="502"/>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75">
      <c r="B17" s="502"/>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75">
      <c r="B18" s="502"/>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75">
      <c r="B19" s="503"/>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75">
      <c r="B21" s="501"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75">
      <c r="B22" s="502"/>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75">
      <c r="B23" s="502"/>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75">
      <c r="B24" s="502"/>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75">
      <c r="B25" s="502"/>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75">
      <c r="B26" s="502"/>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75">
      <c r="B27" s="502"/>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75">
      <c r="B28" s="503"/>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75">
      <c r="B30" s="501"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75">
      <c r="B31" s="502"/>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75">
      <c r="B32" s="502"/>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75">
      <c r="B33" s="502"/>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75">
      <c r="B34" s="502"/>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75">
      <c r="B35" s="503"/>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75">
      <c r="B37" s="506"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75">
      <c r="B38" s="506"/>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75">
      <c r="B39" s="506"/>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75">
      <c r="B40" s="506"/>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4.5">
      <c r="B50" s="507" t="s">
        <v>1085</v>
      </c>
      <c r="C50" s="507" t="s">
        <v>1086</v>
      </c>
      <c r="D50" s="508" t="s">
        <v>1087</v>
      </c>
      <c r="E50" s="508"/>
      <c r="F50" s="509" t="s">
        <v>1088</v>
      </c>
      <c r="G50" s="509"/>
      <c r="H50" s="508" t="s">
        <v>1089</v>
      </c>
      <c r="I50" s="508"/>
      <c r="J50" s="508"/>
      <c r="K50" s="508"/>
      <c r="L50" s="509" t="s">
        <v>1090</v>
      </c>
      <c r="M50" s="509"/>
      <c r="N50" s="509"/>
      <c r="O50" s="210" t="s">
        <v>1091</v>
      </c>
      <c r="P50" s="211" t="s">
        <v>1092</v>
      </c>
      <c r="Q50" s="508" t="s">
        <v>1093</v>
      </c>
      <c r="R50" s="508"/>
      <c r="S50" s="508"/>
      <c r="T50" s="509" t="s">
        <v>1094</v>
      </c>
      <c r="U50" s="509"/>
      <c r="V50" s="509"/>
      <c r="W50" s="207" t="s">
        <v>1095</v>
      </c>
    </row>
    <row r="51" spans="2:28" ht="15.75">
      <c r="B51" s="507"/>
      <c r="C51" s="507"/>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75">
      <c r="B53" s="506"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75">
      <c r="B54" s="506"/>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75">
      <c r="B55" s="506"/>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75">
      <c r="B56" s="506"/>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75">
      <c r="B57" s="506"/>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75">
      <c r="B59" s="506"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75">
      <c r="B60" s="506"/>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75">
      <c r="B61" s="506"/>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75">
      <c r="B62" s="506"/>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75">
      <c r="B63" s="506"/>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75">
      <c r="B64" s="506"/>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75">
      <c r="B65" s="506"/>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75">
      <c r="B66" s="506"/>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75">
      <c r="B67" s="506"/>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75">
      <c r="B69" s="506"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75">
      <c r="B70" s="506"/>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75">
      <c r="B71" s="506"/>
      <c r="C71" s="213">
        <v>3.2</v>
      </c>
      <c r="D71" s="214" t="s">
        <v>913</v>
      </c>
      <c r="E71" s="214" t="s">
        <v>1097</v>
      </c>
      <c r="F71" s="214" t="s">
        <v>1097</v>
      </c>
      <c r="G71" s="214" t="s">
        <v>1097</v>
      </c>
      <c r="H71" s="214"/>
      <c r="I71" s="214" t="s">
        <v>1097</v>
      </c>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75">
      <c r="B72" s="506"/>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75">
      <c r="B73" s="506"/>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75">
      <c r="B74" s="506"/>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75">
      <c r="B75" s="506"/>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75">
      <c r="B76" s="506"/>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75">
      <c r="B78" s="506"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75">
      <c r="B79" s="506"/>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75">
      <c r="B80" s="506"/>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75">
      <c r="B81" s="506"/>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75">
      <c r="B82" s="506"/>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75">
      <c r="B83" s="506"/>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75">
      <c r="B85" s="506"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75">
      <c r="B86" s="506"/>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75">
      <c r="B87" s="506"/>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75">
      <c r="B88" s="506"/>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5"/>
  <cols>
    <col min="1" max="1" width="41.42578125" bestFit="1" customWidth="1"/>
    <col min="2" max="2" width="15.140625" bestFit="1" customWidth="1"/>
    <col min="3" max="3" width="20.7109375" bestFit="1" customWidth="1"/>
    <col min="4" max="4" width="8.42578125" bestFit="1" customWidth="1"/>
    <col min="5" max="5" width="9.7109375" bestFit="1" customWidth="1"/>
    <col min="6" max="6" width="14.42578125" bestFit="1" customWidth="1"/>
    <col min="7" max="7" width="18.28515625" bestFit="1" customWidth="1"/>
    <col min="8" max="8" width="14.7109375" bestFit="1" customWidth="1"/>
    <col min="9" max="9" width="20.7109375" bestFit="1" customWidth="1"/>
    <col min="10" max="10" width="7.28515625" bestFit="1" customWidth="1"/>
    <col min="11" max="11" width="6.7109375" bestFit="1" customWidth="1"/>
    <col min="12" max="12" width="10.7109375" bestFit="1" customWidth="1"/>
    <col min="13" max="13" width="14.7109375" bestFit="1" customWidth="1"/>
    <col min="14" max="14" width="7.28515625" bestFit="1" customWidth="1"/>
    <col min="15" max="15" width="7.42578125" bestFit="1" customWidth="1"/>
    <col min="16" max="16" width="20.7109375" bestFit="1" customWidth="1"/>
    <col min="17" max="17" width="7.42578125" bestFit="1" customWidth="1"/>
    <col min="18" max="18" width="18.28515625" bestFit="1" customWidth="1"/>
    <col min="19" max="19" width="7.42578125" bestFit="1" customWidth="1"/>
    <col min="20" max="20" width="14.42578125" bestFit="1" customWidth="1"/>
    <col min="21" max="21" width="7.42578125" bestFit="1" customWidth="1"/>
    <col min="22" max="22" width="20.7109375" bestFit="1" customWidth="1"/>
    <col min="23" max="23" width="7.42578125" bestFit="1" customWidth="1"/>
    <col min="24" max="24" width="8.42578125" bestFit="1" customWidth="1"/>
    <col min="25" max="25" width="11.42578125" bestFit="1" customWidth="1"/>
    <col min="26" max="26" width="10.7109375" bestFit="1" customWidth="1"/>
  </cols>
  <sheetData>
    <row r="3" spans="1:2">
      <c r="A3" s="311" t="s">
        <v>916</v>
      </c>
      <c r="B3" t="s">
        <v>914</v>
      </c>
    </row>
    <row r="4" spans="1:2">
      <c r="A4" s="309" t="s">
        <v>411</v>
      </c>
      <c r="B4" s="312">
        <v>17</v>
      </c>
    </row>
    <row r="5" spans="1:2">
      <c r="A5" s="126" t="s">
        <v>911</v>
      </c>
      <c r="B5" s="312">
        <v>2</v>
      </c>
    </row>
    <row r="6" spans="1:2">
      <c r="A6" s="281" t="s">
        <v>1551</v>
      </c>
      <c r="B6" s="312">
        <v>2</v>
      </c>
    </row>
    <row r="7" spans="1:2">
      <c r="A7" s="126" t="s">
        <v>1360</v>
      </c>
      <c r="B7" s="312">
        <v>1</v>
      </c>
    </row>
    <row r="8" spans="1:2">
      <c r="A8" s="281" t="s">
        <v>1566</v>
      </c>
      <c r="B8" s="312">
        <v>1</v>
      </c>
    </row>
    <row r="9" spans="1:2">
      <c r="A9" s="126" t="s">
        <v>912</v>
      </c>
      <c r="B9" s="312">
        <v>1</v>
      </c>
    </row>
    <row r="10" spans="1:2">
      <c r="A10" s="281" t="s">
        <v>1547</v>
      </c>
      <c r="B10" s="312">
        <v>1</v>
      </c>
    </row>
    <row r="11" spans="1:2">
      <c r="A11" s="126" t="s">
        <v>1154</v>
      </c>
      <c r="B11" s="312">
        <v>2</v>
      </c>
    </row>
    <row r="12" spans="1:2">
      <c r="A12" s="281" t="s">
        <v>1548</v>
      </c>
      <c r="B12" s="312">
        <v>1</v>
      </c>
    </row>
    <row r="13" spans="1:2">
      <c r="A13" s="281" t="s">
        <v>1553</v>
      </c>
      <c r="B13" s="312">
        <v>1</v>
      </c>
    </row>
    <row r="14" spans="1:2">
      <c r="A14" s="126" t="s">
        <v>1361</v>
      </c>
      <c r="B14" s="312">
        <v>4</v>
      </c>
    </row>
    <row r="15" spans="1:2">
      <c r="A15" s="281" t="s">
        <v>1560</v>
      </c>
      <c r="B15" s="312">
        <v>3</v>
      </c>
    </row>
    <row r="16" spans="1:2">
      <c r="A16" s="281" t="s">
        <v>1565</v>
      </c>
      <c r="B16" s="312">
        <v>1</v>
      </c>
    </row>
    <row r="17" spans="1:2">
      <c r="A17" s="126" t="s">
        <v>1243</v>
      </c>
      <c r="B17" s="312">
        <v>1</v>
      </c>
    </row>
    <row r="18" spans="1:2">
      <c r="A18" s="281" t="s">
        <v>1569</v>
      </c>
      <c r="B18" s="312">
        <v>1</v>
      </c>
    </row>
    <row r="19" spans="1:2">
      <c r="A19" s="126" t="s">
        <v>1359</v>
      </c>
      <c r="B19" s="312">
        <v>1</v>
      </c>
    </row>
    <row r="20" spans="1:2">
      <c r="A20" s="281" t="s">
        <v>1568</v>
      </c>
      <c r="B20" s="312">
        <v>1</v>
      </c>
    </row>
    <row r="21" spans="1:2">
      <c r="A21" s="126" t="s">
        <v>1362</v>
      </c>
      <c r="B21" s="312">
        <v>5</v>
      </c>
    </row>
    <row r="22" spans="1:2">
      <c r="A22" s="281" t="s">
        <v>1567</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5"/>
  <cols>
    <col min="1" max="1" width="36.140625" bestFit="1" customWidth="1"/>
    <col min="2" max="2" width="10.7109375" bestFit="1" customWidth="1"/>
    <col min="3" max="3" width="3.7109375" bestFit="1" customWidth="1"/>
    <col min="4" max="4" width="4.42578125" bestFit="1" customWidth="1"/>
    <col min="5" max="6" width="3.7109375" bestFit="1" customWidth="1"/>
    <col min="7" max="7" width="5.42578125" bestFit="1" customWidth="1"/>
    <col min="8" max="8" width="3.28515625" bestFit="1" customWidth="1"/>
    <col min="9" max="9" width="4.42578125" bestFit="1" customWidth="1"/>
    <col min="10" max="10" width="4.7109375" bestFit="1" customWidth="1"/>
    <col min="11" max="11" width="2.42578125" bestFit="1" customWidth="1"/>
    <col min="12" max="12" width="5.42578125" bestFit="1" customWidth="1"/>
    <col min="13" max="13" width="4.42578125" bestFit="1" customWidth="1"/>
    <col min="14" max="14" width="3.28515625" bestFit="1" customWidth="1"/>
    <col min="15" max="15" width="5" bestFit="1" customWidth="1"/>
    <col min="16" max="16" width="4.28515625" bestFit="1" customWidth="1"/>
    <col min="17" max="17" width="2.7109375" bestFit="1" customWidth="1"/>
    <col min="18" max="18" width="3.42578125" bestFit="1" customWidth="1"/>
    <col min="19" max="19" width="6.7109375" bestFit="1" customWidth="1"/>
    <col min="20" max="20" width="10.7109375" bestFit="1" customWidth="1"/>
  </cols>
  <sheetData>
    <row r="1" spans="1:6" s="50" customFormat="1" ht="18.75">
      <c r="A1" s="113" t="s">
        <v>1008</v>
      </c>
      <c r="B1" s="117"/>
      <c r="C1" s="117"/>
      <c r="D1" s="117"/>
      <c r="E1" s="117"/>
      <c r="F1" s="117"/>
    </row>
    <row r="3" spans="1:6">
      <c r="A3" s="311" t="s">
        <v>916</v>
      </c>
    </row>
    <row r="4" spans="1:6">
      <c r="A4" s="309" t="s">
        <v>1551</v>
      </c>
    </row>
    <row r="5" spans="1:6">
      <c r="A5" s="126" t="s">
        <v>884</v>
      </c>
    </row>
    <row r="6" spans="1:6">
      <c r="A6" s="126" t="s">
        <v>885</v>
      </c>
    </row>
    <row r="7" spans="1:6">
      <c r="A7" s="309" t="s">
        <v>1566</v>
      </c>
    </row>
    <row r="8" spans="1:6">
      <c r="A8" s="126" t="s">
        <v>751</v>
      </c>
    </row>
    <row r="9" spans="1:6">
      <c r="A9" s="309" t="s">
        <v>1547</v>
      </c>
    </row>
    <row r="10" spans="1:6">
      <c r="A10" s="126" t="s">
        <v>883</v>
      </c>
    </row>
    <row r="11" spans="1:6">
      <c r="A11" s="309" t="s">
        <v>1548</v>
      </c>
    </row>
    <row r="12" spans="1:6">
      <c r="A12" s="126" t="s">
        <v>882</v>
      </c>
    </row>
    <row r="13" spans="1:6">
      <c r="A13" s="309" t="s">
        <v>1553</v>
      </c>
    </row>
    <row r="14" spans="1:6">
      <c r="A14" s="126" t="s">
        <v>886</v>
      </c>
    </row>
    <row r="15" spans="1:6">
      <c r="A15" s="309" t="s">
        <v>1569</v>
      </c>
    </row>
    <row r="16" spans="1:6">
      <c r="A16" s="126" t="s">
        <v>835</v>
      </c>
    </row>
    <row r="17" spans="1:1">
      <c r="A17" s="309" t="s">
        <v>1567</v>
      </c>
    </row>
    <row r="18" spans="1:1">
      <c r="A18" s="126" t="s">
        <v>894</v>
      </c>
    </row>
    <row r="19" spans="1:1">
      <c r="A19" s="126" t="s">
        <v>895</v>
      </c>
    </row>
    <row r="20" spans="1:1">
      <c r="A20" s="126" t="s">
        <v>887</v>
      </c>
    </row>
    <row r="21" spans="1:1">
      <c r="A21" s="126" t="s">
        <v>888</v>
      </c>
    </row>
    <row r="22" spans="1:1">
      <c r="A22" s="126" t="s">
        <v>889</v>
      </c>
    </row>
    <row r="23" spans="1:1">
      <c r="A23" s="309" t="s">
        <v>1560</v>
      </c>
    </row>
    <row r="24" spans="1:1">
      <c r="A24" s="126" t="s">
        <v>891</v>
      </c>
    </row>
    <row r="25" spans="1:1">
      <c r="A25" s="126" t="s">
        <v>892</v>
      </c>
    </row>
    <row r="26" spans="1:1">
      <c r="A26" s="126" t="s">
        <v>893</v>
      </c>
    </row>
    <row r="27" spans="1:1">
      <c r="A27" s="309" t="s">
        <v>1565</v>
      </c>
    </row>
    <row r="28" spans="1:1">
      <c r="A28" s="126" t="s">
        <v>890</v>
      </c>
    </row>
    <row r="29" spans="1:1">
      <c r="A29" s="309" t="s">
        <v>1568</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5"/>
  <cols>
    <col min="1" max="1" width="38.7109375" bestFit="1" customWidth="1"/>
    <col min="2" max="2" width="15.28515625" bestFit="1" customWidth="1"/>
  </cols>
  <sheetData>
    <row r="1" spans="1:6" s="50" customFormat="1" ht="18.75">
      <c r="A1" s="113" t="s">
        <v>1007</v>
      </c>
      <c r="B1" s="117"/>
      <c r="C1" s="117"/>
      <c r="D1" s="117"/>
      <c r="E1" s="117"/>
      <c r="F1" s="117"/>
    </row>
    <row r="3" spans="1:6">
      <c r="A3" s="311" t="s">
        <v>916</v>
      </c>
    </row>
    <row r="4" spans="1:6">
      <c r="A4" s="309" t="s">
        <v>917</v>
      </c>
    </row>
    <row r="5" spans="1:6">
      <c r="A5" s="126" t="s">
        <v>917</v>
      </c>
    </row>
    <row r="6" spans="1:6">
      <c r="A6" s="309" t="s">
        <v>1535</v>
      </c>
    </row>
    <row r="7" spans="1:6">
      <c r="A7" s="126" t="s">
        <v>1548</v>
      </c>
    </row>
    <row r="8" spans="1:6">
      <c r="A8" s="126" t="s">
        <v>1547</v>
      </c>
    </row>
    <row r="9" spans="1:6">
      <c r="A9" s="309" t="s">
        <v>1536</v>
      </c>
    </row>
    <row r="10" spans="1:6">
      <c r="A10" s="126" t="s">
        <v>1551</v>
      </c>
    </row>
    <row r="11" spans="1:6">
      <c r="A11" s="126" t="s">
        <v>1553</v>
      </c>
    </row>
    <row r="12" spans="1:6">
      <c r="A12" s="309" t="s">
        <v>1538</v>
      </c>
    </row>
    <row r="13" spans="1:6">
      <c r="A13" s="126" t="s">
        <v>1560</v>
      </c>
    </row>
    <row r="14" spans="1:6">
      <c r="A14" s="309" t="s">
        <v>1540</v>
      </c>
    </row>
    <row r="15" spans="1:6">
      <c r="A15" s="126" t="s">
        <v>1565</v>
      </c>
    </row>
    <row r="16" spans="1:6">
      <c r="A16" s="309" t="s">
        <v>1352</v>
      </c>
    </row>
    <row r="17" spans="1:1">
      <c r="A17" s="126" t="s">
        <v>1566</v>
      </c>
    </row>
    <row r="18" spans="1:1">
      <c r="A18" s="309" t="s">
        <v>1353</v>
      </c>
    </row>
    <row r="19" spans="1:1">
      <c r="A19" s="126" t="s">
        <v>1567</v>
      </c>
    </row>
    <row r="20" spans="1:1">
      <c r="A20" s="309" t="s">
        <v>1354</v>
      </c>
    </row>
    <row r="21" spans="1:1">
      <c r="A21" s="126" t="s">
        <v>1568</v>
      </c>
    </row>
    <row r="22" spans="1:1">
      <c r="A22" s="309" t="s">
        <v>1355</v>
      </c>
    </row>
    <row r="23" spans="1:1">
      <c r="A23" s="126" t="s">
        <v>1569</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5"/>
  <cols>
    <col min="1" max="1" width="38.7109375" bestFit="1" customWidth="1"/>
    <col min="2" max="2" width="15.28515625" bestFit="1" customWidth="1"/>
    <col min="3" max="3" width="11.42578125" bestFit="1" customWidth="1"/>
    <col min="4" max="4" width="13.7109375" bestFit="1" customWidth="1"/>
    <col min="5" max="5" width="13.42578125" bestFit="1" customWidth="1"/>
    <col min="6" max="6" width="10.42578125" bestFit="1" customWidth="1"/>
    <col min="7" max="7" width="11.28515625" bestFit="1" customWidth="1"/>
    <col min="8" max="8" width="9.42578125" bestFit="1" customWidth="1"/>
    <col min="9" max="9" width="9.7109375" bestFit="1" customWidth="1"/>
    <col min="10" max="11" width="7.42578125" bestFit="1" customWidth="1"/>
    <col min="12" max="13" width="9.42578125" bestFit="1" customWidth="1"/>
    <col min="14" max="14" width="6.7109375" bestFit="1" customWidth="1"/>
    <col min="15" max="15" width="10.7109375" bestFit="1" customWidth="1"/>
  </cols>
  <sheetData>
    <row r="3" spans="1:1">
      <c r="A3" s="311" t="s">
        <v>916</v>
      </c>
    </row>
    <row r="4" spans="1:1">
      <c r="A4" s="309" t="s">
        <v>917</v>
      </c>
    </row>
    <row r="5" spans="1:1">
      <c r="A5" s="126" t="s">
        <v>917</v>
      </c>
    </row>
    <row r="6" spans="1:1">
      <c r="A6" s="309" t="s">
        <v>988</v>
      </c>
    </row>
    <row r="7" spans="1:1">
      <c r="A7" s="126" t="s">
        <v>1560</v>
      </c>
    </row>
    <row r="8" spans="1:1">
      <c r="A8" s="126" t="s">
        <v>1565</v>
      </c>
    </row>
    <row r="9" spans="1:1">
      <c r="A9" s="309" t="s">
        <v>989</v>
      </c>
    </row>
    <row r="10" spans="1:1">
      <c r="A10" s="126" t="s">
        <v>1548</v>
      </c>
    </row>
    <row r="11" spans="1:1">
      <c r="A11" s="126" t="s">
        <v>1547</v>
      </c>
    </row>
    <row r="12" spans="1:1">
      <c r="A12" s="126" t="s">
        <v>1551</v>
      </c>
    </row>
    <row r="13" spans="1:1">
      <c r="A13" s="126" t="s">
        <v>1553</v>
      </c>
    </row>
    <row r="14" spans="1:1">
      <c r="A14" s="309" t="s">
        <v>990</v>
      </c>
    </row>
    <row r="15" spans="1:1">
      <c r="A15" s="126" t="s">
        <v>1566</v>
      </c>
    </row>
    <row r="16" spans="1:1">
      <c r="A16" s="309" t="s">
        <v>991</v>
      </c>
    </row>
    <row r="17" spans="1:1">
      <c r="A17" s="126" t="s">
        <v>1567</v>
      </c>
    </row>
    <row r="18" spans="1:1">
      <c r="A18" s="309" t="s">
        <v>992</v>
      </c>
    </row>
    <row r="19" spans="1:1">
      <c r="A19" s="126" t="s">
        <v>1568</v>
      </c>
    </row>
    <row r="20" spans="1:1">
      <c r="A20" s="309" t="s">
        <v>998</v>
      </c>
    </row>
    <row r="21" spans="1:1">
      <c r="A21" s="126" t="s">
        <v>1569</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25"/>
  <cols>
    <col min="1" max="5" width="9" style="235"/>
    <col min="6" max="6" width="8.28515625" style="235" customWidth="1"/>
    <col min="7" max="9" width="18.28515625" style="235" customWidth="1"/>
    <col min="10" max="16384" width="9" style="235"/>
  </cols>
  <sheetData>
    <row r="1" spans="1:11" ht="23.25" customHeight="1">
      <c r="B1" s="420"/>
      <c r="C1" s="420"/>
      <c r="D1" s="420"/>
      <c r="E1" s="420"/>
      <c r="F1" s="420"/>
      <c r="G1" s="420"/>
      <c r="H1" s="420"/>
      <c r="I1" s="420"/>
      <c r="J1" s="420"/>
      <c r="K1" s="420"/>
    </row>
    <row r="2" spans="1:11" ht="23.6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149999999999999" customHeight="1">
      <c r="A11" s="237"/>
      <c r="B11" s="237"/>
      <c r="C11" s="237"/>
      <c r="D11" s="237"/>
      <c r="E11" s="237"/>
      <c r="F11" s="516" t="str">
        <f>_xlfn.CONCAT("CAS ID",'Agreement 3'!B5)</f>
        <v>CAS ID53517</v>
      </c>
      <c r="G11" s="516"/>
      <c r="H11" s="516"/>
      <c r="I11" s="237"/>
      <c r="J11" s="237"/>
      <c r="K11" s="237"/>
    </row>
    <row r="12" spans="1:11" ht="19.149999999999999" customHeight="1">
      <c r="A12" s="237"/>
      <c r="B12" s="237"/>
      <c r="C12" s="237"/>
      <c r="D12" s="237"/>
      <c r="E12" s="237"/>
      <c r="F12" s="237"/>
      <c r="G12" s="237"/>
      <c r="H12" s="237"/>
      <c r="I12" s="237"/>
      <c r="J12" s="237"/>
      <c r="K12" s="237"/>
    </row>
    <row r="13" spans="1:11" ht="19.149999999999999"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A7" workbookViewId="0">
      <selection activeCell="B17" sqref="B17"/>
    </sheetView>
  </sheetViews>
  <sheetFormatPr defaultColWidth="8.7109375" defaultRowHeight="15"/>
  <cols>
    <col min="1" max="1" width="40.7109375" style="129" customWidth="1"/>
    <col min="2" max="2" width="75.7109375" style="130" customWidth="1"/>
    <col min="3" max="3" width="40.7109375" style="160" customWidth="1"/>
    <col min="4" max="4" width="15.7109375" style="129" customWidth="1"/>
    <col min="5" max="5" width="14.42578125" style="8" customWidth="1"/>
    <col min="6" max="6" width="29.28515625" style="8" customWidth="1"/>
    <col min="7" max="7" width="42.7109375" style="8" bestFit="1" customWidth="1"/>
    <col min="8" max="8" width="29.28515625" style="8" customWidth="1"/>
    <col min="9" max="35" width="8.7109375" style="8"/>
    <col min="36" max="16384" width="8.7109375" style="129"/>
  </cols>
  <sheetData>
    <row r="1" spans="1:5" s="8" customFormat="1" ht="15.7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75">
      <c r="A12" s="159"/>
      <c r="B12" s="166" t="str">
        <f>CONCATENATE("Sponsor: ",'Agreement 3'!B28)</f>
        <v>Sponsor: Prof Kessler, Donald</v>
      </c>
      <c r="C12" s="160"/>
      <c r="E12" s="161"/>
    </row>
    <row r="13" spans="1:5" s="8" customFormat="1" ht="15.75">
      <c r="A13" s="159"/>
      <c r="B13" s="167"/>
      <c r="C13" s="160"/>
      <c r="E13" s="161"/>
    </row>
    <row r="14" spans="1:5" s="8" customFormat="1" ht="15.75">
      <c r="A14" s="159"/>
      <c r="B14" s="167"/>
      <c r="C14" s="160"/>
      <c r="E14" s="161"/>
    </row>
    <row r="15" spans="1:5" s="8" customFormat="1" ht="21">
      <c r="A15" s="159"/>
      <c r="B15" s="169" t="str">
        <f>'Agreement 3'!B45</f>
        <v>Demix (Pty) Ltd</v>
      </c>
      <c r="C15" s="160"/>
      <c r="E15" s="161"/>
    </row>
    <row r="16" spans="1:5" s="8" customFormat="1" ht="15.75">
      <c r="A16" s="159"/>
      <c r="B16" s="166" t="str">
        <f>CONCATENATE("Lead Appraiser: ",'Agreement 3'!B7," ",'Agreement 3'!B11)</f>
        <v>Lead Appraiser: van Zyl, Pieter 0500535-01</v>
      </c>
      <c r="C16" s="160"/>
      <c r="E16" s="161"/>
    </row>
    <row r="17" spans="1:9" s="8" customFormat="1" ht="15.75">
      <c r="A17" s="159"/>
      <c r="B17" s="185" t="str">
        <f>'Agreement 3'!B9</f>
        <v>CMMI V2.0 High Maturity Lead Appraiser</v>
      </c>
      <c r="C17" s="160"/>
      <c r="E17" s="161"/>
    </row>
    <row r="18" spans="1:9" s="8" customFormat="1" ht="18.7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6.25">
      <c r="B22" s="169"/>
      <c r="C22" s="160"/>
      <c r="E22" s="161"/>
      <c r="G22" s="240" t="str">
        <f>_xlfn.CONCAT("Expiry benchmark", CHAR(13),CHAR(10),"appraisal",CHAR(13),CHAR(10),G23)</f>
        <v>Expiry benchmark_x000D_
appraisal_x000D_
16 Apr 2024</v>
      </c>
      <c r="H22" s="220"/>
      <c r="I22" s="219"/>
    </row>
    <row r="23" spans="1:9" s="8" customFormat="1" ht="23.25">
      <c r="A23" s="159" t="s">
        <v>875</v>
      </c>
      <c r="B23" s="277">
        <f>Planning!B26</f>
        <v>44294</v>
      </c>
      <c r="C23" s="160"/>
      <c r="E23" s="161"/>
      <c r="G23" s="241" t="str">
        <f>TEXT(DATE(YEAR(B21)+3,MONTH(B21),DAY(B21)),"dd mmm yyyy")</f>
        <v>16 Apr 2024</v>
      </c>
      <c r="H23" s="221"/>
      <c r="I23" s="219"/>
    </row>
    <row r="24" spans="1:9" s="8" customFormat="1" ht="23.25">
      <c r="A24" s="159"/>
      <c r="B24" s="277"/>
      <c r="C24" s="160"/>
      <c r="E24" s="161"/>
      <c r="G24" s="241"/>
      <c r="H24" s="221"/>
      <c r="I24" s="219"/>
    </row>
    <row r="25" spans="1:9" s="8" customFormat="1" ht="15.75">
      <c r="A25" s="171" t="s">
        <v>1038</v>
      </c>
      <c r="B25" s="280" t="s">
        <v>1039</v>
      </c>
      <c r="C25" s="278" t="s">
        <v>1040</v>
      </c>
      <c r="D25" s="172" t="s">
        <v>847</v>
      </c>
      <c r="E25" s="161"/>
      <c r="G25" s="173"/>
    </row>
    <row r="26" spans="1:9" s="8" customFormat="1" ht="15.75">
      <c r="A26" s="159"/>
      <c r="B26" s="279" t="s">
        <v>1041</v>
      </c>
      <c r="C26" s="174" t="s">
        <v>1042</v>
      </c>
      <c r="D26" s="175">
        <f>'P1PA-SS'!B70</f>
        <v>44315</v>
      </c>
      <c r="E26" s="161"/>
      <c r="G26" s="176" t="str">
        <f>G23</f>
        <v>16 Apr 2024</v>
      </c>
      <c r="H26" s="170" t="s">
        <v>1043</v>
      </c>
    </row>
    <row r="27" spans="1:9" s="8" customFormat="1" ht="15.75">
      <c r="A27" s="159"/>
      <c r="B27" s="174" t="s">
        <v>1044</v>
      </c>
      <c r="C27" s="174" t="s">
        <v>1045</v>
      </c>
      <c r="D27" s="175">
        <f>D26+14</f>
        <v>44329</v>
      </c>
      <c r="E27" s="161"/>
      <c r="G27" s="176"/>
    </row>
    <row r="28" spans="1:9" s="8" customFormat="1" ht="15.75">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75">
      <c r="A29" s="159"/>
      <c r="B29" s="177"/>
      <c r="C29" s="177"/>
      <c r="D29" s="177"/>
      <c r="E29" s="161"/>
    </row>
    <row r="30" spans="1:9" s="8" customFormat="1" ht="31.5" customHeight="1">
      <c r="A30" s="159"/>
      <c r="B30" s="517" t="s">
        <v>1046</v>
      </c>
      <c r="C30" s="517"/>
      <c r="D30" s="517"/>
      <c r="E30" s="161"/>
    </row>
    <row r="31" spans="1:9" s="8" customFormat="1" ht="18.75">
      <c r="A31" s="159"/>
      <c r="B31" s="168"/>
      <c r="C31" s="160"/>
      <c r="E31" s="161"/>
    </row>
    <row r="32" spans="1:9" s="8" customFormat="1" ht="15.75">
      <c r="A32" s="159"/>
      <c r="B32" s="178" t="str">
        <f>B12</f>
        <v>Sponsor: Prof Kessler, Donald</v>
      </c>
      <c r="C32" s="179" t="s">
        <v>1415</v>
      </c>
      <c r="E32" s="161"/>
    </row>
    <row r="33" spans="1:5" s="8" customFormat="1" ht="18.75">
      <c r="A33" s="159"/>
      <c r="B33" s="168"/>
      <c r="C33" s="160"/>
      <c r="E33" s="161"/>
    </row>
    <row r="34" spans="1:5" s="8" customFormat="1" ht="18.75">
      <c r="A34" s="159"/>
      <c r="B34" s="168"/>
      <c r="C34" s="160"/>
      <c r="E34" s="161"/>
    </row>
    <row r="35" spans="1:5" s="8" customFormat="1" ht="18.75">
      <c r="A35" s="159"/>
      <c r="B35" s="168"/>
      <c r="C35" s="160"/>
      <c r="E35" s="161"/>
    </row>
    <row r="36" spans="1:5" s="8" customFormat="1" ht="18.75">
      <c r="A36" s="159"/>
      <c r="B36" s="168"/>
      <c r="C36" s="160"/>
      <c r="E36" s="161"/>
    </row>
    <row r="37" spans="1:5" s="8" customFormat="1" ht="19.5" thickBot="1">
      <c r="A37" s="180"/>
      <c r="B37" s="181"/>
      <c r="C37" s="182"/>
      <c r="D37" s="183"/>
      <c r="E37" s="184"/>
    </row>
    <row r="38" spans="1:5" s="8" customFormat="1" ht="18.75">
      <c r="B38" s="168"/>
      <c r="C38" s="160"/>
    </row>
    <row r="39" spans="1:5" s="8" customFormat="1" ht="18.75">
      <c r="B39" s="168"/>
      <c r="C39" s="160"/>
    </row>
    <row r="40" spans="1:5" s="8" customFormat="1" ht="18.75">
      <c r="B40" s="168"/>
      <c r="C40" s="160"/>
    </row>
    <row r="41" spans="1:5" s="8" customFormat="1" ht="18.75">
      <c r="B41" s="168"/>
      <c r="C41" s="160"/>
    </row>
    <row r="42" spans="1:5" s="8" customFormat="1" ht="18.75">
      <c r="B42" s="168"/>
      <c r="C42" s="160"/>
    </row>
    <row r="43" spans="1:5" s="8" customFormat="1" ht="18.75">
      <c r="B43" s="168"/>
      <c r="C43" s="160"/>
    </row>
    <row r="44" spans="1:5" s="8" customFormat="1" ht="18.75">
      <c r="B44" s="168"/>
      <c r="C44" s="160"/>
    </row>
    <row r="45" spans="1:5" s="8" customFormat="1" ht="18.75">
      <c r="B45" s="168"/>
      <c r="C45" s="160"/>
    </row>
    <row r="46" spans="1:5" s="8" customFormat="1" ht="18.75">
      <c r="B46" s="168"/>
      <c r="C46" s="160"/>
    </row>
    <row r="47" spans="1:5" s="8" customFormat="1" ht="18.75">
      <c r="B47" s="168"/>
      <c r="C47" s="160"/>
    </row>
    <row r="48" spans="1:5" s="8" customFormat="1" ht="18.75">
      <c r="B48" s="168"/>
      <c r="C48" s="160"/>
    </row>
    <row r="49" spans="2:3" s="8" customFormat="1" ht="18.75">
      <c r="B49" s="168"/>
      <c r="C49" s="160"/>
    </row>
    <row r="50" spans="2:3" s="8" customFormat="1" ht="18.75">
      <c r="B50" s="168"/>
      <c r="C50" s="160"/>
    </row>
    <row r="51" spans="2:3" s="8" customFormat="1" ht="18.75">
      <c r="B51" s="168"/>
      <c r="C51" s="160"/>
    </row>
    <row r="52" spans="2:3" s="8" customFormat="1" ht="18.75">
      <c r="B52" s="168"/>
      <c r="C52" s="160"/>
    </row>
    <row r="53" spans="2:3" s="8" customFormat="1" ht="18.75">
      <c r="B53" s="168"/>
      <c r="C53" s="160"/>
    </row>
    <row r="54" spans="2:3" s="8" customFormat="1" ht="18.75">
      <c r="B54" s="168"/>
      <c r="C54" s="160"/>
    </row>
    <row r="55" spans="2:3" s="8" customFormat="1" ht="18.75">
      <c r="B55" s="168"/>
      <c r="C55" s="160"/>
    </row>
    <row r="56" spans="2:3" s="8" customFormat="1" ht="18.75">
      <c r="B56" s="168"/>
      <c r="C56" s="160"/>
    </row>
    <row r="57" spans="2:3" s="8" customFormat="1" ht="18.75">
      <c r="B57" s="168"/>
      <c r="C57" s="160"/>
    </row>
    <row r="58" spans="2:3" s="8" customFormat="1" ht="18.75">
      <c r="B58" s="168"/>
      <c r="C58" s="160"/>
    </row>
    <row r="59" spans="2:3" s="8" customFormat="1" ht="18.75">
      <c r="B59" s="168"/>
      <c r="C59" s="160"/>
    </row>
    <row r="60" spans="2:3" s="8" customFormat="1" ht="18.75">
      <c r="B60" s="168"/>
      <c r="C60" s="160"/>
    </row>
    <row r="61" spans="2:3" s="8" customFormat="1" ht="18.75">
      <c r="B61" s="168"/>
      <c r="C61" s="160"/>
    </row>
    <row r="62" spans="2:3" s="8" customFormat="1" ht="18.75">
      <c r="B62" s="168"/>
      <c r="C62" s="160"/>
    </row>
    <row r="63" spans="2:3" s="8" customFormat="1" ht="18.75">
      <c r="B63" s="168"/>
      <c r="C63" s="160"/>
    </row>
    <row r="64" spans="2:3" s="8" customFormat="1" ht="18.75">
      <c r="B64" s="168"/>
      <c r="C64" s="160"/>
    </row>
    <row r="65" spans="2:3" s="8" customFormat="1" ht="18.75">
      <c r="B65" s="168"/>
      <c r="C65" s="160"/>
    </row>
    <row r="66" spans="2:3" s="8" customFormat="1" ht="18.75">
      <c r="B66" s="168"/>
      <c r="C66" s="160"/>
    </row>
    <row r="67" spans="2:3" s="8" customFormat="1" ht="18.7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tabSelected="1" workbookViewId="0">
      <selection activeCell="D13" sqref="D13"/>
    </sheetView>
  </sheetViews>
  <sheetFormatPr defaultColWidth="8.7109375" defaultRowHeight="12.75"/>
  <cols>
    <col min="1" max="1" width="36.7109375" style="389" customWidth="1"/>
    <col min="2" max="2" width="83.42578125" style="389" customWidth="1"/>
    <col min="3" max="3" width="6.7109375" style="389" customWidth="1"/>
    <col min="4" max="4" width="48.42578125" style="389" customWidth="1"/>
    <col min="5" max="20" width="6.7109375" style="389" customWidth="1"/>
    <col min="21" max="21" width="5.7109375" style="389" customWidth="1"/>
    <col min="22" max="16384" width="8.7109375" style="389"/>
  </cols>
  <sheetData>
    <row r="1" spans="1:10">
      <c r="A1" s="385" t="s">
        <v>389</v>
      </c>
      <c r="B1" s="386" t="str">
        <f>IF(StartupInfo!B3="","",StartupInfo!B3)</f>
        <v>Software for Mars (Pty) Ltd</v>
      </c>
      <c r="D1" s="392"/>
      <c r="J1" s="393"/>
    </row>
    <row r="2" spans="1:10">
      <c r="A2" s="394" t="str">
        <f>StartupInfo!A10</f>
        <v>Country</v>
      </c>
      <c r="B2" s="387" t="str">
        <f>IF(StartupInfo!B10="","",StartupInfo!B10)</f>
        <v>China</v>
      </c>
      <c r="D2" s="392"/>
      <c r="J2" s="393"/>
    </row>
    <row r="3" spans="1:10" ht="29.6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1675</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1493</v>
      </c>
      <c r="B32" s="385" t="s">
        <v>382</v>
      </c>
    </row>
    <row r="33" spans="1:2" ht="31.9" customHeight="1">
      <c r="A33" s="394" t="s">
        <v>794</v>
      </c>
      <c r="B33" s="390" t="s">
        <v>1494</v>
      </c>
    </row>
    <row r="34" spans="1:2" ht="31.9" customHeight="1">
      <c r="A34" s="394" t="s">
        <v>1495</v>
      </c>
      <c r="B34" s="391" t="s">
        <v>1381</v>
      </c>
    </row>
    <row r="35" spans="1:2" ht="31.9" customHeight="1">
      <c r="A35" s="394" t="s">
        <v>795</v>
      </c>
      <c r="B35" s="391" t="s">
        <v>1378</v>
      </c>
    </row>
    <row r="36" spans="1:2" ht="31.9" customHeight="1">
      <c r="A36" s="394" t="s">
        <v>1496</v>
      </c>
      <c r="B36" s="391" t="s">
        <v>1379</v>
      </c>
    </row>
    <row r="37" spans="1:2" ht="31.9" customHeight="1">
      <c r="A37" s="394" t="s">
        <v>672</v>
      </c>
      <c r="B37" s="391" t="s">
        <v>1497</v>
      </c>
    </row>
    <row r="38" spans="1:2">
      <c r="A38" s="385" t="s">
        <v>1498</v>
      </c>
      <c r="B38" s="385" t="s">
        <v>382</v>
      </c>
    </row>
    <row r="39" spans="1:2" ht="34.9" customHeight="1">
      <c r="A39" s="394" t="s">
        <v>1499</v>
      </c>
      <c r="B39" s="391" t="s">
        <v>1500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109375" defaultRowHeight="15.75"/>
  <cols>
    <col min="1" max="1" width="108.28515625" style="177" customWidth="1"/>
    <col min="2" max="19" width="6.7109375" style="383" customWidth="1"/>
    <col min="20" max="20" width="5.7109375" style="383" customWidth="1"/>
    <col min="21" max="16384" width="8.7109375" style="384"/>
  </cols>
  <sheetData>
    <row r="1" spans="1:1">
      <c r="A1" s="395" t="str">
        <f>Planning!A42</f>
        <v>Business objectives</v>
      </c>
    </row>
    <row r="2" spans="1:1" ht="47.25">
      <c r="A2" s="396" t="str">
        <f>Planning!B42</f>
        <v>[BO-1] Improve production efficiency to improve productivity 
[BO-2] Improve delivery capacity
[BO-3] Reduce Code Acceptance Defects</v>
      </c>
    </row>
    <row r="3" spans="1:1">
      <c r="A3" s="395" t="str">
        <f>Planning!A54</f>
        <v>Appraisal objectives</v>
      </c>
    </row>
    <row r="4" spans="1:1" ht="31.5">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5">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5">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2" t="str">
        <f>'P1PA-SS'!B128</f>
        <v>Type of Work</v>
      </c>
    </row>
    <row r="35" spans="1:1">
      <c r="A35" s="403"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109375" defaultRowHeight="15"/>
  <cols>
    <col min="1" max="1" width="38.28515625" style="358" customWidth="1"/>
    <col min="2" max="2" width="52.28515625" style="358" customWidth="1"/>
    <col min="3" max="3" width="10.85546875" style="358" customWidth="1"/>
    <col min="4" max="4" width="49.42578125" style="358" hidden="1" customWidth="1"/>
    <col min="5" max="10" width="8.7109375" style="358"/>
    <col min="11" max="11" width="2.42578125" style="358" customWidth="1"/>
    <col min="12" max="16384" width="8.7109375" style="358"/>
  </cols>
  <sheetData>
    <row r="2" spans="1:16" ht="13.15" customHeight="1">
      <c r="A2" s="518" t="str">
        <f>'P1PA-SS'!B76</f>
        <v>CMMI Development V2.0 (CMMI-DEV) without SAM</v>
      </c>
      <c r="B2" s="519"/>
      <c r="C2" s="519"/>
      <c r="D2" s="518"/>
      <c r="E2" s="519"/>
      <c r="F2" s="519"/>
      <c r="G2" s="519"/>
      <c r="H2" s="519"/>
      <c r="I2" s="519"/>
      <c r="L2" s="360" t="s">
        <v>1298</v>
      </c>
      <c r="M2" s="360">
        <f>VALUE(RIGHT(Planning!B10,1))</f>
        <v>5</v>
      </c>
      <c r="N2" s="348" t="s">
        <v>1299</v>
      </c>
    </row>
    <row r="3" spans="1:16" s="347" customFormat="1">
      <c r="A3" s="520" t="str">
        <f>'P1PA-SS'!B75</f>
        <v>Maturity Level 5</v>
      </c>
      <c r="B3" s="521"/>
      <c r="C3" s="521"/>
      <c r="D3" s="520"/>
      <c r="E3" s="521"/>
      <c r="F3" s="521"/>
      <c r="G3" s="521"/>
      <c r="H3" s="521"/>
      <c r="I3" s="521"/>
      <c r="J3" s="363"/>
      <c r="K3" s="358"/>
      <c r="L3" s="358"/>
      <c r="M3" s="358"/>
      <c r="N3" s="363"/>
      <c r="O3" s="363"/>
      <c r="P3" s="363"/>
    </row>
    <row r="4" spans="1:16">
      <c r="A4" s="364" t="s">
        <v>1474</v>
      </c>
      <c r="B4" s="364" t="s">
        <v>919</v>
      </c>
      <c r="C4" s="365" t="s">
        <v>1475</v>
      </c>
      <c r="D4" s="378" t="s">
        <v>919</v>
      </c>
      <c r="E4" s="379">
        <v>1</v>
      </c>
      <c r="F4" s="379">
        <v>2</v>
      </c>
      <c r="G4" s="379">
        <v>3</v>
      </c>
      <c r="H4" s="379">
        <v>4</v>
      </c>
      <c r="I4" s="379">
        <v>5</v>
      </c>
      <c r="M4" s="358" t="s">
        <v>1490</v>
      </c>
    </row>
    <row r="5" spans="1:16" ht="20.65" customHeight="1">
      <c r="A5" s="527" t="s">
        <v>1479</v>
      </c>
      <c r="B5" s="366" t="s">
        <v>1032</v>
      </c>
      <c r="C5" s="359">
        <f t="shared" ref="C5:C24" si="0">IF(M5&gt;=$M$2,$M$2,M5)</f>
        <v>3</v>
      </c>
      <c r="D5" s="380" t="s">
        <v>1032</v>
      </c>
      <c r="E5" s="381" t="str">
        <f>IF($C5&gt;=E$4,"x","")</f>
        <v>x</v>
      </c>
      <c r="F5" s="381" t="str">
        <f t="shared" ref="F5:I20" si="1">IF($C5&gt;=F$4,"x","")</f>
        <v>x</v>
      </c>
      <c r="G5" s="381" t="str">
        <f t="shared" si="1"/>
        <v>x</v>
      </c>
      <c r="H5" s="381" t="str">
        <f t="shared" si="1"/>
        <v/>
      </c>
      <c r="I5" s="381" t="str">
        <f t="shared" si="1"/>
        <v/>
      </c>
      <c r="M5" s="358">
        <v>3</v>
      </c>
    </row>
    <row r="6" spans="1:16" ht="20.65" customHeight="1">
      <c r="A6" s="527"/>
      <c r="B6" s="366" t="s">
        <v>1047</v>
      </c>
      <c r="C6" s="359">
        <f t="shared" si="0"/>
        <v>3</v>
      </c>
      <c r="D6" s="380" t="s">
        <v>1047</v>
      </c>
      <c r="E6" s="381" t="str">
        <f t="shared" ref="E6:I24" si="2">IF($C6&gt;=E$4,"x","")</f>
        <v>x</v>
      </c>
      <c r="F6" s="381" t="str">
        <f t="shared" si="1"/>
        <v>x</v>
      </c>
      <c r="G6" s="381" t="str">
        <f t="shared" si="1"/>
        <v>x</v>
      </c>
      <c r="H6" s="381" t="str">
        <f t="shared" si="1"/>
        <v/>
      </c>
      <c r="I6" s="381" t="str">
        <f t="shared" si="1"/>
        <v/>
      </c>
      <c r="M6" s="358">
        <v>3</v>
      </c>
    </row>
    <row r="7" spans="1:16" ht="20.65" customHeight="1">
      <c r="A7" s="527"/>
      <c r="B7" s="366" t="s">
        <v>1026</v>
      </c>
      <c r="C7" s="359">
        <f t="shared" si="0"/>
        <v>3</v>
      </c>
      <c r="D7" s="380" t="s">
        <v>1026</v>
      </c>
      <c r="E7" s="381" t="str">
        <f t="shared" si="2"/>
        <v>x</v>
      </c>
      <c r="F7" s="381" t="str">
        <f t="shared" si="1"/>
        <v>x</v>
      </c>
      <c r="G7" s="381" t="str">
        <f t="shared" si="1"/>
        <v>x</v>
      </c>
      <c r="H7" s="381" t="str">
        <f t="shared" si="1"/>
        <v/>
      </c>
      <c r="I7" s="381" t="str">
        <f t="shared" si="1"/>
        <v/>
      </c>
      <c r="M7" s="358">
        <v>3</v>
      </c>
    </row>
    <row r="8" spans="1:16" ht="20.65" customHeight="1">
      <c r="A8" s="527"/>
      <c r="B8" s="366" t="s">
        <v>1480</v>
      </c>
      <c r="C8" s="359">
        <f t="shared" si="0"/>
        <v>3</v>
      </c>
      <c r="D8" s="380" t="s">
        <v>1480</v>
      </c>
      <c r="E8" s="381" t="str">
        <f t="shared" si="2"/>
        <v>x</v>
      </c>
      <c r="F8" s="381" t="str">
        <f t="shared" si="1"/>
        <v>x</v>
      </c>
      <c r="G8" s="381" t="str">
        <f t="shared" si="1"/>
        <v>x</v>
      </c>
      <c r="H8" s="381" t="str">
        <f t="shared" si="1"/>
        <v/>
      </c>
      <c r="I8" s="381" t="str">
        <f t="shared" si="1"/>
        <v/>
      </c>
      <c r="M8" s="358">
        <v>3</v>
      </c>
    </row>
    <row r="9" spans="1:16" ht="20.65" customHeight="1">
      <c r="A9" s="522" t="s">
        <v>1482</v>
      </c>
      <c r="B9" s="367" t="s">
        <v>1033</v>
      </c>
      <c r="C9" s="359">
        <f t="shared" si="0"/>
        <v>3</v>
      </c>
      <c r="D9" s="380" t="s">
        <v>1033</v>
      </c>
      <c r="E9" s="381" t="str">
        <f t="shared" si="2"/>
        <v>x</v>
      </c>
      <c r="F9" s="381" t="str">
        <f t="shared" si="1"/>
        <v>x</v>
      </c>
      <c r="G9" s="381" t="str">
        <f t="shared" si="1"/>
        <v>x</v>
      </c>
      <c r="H9" s="381" t="str">
        <f t="shared" si="1"/>
        <v/>
      </c>
      <c r="I9" s="381" t="str">
        <f t="shared" si="1"/>
        <v/>
      </c>
      <c r="M9" s="358">
        <v>3</v>
      </c>
    </row>
    <row r="10" spans="1:16" ht="20.65" customHeight="1">
      <c r="A10" s="522"/>
      <c r="B10" s="367" t="s">
        <v>1034</v>
      </c>
      <c r="C10" s="359">
        <f t="shared" si="0"/>
        <v>3</v>
      </c>
      <c r="D10" s="380" t="s">
        <v>1034</v>
      </c>
      <c r="E10" s="381" t="str">
        <f t="shared" si="2"/>
        <v>x</v>
      </c>
      <c r="F10" s="381" t="str">
        <f t="shared" si="1"/>
        <v>x</v>
      </c>
      <c r="G10" s="381" t="str">
        <f t="shared" si="1"/>
        <v>x</v>
      </c>
      <c r="H10" s="381" t="str">
        <f t="shared" si="1"/>
        <v/>
      </c>
      <c r="I10" s="381" t="str">
        <f t="shared" si="1"/>
        <v/>
      </c>
      <c r="M10" s="358">
        <v>3</v>
      </c>
    </row>
    <row r="11" spans="1:16" ht="20.65" customHeight="1">
      <c r="A11" s="368" t="s">
        <v>1491</v>
      </c>
      <c r="B11" s="369" t="s">
        <v>1492</v>
      </c>
      <c r="C11" s="359">
        <f t="shared" si="0"/>
        <v>4</v>
      </c>
      <c r="D11" s="380" t="s">
        <v>1492</v>
      </c>
      <c r="E11" s="381" t="str">
        <f t="shared" si="2"/>
        <v>x</v>
      </c>
      <c r="F11" s="381" t="str">
        <f t="shared" si="1"/>
        <v>x</v>
      </c>
      <c r="G11" s="381" t="str">
        <f t="shared" si="1"/>
        <v>x</v>
      </c>
      <c r="H11" s="381" t="str">
        <f t="shared" si="1"/>
        <v>x</v>
      </c>
      <c r="I11" s="381" t="str">
        <f t="shared" si="1"/>
        <v/>
      </c>
      <c r="M11" s="358">
        <v>4</v>
      </c>
    </row>
    <row r="12" spans="1:16" ht="20.65" customHeight="1">
      <c r="A12" s="523" t="s">
        <v>1489</v>
      </c>
      <c r="B12" s="370" t="s">
        <v>1030</v>
      </c>
      <c r="C12" s="359">
        <f t="shared" si="0"/>
        <v>3</v>
      </c>
      <c r="D12" s="380" t="s">
        <v>1030</v>
      </c>
      <c r="E12" s="381" t="str">
        <f t="shared" si="2"/>
        <v>x</v>
      </c>
      <c r="F12" s="381" t="str">
        <f t="shared" si="1"/>
        <v>x</v>
      </c>
      <c r="G12" s="381" t="str">
        <f t="shared" si="1"/>
        <v>x</v>
      </c>
      <c r="H12" s="381" t="str">
        <f t="shared" si="1"/>
        <v/>
      </c>
      <c r="I12" s="381" t="str">
        <f t="shared" si="1"/>
        <v/>
      </c>
      <c r="M12" s="358">
        <v>3</v>
      </c>
    </row>
    <row r="13" spans="1:16" ht="20.65" customHeight="1">
      <c r="A13" s="523"/>
      <c r="B13" s="370" t="s">
        <v>1029</v>
      </c>
      <c r="C13" s="359">
        <f t="shared" si="0"/>
        <v>4</v>
      </c>
      <c r="D13" s="380" t="s">
        <v>1029</v>
      </c>
      <c r="E13" s="381" t="str">
        <f t="shared" si="2"/>
        <v>x</v>
      </c>
      <c r="F13" s="381" t="str">
        <f t="shared" si="1"/>
        <v>x</v>
      </c>
      <c r="G13" s="381" t="str">
        <f t="shared" si="1"/>
        <v>x</v>
      </c>
      <c r="H13" s="381" t="str">
        <f t="shared" si="1"/>
        <v>x</v>
      </c>
      <c r="I13" s="381" t="str">
        <f t="shared" si="1"/>
        <v/>
      </c>
      <c r="M13" s="358">
        <v>4</v>
      </c>
    </row>
    <row r="14" spans="1:16" ht="20.65" customHeight="1">
      <c r="A14" s="523"/>
      <c r="B14" s="370" t="s">
        <v>1483</v>
      </c>
      <c r="C14" s="359">
        <f t="shared" si="0"/>
        <v>3</v>
      </c>
      <c r="D14" s="380" t="s">
        <v>1483</v>
      </c>
      <c r="E14" s="381" t="str">
        <f t="shared" si="2"/>
        <v>x</v>
      </c>
      <c r="F14" s="381" t="str">
        <f t="shared" si="1"/>
        <v>x</v>
      </c>
      <c r="G14" s="381" t="str">
        <f t="shared" si="1"/>
        <v>x</v>
      </c>
      <c r="H14" s="381" t="str">
        <f t="shared" si="1"/>
        <v/>
      </c>
      <c r="I14" s="381" t="str">
        <f t="shared" si="1"/>
        <v/>
      </c>
      <c r="M14" s="358">
        <v>3</v>
      </c>
    </row>
    <row r="15" spans="1:16" ht="20.65" customHeight="1">
      <c r="A15" s="371" t="s">
        <v>1488</v>
      </c>
      <c r="B15" s="372" t="s">
        <v>1031</v>
      </c>
      <c r="C15" s="359">
        <f t="shared" si="0"/>
        <v>3</v>
      </c>
      <c r="D15" s="380" t="s">
        <v>1031</v>
      </c>
      <c r="E15" s="381" t="str">
        <f t="shared" si="2"/>
        <v>x</v>
      </c>
      <c r="F15" s="381" t="str">
        <f t="shared" si="1"/>
        <v>x</v>
      </c>
      <c r="G15" s="381" t="str">
        <f t="shared" si="1"/>
        <v>x</v>
      </c>
      <c r="H15" s="381" t="str">
        <f t="shared" si="1"/>
        <v/>
      </c>
      <c r="I15" s="381" t="str">
        <f t="shared" si="1"/>
        <v/>
      </c>
      <c r="M15" s="358">
        <v>3</v>
      </c>
    </row>
    <row r="16" spans="1:16" ht="20.65" customHeight="1">
      <c r="A16" s="373" t="s">
        <v>1487</v>
      </c>
      <c r="B16" s="374" t="s">
        <v>1023</v>
      </c>
      <c r="C16" s="359">
        <f t="shared" si="0"/>
        <v>3</v>
      </c>
      <c r="D16" s="380" t="s">
        <v>1023</v>
      </c>
      <c r="E16" s="381" t="str">
        <f t="shared" si="2"/>
        <v>x</v>
      </c>
      <c r="F16" s="381" t="str">
        <f t="shared" si="1"/>
        <v>x</v>
      </c>
      <c r="G16" s="381" t="str">
        <f t="shared" si="1"/>
        <v>x</v>
      </c>
      <c r="H16" s="381" t="str">
        <f t="shared" si="1"/>
        <v/>
      </c>
      <c r="I16" s="381" t="str">
        <f t="shared" si="1"/>
        <v/>
      </c>
      <c r="M16" s="358">
        <v>3</v>
      </c>
    </row>
    <row r="17" spans="1:13" ht="20.65" customHeight="1">
      <c r="A17" s="524" t="s">
        <v>1486</v>
      </c>
      <c r="B17" s="375" t="s">
        <v>1021</v>
      </c>
      <c r="C17" s="359">
        <f t="shared" si="0"/>
        <v>5</v>
      </c>
      <c r="D17" s="380" t="s">
        <v>1021</v>
      </c>
      <c r="E17" s="381" t="str">
        <f t="shared" si="2"/>
        <v>x</v>
      </c>
      <c r="F17" s="381" t="str">
        <f t="shared" si="1"/>
        <v>x</v>
      </c>
      <c r="G17" s="381" t="str">
        <f t="shared" si="1"/>
        <v>x</v>
      </c>
      <c r="H17" s="381" t="str">
        <f t="shared" si="1"/>
        <v>x</v>
      </c>
      <c r="I17" s="381" t="str">
        <f t="shared" si="1"/>
        <v>x</v>
      </c>
      <c r="M17" s="358">
        <v>5</v>
      </c>
    </row>
    <row r="18" spans="1:13" ht="20.65" customHeight="1">
      <c r="A18" s="524"/>
      <c r="B18" s="375" t="s">
        <v>1022</v>
      </c>
      <c r="C18" s="359">
        <f t="shared" si="0"/>
        <v>3</v>
      </c>
      <c r="D18" s="380" t="s">
        <v>1022</v>
      </c>
      <c r="E18" s="381" t="str">
        <f t="shared" si="2"/>
        <v>x</v>
      </c>
      <c r="F18" s="381" t="str">
        <f t="shared" si="1"/>
        <v>x</v>
      </c>
      <c r="G18" s="381" t="str">
        <f t="shared" si="1"/>
        <v>x</v>
      </c>
      <c r="H18" s="381" t="str">
        <f t="shared" si="1"/>
        <v/>
      </c>
      <c r="I18" s="381" t="str">
        <f t="shared" si="1"/>
        <v/>
      </c>
      <c r="M18" s="358">
        <v>3</v>
      </c>
    </row>
    <row r="19" spans="1:13" ht="20.65" customHeight="1">
      <c r="A19" s="524"/>
      <c r="B19" s="375" t="s">
        <v>1028</v>
      </c>
      <c r="C19" s="359">
        <f t="shared" si="0"/>
        <v>2</v>
      </c>
      <c r="D19" s="380" t="s">
        <v>1028</v>
      </c>
      <c r="E19" s="381" t="str">
        <f t="shared" si="2"/>
        <v>x</v>
      </c>
      <c r="F19" s="381" t="str">
        <f t="shared" si="1"/>
        <v>x</v>
      </c>
      <c r="G19" s="381" t="str">
        <f t="shared" si="1"/>
        <v/>
      </c>
      <c r="H19" s="381" t="str">
        <f t="shared" si="1"/>
        <v/>
      </c>
      <c r="I19" s="381" t="str">
        <f t="shared" si="1"/>
        <v/>
      </c>
      <c r="M19" s="358">
        <v>2</v>
      </c>
    </row>
    <row r="20" spans="1:13" ht="20.65" customHeight="1">
      <c r="A20" s="525" t="s">
        <v>1485</v>
      </c>
      <c r="B20" s="376" t="s">
        <v>1676</v>
      </c>
      <c r="C20" s="359">
        <f t="shared" si="0"/>
        <v>4</v>
      </c>
      <c r="D20" s="380" t="s">
        <v>1676</v>
      </c>
      <c r="E20" s="381" t="str">
        <f t="shared" si="2"/>
        <v>x</v>
      </c>
      <c r="F20" s="381" t="str">
        <f t="shared" si="1"/>
        <v>x</v>
      </c>
      <c r="G20" s="381" t="str">
        <f t="shared" si="1"/>
        <v>x</v>
      </c>
      <c r="H20" s="381" t="str">
        <f t="shared" si="1"/>
        <v>x</v>
      </c>
      <c r="I20" s="381" t="str">
        <f t="shared" si="1"/>
        <v/>
      </c>
      <c r="M20" s="358">
        <v>4</v>
      </c>
    </row>
    <row r="21" spans="1:13" ht="20.65" customHeight="1">
      <c r="A21" s="525"/>
      <c r="B21" s="376" t="s">
        <v>1484</v>
      </c>
      <c r="C21" s="359">
        <f t="shared" si="0"/>
        <v>3</v>
      </c>
      <c r="D21" s="380" t="s">
        <v>1484</v>
      </c>
      <c r="E21" s="381" t="str">
        <f t="shared" si="2"/>
        <v>x</v>
      </c>
      <c r="F21" s="381" t="str">
        <f t="shared" si="2"/>
        <v>x</v>
      </c>
      <c r="G21" s="381" t="str">
        <f t="shared" si="2"/>
        <v>x</v>
      </c>
      <c r="H21" s="381" t="str">
        <f t="shared" si="2"/>
        <v/>
      </c>
      <c r="I21" s="381" t="str">
        <f t="shared" si="2"/>
        <v/>
      </c>
      <c r="M21" s="358">
        <v>3</v>
      </c>
    </row>
    <row r="22" spans="1:13" ht="20.65" customHeight="1">
      <c r="A22" s="526" t="s">
        <v>1481</v>
      </c>
      <c r="B22" s="377" t="s">
        <v>1027</v>
      </c>
      <c r="C22" s="359">
        <f t="shared" si="0"/>
        <v>5</v>
      </c>
      <c r="D22" s="380" t="s">
        <v>1027</v>
      </c>
      <c r="E22" s="381" t="str">
        <f t="shared" si="2"/>
        <v>x</v>
      </c>
      <c r="F22" s="381" t="str">
        <f t="shared" si="2"/>
        <v>x</v>
      </c>
      <c r="G22" s="381" t="str">
        <f t="shared" si="2"/>
        <v>x</v>
      </c>
      <c r="H22" s="381" t="str">
        <f t="shared" si="2"/>
        <v>x</v>
      </c>
      <c r="I22" s="381" t="str">
        <f t="shared" si="2"/>
        <v>x</v>
      </c>
      <c r="M22" s="358">
        <v>5</v>
      </c>
    </row>
    <row r="23" spans="1:13" ht="20.65" customHeight="1">
      <c r="A23" s="526"/>
      <c r="B23" s="377" t="s">
        <v>1024</v>
      </c>
      <c r="C23" s="359">
        <f t="shared" si="0"/>
        <v>4</v>
      </c>
      <c r="D23" s="380" t="s">
        <v>1024</v>
      </c>
      <c r="E23" s="381" t="str">
        <f t="shared" si="2"/>
        <v>x</v>
      </c>
      <c r="F23" s="381" t="str">
        <f t="shared" si="2"/>
        <v>x</v>
      </c>
      <c r="G23" s="381" t="str">
        <f t="shared" si="2"/>
        <v>x</v>
      </c>
      <c r="H23" s="381" t="str">
        <f t="shared" si="2"/>
        <v>x</v>
      </c>
      <c r="I23" s="381" t="str">
        <f t="shared" si="2"/>
        <v/>
      </c>
      <c r="M23" s="358">
        <v>4</v>
      </c>
    </row>
    <row r="24" spans="1:13" ht="20.65" customHeight="1">
      <c r="A24" s="526"/>
      <c r="B24" s="377" t="s">
        <v>1025</v>
      </c>
      <c r="C24" s="359">
        <f t="shared" si="0"/>
        <v>3</v>
      </c>
      <c r="D24" s="380" t="s">
        <v>1025</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109375" defaultRowHeight="21"/>
  <cols>
    <col min="1" max="1" width="45.140625" style="152" customWidth="1"/>
    <col min="2" max="3" width="18.28515625" style="152" customWidth="1"/>
    <col min="4" max="20" width="6.7109375" style="150" customWidth="1"/>
    <col min="21" max="21" width="6.7109375" style="150" hidden="1" customWidth="1"/>
    <col min="22" max="22" width="5.7109375" style="150" customWidth="1"/>
    <col min="23" max="16384" width="8.710937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75">
      <c r="A5" s="243"/>
      <c r="B5" s="243"/>
      <c r="C5" s="243"/>
      <c r="D5" s="244"/>
      <c r="E5" s="244"/>
      <c r="F5" s="244"/>
      <c r="G5" s="244"/>
      <c r="H5" s="244"/>
      <c r="I5" s="244"/>
      <c r="J5" s="244"/>
      <c r="K5" s="244"/>
      <c r="L5" s="244"/>
      <c r="M5" s="244"/>
      <c r="N5" s="244"/>
      <c r="O5" s="244"/>
      <c r="P5" s="244"/>
      <c r="Q5" s="244"/>
      <c r="R5" s="244"/>
      <c r="S5" s="244"/>
      <c r="T5" s="244"/>
      <c r="U5" s="244"/>
    </row>
    <row r="6" spans="1:22" ht="18.75">
      <c r="A6" s="243"/>
      <c r="B6" s="243"/>
      <c r="C6" s="243"/>
      <c r="D6" s="244"/>
      <c r="E6" s="244"/>
      <c r="F6" s="244"/>
      <c r="G6" s="244"/>
      <c r="H6" s="244"/>
      <c r="I6" s="244"/>
      <c r="J6" s="244"/>
      <c r="K6" s="244"/>
      <c r="L6" s="244"/>
      <c r="M6" s="244"/>
      <c r="N6" s="244"/>
      <c r="O6" s="244"/>
      <c r="P6" s="244"/>
      <c r="Q6" s="244"/>
      <c r="R6" s="244"/>
      <c r="S6" s="244"/>
      <c r="T6" s="244"/>
      <c r="U6" s="244"/>
    </row>
    <row r="7" spans="1:22" ht="18.75">
      <c r="A7" s="243"/>
      <c r="B7" s="243"/>
      <c r="C7" s="243"/>
      <c r="D7" s="244"/>
      <c r="E7" s="244"/>
      <c r="F7" s="244"/>
      <c r="G7" s="244"/>
      <c r="H7" s="244"/>
      <c r="I7" s="244"/>
      <c r="J7" s="244"/>
      <c r="K7" s="244"/>
      <c r="L7" s="244"/>
      <c r="M7" s="244"/>
      <c r="N7" s="244"/>
      <c r="O7" s="244"/>
      <c r="P7" s="244"/>
      <c r="Q7" s="244"/>
      <c r="R7" s="244"/>
      <c r="S7" s="244"/>
      <c r="T7" s="244"/>
      <c r="U7" s="244"/>
    </row>
    <row r="8" spans="1:22" ht="18.75">
      <c r="A8" s="243"/>
      <c r="B8" s="243"/>
      <c r="C8" s="243"/>
      <c r="D8" s="244"/>
      <c r="E8" s="244"/>
      <c r="F8" s="244"/>
      <c r="G8" s="244"/>
      <c r="H8" s="244"/>
      <c r="I8" s="244"/>
      <c r="J8" s="244"/>
      <c r="K8" s="244"/>
      <c r="L8" s="244"/>
      <c r="M8" s="244"/>
      <c r="N8" s="244"/>
      <c r="O8" s="244"/>
      <c r="P8" s="244"/>
      <c r="Q8" s="244"/>
      <c r="R8" s="244"/>
      <c r="S8" s="244"/>
      <c r="T8" s="244"/>
      <c r="U8" s="244"/>
    </row>
    <row r="9" spans="1:22" ht="18.7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1169</v>
      </c>
      <c r="E24" s="234" t="s">
        <v>1205</v>
      </c>
      <c r="G24" s="247" t="s">
        <v>1178</v>
      </c>
      <c r="H24" s="150" t="s">
        <v>1206</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109375" defaultRowHeight="15"/>
  <cols>
    <col min="1" max="1" width="14.28515625" style="8" customWidth="1"/>
    <col min="2" max="2" width="25.7109375" style="8" customWidth="1"/>
    <col min="3" max="3" width="20.85546875" style="8" customWidth="1"/>
    <col min="4" max="4" width="84.7109375" style="8" customWidth="1"/>
    <col min="5" max="5" width="17.7109375" style="8" customWidth="1"/>
    <col min="6" max="16384" width="8.7109375" style="8"/>
  </cols>
  <sheetData>
    <row r="1" spans="1:5" ht="21">
      <c r="A1" s="203" t="s">
        <v>1120</v>
      </c>
      <c r="B1" s="203" t="s">
        <v>1122</v>
      </c>
      <c r="C1" s="226" t="s">
        <v>1121</v>
      </c>
      <c r="D1" s="203" t="s">
        <v>382</v>
      </c>
      <c r="E1" s="203" t="s">
        <v>1125</v>
      </c>
    </row>
    <row r="2" spans="1:5" ht="63" customHeight="1">
      <c r="A2" s="531" t="str">
        <f>_xlfn.CONCAT('P1PA-SS'!B138,"(",'P1PA-SS'!B139,")")</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1677</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8" t="s">
        <v>1124</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109375" defaultRowHeight="15.75"/>
  <cols>
    <col min="1" max="1" width="8.7109375" style="384"/>
    <col min="2" max="2" width="39.7109375" style="384" customWidth="1"/>
    <col min="3" max="3" width="40.28515625" style="384" customWidth="1"/>
    <col min="4" max="4" width="64.28515625" style="384" customWidth="1"/>
    <col min="5" max="5" width="39.7109375" style="384" customWidth="1"/>
    <col min="6" max="16384" width="8.7109375" style="384"/>
  </cols>
  <sheetData>
    <row r="2" spans="2:5">
      <c r="B2" s="382" t="s">
        <v>1107</v>
      </c>
      <c r="C2" s="382" t="s">
        <v>1108</v>
      </c>
      <c r="D2" s="382" t="s">
        <v>1109</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1111</v>
      </c>
      <c r="C4" s="404" t="str">
        <f>'Agreement 3'!B7</f>
        <v>van Zyl, Pieter</v>
      </c>
      <c r="D4" s="404"/>
      <c r="E4" s="405">
        <f>E3</f>
        <v>44302</v>
      </c>
    </row>
    <row r="5" spans="2:5" s="218" customFormat="1" ht="30" customHeight="1">
      <c r="B5" s="404" t="s">
        <v>1110</v>
      </c>
      <c r="C5" s="404" t="str">
        <f>'P1PA-SS'!B91</f>
        <v>ATM-1</v>
      </c>
      <c r="D5" s="404"/>
      <c r="E5" s="405">
        <f>E4</f>
        <v>44302</v>
      </c>
    </row>
    <row r="6" spans="2:5" s="218" customFormat="1" ht="30" customHeight="1">
      <c r="B6" s="404" t="s">
        <v>1110</v>
      </c>
      <c r="C6" s="404" t="str">
        <f>'P1PA-SS'!B92</f>
        <v>ATM-2</v>
      </c>
      <c r="D6" s="404"/>
      <c r="E6" s="405">
        <f>E5</f>
        <v>44302</v>
      </c>
    </row>
    <row r="7" spans="2:5" s="218" customFormat="1" ht="30" customHeight="1">
      <c r="B7" s="404" t="s">
        <v>1110</v>
      </c>
      <c r="C7" s="404" t="str">
        <f>'P1PA-SS'!B93</f>
        <v>ATM-3</v>
      </c>
      <c r="D7" s="404"/>
      <c r="E7" s="405">
        <f t="shared" ref="E7:E13" si="0">E6</f>
        <v>44302</v>
      </c>
    </row>
    <row r="8" spans="2:5" s="218" customFormat="1" ht="30" customHeight="1">
      <c r="B8" s="404" t="s">
        <v>1110</v>
      </c>
      <c r="C8" s="404" t="str">
        <f>'P1PA-SS'!B94</f>
        <v>ATM-4</v>
      </c>
      <c r="D8" s="404"/>
      <c r="E8" s="405">
        <f t="shared" si="0"/>
        <v>44302</v>
      </c>
    </row>
    <row r="9" spans="2:5" s="218" customFormat="1" ht="30" customHeight="1">
      <c r="B9" s="404" t="s">
        <v>1110</v>
      </c>
      <c r="C9" s="404" t="str">
        <f>'P1PA-SS'!B95</f>
        <v>ATM-5</v>
      </c>
      <c r="D9" s="404"/>
      <c r="E9" s="405">
        <f t="shared" si="0"/>
        <v>44302</v>
      </c>
    </row>
    <row r="10" spans="2:5" s="218" customFormat="1" ht="30" customHeight="1">
      <c r="B10" s="404" t="s">
        <v>1110</v>
      </c>
      <c r="C10" s="404" t="str">
        <f>'P1PA-SS'!B96</f>
        <v>ATM-6</v>
      </c>
      <c r="D10" s="404"/>
      <c r="E10" s="405">
        <f t="shared" si="0"/>
        <v>44302</v>
      </c>
    </row>
    <row r="11" spans="2:5" s="218" customFormat="1" ht="30" customHeight="1">
      <c r="B11" s="404" t="s">
        <v>1110</v>
      </c>
      <c r="C11" s="404" t="str">
        <f>'P1PA-SS'!B97</f>
        <v>ATM-7</v>
      </c>
      <c r="D11" s="404"/>
      <c r="E11" s="405">
        <f t="shared" si="0"/>
        <v>44302</v>
      </c>
    </row>
    <row r="12" spans="2:5" s="218" customFormat="1" ht="30" customHeight="1">
      <c r="B12" s="404" t="s">
        <v>1110</v>
      </c>
      <c r="C12" s="404" t="str">
        <f>'P1PA-SS'!B98</f>
        <v>ATM-8</v>
      </c>
      <c r="D12" s="404"/>
      <c r="E12" s="405">
        <f t="shared" si="0"/>
        <v>44302</v>
      </c>
    </row>
    <row r="13" spans="2:5" s="218" customFormat="1" ht="30" customHeight="1">
      <c r="B13" s="404" t="s">
        <v>1110</v>
      </c>
      <c r="C13" s="404" t="str">
        <f>'P1PA-SS'!B99</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109375" defaultRowHeight="15.75"/>
  <cols>
    <col min="1" max="1" width="8.7109375" style="384"/>
    <col min="2" max="2" width="9.42578125" style="384" customWidth="1"/>
    <col min="3" max="3" width="54.5703125" style="218" customWidth="1"/>
    <col min="4" max="4" width="61" style="218" customWidth="1"/>
    <col min="5" max="16384" width="8.7109375" style="384"/>
  </cols>
  <sheetData>
    <row r="1" spans="2:13">
      <c r="E1" s="383"/>
      <c r="F1" s="383"/>
      <c r="G1" s="383"/>
      <c r="H1" s="383"/>
      <c r="I1" s="383"/>
      <c r="J1" s="383"/>
      <c r="K1" s="383"/>
      <c r="L1" s="383"/>
      <c r="M1" s="383"/>
    </row>
    <row r="2" spans="2:13">
      <c r="B2" s="535" t="s">
        <v>1117</v>
      </c>
      <c r="C2" s="536"/>
      <c r="D2" s="536"/>
      <c r="E2" s="383"/>
      <c r="F2" s="383"/>
      <c r="G2" s="383"/>
      <c r="H2" s="383"/>
      <c r="I2" s="383"/>
      <c r="J2" s="383"/>
      <c r="K2" s="383"/>
      <c r="L2" s="383"/>
      <c r="M2" s="383"/>
    </row>
    <row r="3" spans="2:13" ht="31.5">
      <c r="B3" s="409">
        <v>1</v>
      </c>
      <c r="C3" s="404" t="s">
        <v>1207</v>
      </c>
      <c r="D3" s="404" t="s">
        <v>1208</v>
      </c>
    </row>
    <row r="4" spans="2:13" ht="31.5">
      <c r="B4" s="409">
        <v>2</v>
      </c>
      <c r="C4" s="404" t="s">
        <v>1209</v>
      </c>
      <c r="D4" s="404" t="s">
        <v>1210</v>
      </c>
    </row>
    <row r="5" spans="2:13" ht="31.5">
      <c r="B5" s="409">
        <v>3</v>
      </c>
      <c r="C5" s="404" t="s">
        <v>1211</v>
      </c>
      <c r="D5" s="404" t="s">
        <v>1212</v>
      </c>
    </row>
    <row r="6" spans="2:13">
      <c r="B6" s="409">
        <v>4</v>
      </c>
      <c r="C6" s="404" t="s">
        <v>1118</v>
      </c>
      <c r="D6" s="404" t="s">
        <v>1119</v>
      </c>
    </row>
    <row r="7" spans="2:13" ht="31.5">
      <c r="B7" s="409">
        <v>5</v>
      </c>
      <c r="C7" s="404" t="s">
        <v>1213</v>
      </c>
      <c r="D7" s="404" t="s">
        <v>1214</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1116</v>
      </c>
      <c r="C18" s="536"/>
      <c r="D18" s="536"/>
    </row>
    <row r="19" spans="2:4" ht="31.5">
      <c r="B19" s="409">
        <v>1</v>
      </c>
      <c r="C19" s="404" t="s">
        <v>1215</v>
      </c>
      <c r="D19" s="404" t="s">
        <v>1216</v>
      </c>
    </row>
    <row r="20" spans="2:4" ht="47.25">
      <c r="B20" s="409">
        <v>2</v>
      </c>
      <c r="C20" s="404" t="s">
        <v>1217</v>
      </c>
      <c r="D20" s="404" t="s">
        <v>1218</v>
      </c>
    </row>
    <row r="21" spans="2:4" ht="47.25">
      <c r="B21" s="409">
        <v>3</v>
      </c>
      <c r="C21" s="404" t="s">
        <v>1219</v>
      </c>
      <c r="D21" s="404" t="s">
        <v>1220</v>
      </c>
    </row>
    <row r="22" spans="2:4" ht="47.25">
      <c r="B22" s="409">
        <v>4</v>
      </c>
      <c r="C22" s="404" t="s">
        <v>1221</v>
      </c>
      <c r="D22" s="404" t="s">
        <v>1222</v>
      </c>
    </row>
    <row r="23" spans="2:4" ht="47.25">
      <c r="B23" s="409">
        <v>5</v>
      </c>
      <c r="C23" s="404" t="s">
        <v>1223</v>
      </c>
      <c r="D23" s="404" t="s">
        <v>1224</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5"/>
  <cols>
    <col min="2" max="2" width="22.42578125" customWidth="1"/>
    <col min="4" max="4" width="45.42578125" customWidth="1"/>
    <col min="5" max="5" width="14.42578125" customWidth="1"/>
    <col min="6" max="6" width="16.7109375" customWidth="1"/>
    <col min="18" max="18" width="21" customWidth="1"/>
    <col min="37" max="37" width="10.7109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109375" defaultRowHeight="15"/>
  <cols>
    <col min="1" max="1" width="13.28515625" style="125" customWidth="1"/>
    <col min="2" max="3" width="25.7109375" style="125" customWidth="1"/>
    <col min="4" max="16384" width="8.710937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cp:lastModifiedBy>
  <cp:lastPrinted>2021-01-17T11:16:17Z</cp:lastPrinted>
  <dcterms:created xsi:type="dcterms:W3CDTF">2020-09-22T13:41:36Z</dcterms:created>
  <dcterms:modified xsi:type="dcterms:W3CDTF">2021-07-12T04:39:09Z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