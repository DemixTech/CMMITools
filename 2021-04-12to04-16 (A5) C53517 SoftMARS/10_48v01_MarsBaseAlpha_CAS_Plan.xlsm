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G:\2021-04-12to04-16 (A5) C53517 SoftMARS\"/>
    </mc:Choice>
  </mc:AlternateContent>
  <xr:revisionPtr revIDLastSave="0" documentId="8_{15E3208C-BAF8-4FCB-842F-033BA807EFD5}" xr6:coauthVersionLast="46" xr6:coauthVersionMax="46" xr10:uidLastSave="{00000000-0000-0000-0000-000000000000}"/>
  <bookViews>
    <workbookView xWindow="-120" yWindow="-16320" windowWidth="29040" windowHeight="15840" firstSheet="30" activeTab="37"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ATM_PA!$A$1:$X$24</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5" i="46" l="1"/>
  <c r="G14" i="46"/>
  <c r="G13" i="46"/>
  <c r="F11" i="46"/>
  <c r="B7" i="46"/>
  <c r="B5" i="46"/>
  <c r="B4" i="46"/>
  <c r="B3" i="46"/>
  <c r="B2" i="46"/>
  <c r="F14" i="44" l="1"/>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H5" i="32"/>
  <c r="H6" i="32"/>
  <c r="H7" i="32"/>
  <c r="H8" i="32"/>
  <c r="H9" i="32"/>
  <c r="H10" i="32"/>
  <c r="H11" i="32"/>
  <c r="H12" i="32"/>
  <c r="H13" i="32"/>
  <c r="H14" i="32"/>
  <c r="H15" i="32"/>
  <c r="H16" i="32"/>
  <c r="H17" i="32"/>
  <c r="H18" i="32"/>
  <c r="B27" i="19"/>
  <c r="H3" i="32"/>
  <c r="I3" i="32"/>
  <c r="H4" i="32"/>
  <c r="I4" i="32"/>
  <c r="I5" i="32"/>
  <c r="I6" i="32"/>
  <c r="I7" i="32"/>
  <c r="I8" i="32"/>
  <c r="I9" i="32"/>
  <c r="I10" i="32"/>
  <c r="I11" i="32"/>
  <c r="I12" i="32"/>
  <c r="I13" i="32"/>
  <c r="I14" i="32"/>
  <c r="I15" i="32"/>
  <c r="I16" i="32"/>
  <c r="I17" i="32"/>
  <c r="I18"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H2" i="32"/>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28" i="47"/>
  <c r="B30" i="19"/>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5" i="44"/>
  <c r="D16" i="44"/>
  <c r="D2" i="44"/>
  <c r="B5" i="44"/>
  <c r="B15" i="44"/>
  <c r="B16" i="44"/>
  <c r="C5" i="44"/>
  <c r="C15" i="44"/>
  <c r="C16" i="44"/>
  <c r="A3" i="44"/>
  <c r="A5" i="44"/>
  <c r="A15" i="44"/>
  <c r="A16" i="44"/>
  <c r="A2" i="44"/>
  <c r="B12" i="47"/>
  <c r="B32" i="47" s="1"/>
  <c r="B11" i="47"/>
  <c r="B10" i="47"/>
  <c r="B7" i="47"/>
  <c r="V87" i="15"/>
  <c r="C19"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C4" i="35"/>
  <c r="C17" i="35"/>
  <c r="C36" i="35" s="1"/>
  <c r="C55" i="35" s="1"/>
  <c r="C74" i="35" s="1"/>
  <c r="C93" i="35" s="1"/>
  <c r="C4" i="52"/>
  <c r="C17" i="52" s="1"/>
  <c r="C36" i="52" s="1"/>
  <c r="C55" i="52" s="1"/>
  <c r="C74" i="52" s="1"/>
  <c r="C93" i="52" s="1"/>
  <c r="B133" i="15"/>
  <c r="B47" i="15"/>
  <c r="B16" i="15"/>
  <c r="B88" i="18"/>
  <c r="B78" i="18"/>
  <c r="B5" i="15"/>
  <c r="B24" i="19" l="1"/>
  <c r="B6" i="15"/>
  <c r="A2" i="75"/>
  <c r="C73" i="15"/>
  <c r="A3" i="77"/>
  <c r="J3" i="77"/>
  <c r="B5" i="47"/>
  <c r="A2" i="77"/>
  <c r="J2" i="77"/>
  <c r="B22" i="76"/>
  <c r="C22" i="76" s="1"/>
  <c r="D22" i="76" s="1"/>
  <c r="E22" i="76" s="1"/>
  <c r="F22" i="76" s="1"/>
  <c r="G22" i="76" s="1"/>
  <c r="B2" i="76"/>
  <c r="C2" i="76" s="1"/>
  <c r="D2" i="76" s="1"/>
  <c r="E2" i="76" s="1"/>
  <c r="F2" i="76" s="1"/>
  <c r="G2" i="76" s="1"/>
  <c r="I4" i="35"/>
  <c r="I5" i="35" s="1"/>
  <c r="I6" i="35" s="1"/>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<sst xmlns="http://schemas.openxmlformats.org/spreadsheetml/2006/main" count="4744" uniqueCount="1721">
  <si>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</si>
  <si>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</si>
  <si>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</si>
  <si>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</si>
  <si>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</si>
  <si>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</si>
  <si>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</si>
  <si>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</si>
  <si>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</si>
  <si>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</si>
  <si>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</si>
  <si>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</si>
  <si>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</si>
  <si>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</si>
  <si>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</si>
  <si>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</si>
  <si>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</si>
  <si>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</si>
  <si>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</si>
  <si>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</si>
  <si>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</si>
  <si>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</si>
  <si>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</si>
  <si>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</si>
  <si>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</si>
  <si>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</si>
  <si>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</si>
  <si>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</si>
  <si>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</si>
  <si>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</si>
  <si>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</si>
  <si>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</si>
  <si>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</si>
  <si>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</si>
  <si>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</si>
  <si>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</si>
  <si>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</si>
  <si>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</si>
  <si>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</si>
  <si>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</si>
  <si>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</si>
  <si>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</si>
  <si>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</si>
  <si>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</si>
  <si>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</si>
  <si>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</si>
  <si>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</si>
  <si>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</si>
  <si>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</si>
  <si>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</si>
  <si>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</si>
  <si>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</si>
  <si>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</si>
  <si>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</si>
  <si>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</si>
  <si>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</si>
  <si>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</si>
  <si>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</si>
  <si>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</si>
  <si>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</si>
  <si>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</si>
  <si>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</si>
  <si>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</si>
  <si>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</si>
  <si>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</si>
  <si>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</si>
  <si>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</si>
  <si>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</si>
  <si>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</si>
  <si>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</si>
  <si>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</si>
  <si>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</si>
  <si>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</si>
  <si>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</si>
  <si>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</si>
  <si>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</si>
  <si>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</si>
  <si>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</si>
  <si>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</si>
  <si>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</si>
  <si>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</si>
  <si>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</si>
  <si>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</si>
  <si>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</si>
  <si>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</si>
  <si>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</si>
  <si>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</si>
  <si>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</si>
  <si>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</si>
  <si>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</si>
  <si>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</si>
  <si>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</si>
  <si>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</si>
  <si>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</si>
  <si>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</si>
  <si>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</si>
  <si>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</si>
  <si>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</si>
  <si>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</si>
  <si>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</si>
  <si>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</si>
  <si>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</si>
  <si>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</si>
  <si>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</si>
  <si>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</si>
  <si>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</si>
  <si>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</si>
  <si>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</si>
  <si>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</si>
  <si>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</si>
  <si>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</si>
  <si>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</si>
  <si>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</si>
  <si>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</si>
  <si>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</si>
  <si>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</si>
  <si>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</si>
  <si>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</si>
  <si>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</si>
  <si>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</si>
  <si>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</si>
  <si>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</si>
  <si>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</si>
  <si>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</si>
  <si>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</si>
  <si>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</si>
  <si>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</si>
  <si>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</si>
  <si>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</si>
  <si>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</si>
  <si>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</si>
  <si>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</si>
  <si>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</si>
  <si>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</si>
  <si>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</si>
  <si>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</si>
  <si>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</si>
  <si>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</si>
  <si>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</si>
  <si>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</si>
  <si>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</si>
  <si>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</si>
  <si>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</si>
  <si>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</si>
  <si>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</si>
  <si>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</si>
  <si>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</si>
  <si>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</si>
  <si>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</si>
  <si>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</si>
  <si>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</si>
  <si>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</si>
  <si>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</si>
  <si>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</si>
  <si>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</si>
  <si>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</si>
  <si>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</si>
  <si>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</si>
  <si>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</si>
  <si>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</si>
  <si>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</si>
  <si>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</si>
  <si>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</si>
  <si>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</si>
  <si>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</si>
  <si>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</si>
  <si>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</si>
  <si>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</si>
  <si>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</si>
  <si>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</si>
  <si>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</si>
  <si>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</si>
  <si>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</si>
  <si>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</si>
  <si>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</si>
  <si>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</si>
  <si>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</si>
  <si>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</si>
  <si>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</si>
  <si>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</si>
  <si>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</si>
  <si>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</si>
  <si>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</si>
  <si>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</si>
  <si>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</si>
  <si>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</si>
  <si>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</si>
  <si>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</si>
  <si>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</si>
  <si>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</si>
  <si>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</si>
  <si>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</si>
  <si>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</si>
  <si>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</si>
  <si>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</si>
  <si>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</si>
  <si>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</si>
  <si>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</si>
  <si>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</si>
  <si>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</si>
  <si>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</si>
  <si>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</si>
  <si>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</si>
  <si>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</si>
  <si>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</si>
  <si>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</si>
  <si>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</si>
  <si>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</si>
  <si>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</si>
  <si>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</si>
  <si>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</si>
  <si>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</si>
  <si>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</si>
  <si>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</si>
  <si>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</si>
  <si>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</si>
  <si>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</si>
  <si>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</si>
  <si>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</si>
  <si>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</si>
  <si>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</si>
  <si>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</si>
  <si>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</si>
  <si>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</si>
  <si>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</si>
  <si>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</si>
  <si>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</si>
  <si>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</si>
  <si>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</si>
  <si>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</si>
  <si>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</si>
  <si>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</si>
  <si>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</si>
  <si>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</si>
  <si>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</si>
  <si>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</si>
  <si>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</si>
  <si>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</si>
  <si>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</si>
  <si>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</si>
  <si>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</si>
  <si>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</si>
  <si>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</si>
  <si>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</si>
  <si>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</si>
  <si>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</si>
  <si>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</si>
  <si>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</si>
  <si>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</si>
  <si>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</si>
  <si>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</si>
  <si>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</si>
  <si>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</si>
  <si>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</si>
  <si>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</si>
  <si>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</si>
  <si>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</si>
  <si>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</si>
  <si>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</si>
  <si>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</si>
  <si>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</si>
  <si>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</si>
  <si>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</si>
  <si>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</si>
  <si>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</si>
  <si>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</si>
  <si>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</si>
  <si>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</si>
  <si>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</si>
  <si>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</si>
  <si>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</si>
  <si>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</si>
  <si>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</si>
  <si>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</si>
  <si>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</si>
  <si>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</si>
  <si>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</si>
  <si>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</si>
  <si>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</si>
  <si>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</si>
  <si>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</si>
  <si>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</si>
  <si>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</si>
  <si>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</si>
  <si>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</si>
  <si>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</si>
  <si>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</si>
  <si>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</si>
  <si>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</si>
  <si>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</si>
  <si>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</si>
  <si>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</si>
  <si>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</si>
  <si>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</si>
  <si>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</si>
  <si>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</si>
  <si>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</si>
  <si>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</si>
  <si>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</si>
  <si>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</si>
  <si>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</si>
  <si>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</si>
  <si>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</si>
  <si>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</si>
  <si>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</si>
  <si>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</si>
  <si>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</si>
  <si>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</si>
  <si>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</si>
  <si>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</si>
  <si>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</si>
  <si>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</si>
  <si>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</si>
  <si>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</si>
  <si>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</si>
  <si>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</si>
  <si>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</si>
  <si>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</si>
  <si>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</si>
  <si>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</si>
  <si>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</si>
  <si>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</si>
  <si>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</si>
  <si>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</si>
  <si>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</si>
  <si>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</si>
  <si>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</si>
  <si>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</si>
  <si>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</si>
  <si>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</si>
  <si>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</si>
  <si>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</si>
  <si>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</si>
  <si>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</si>
  <si>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</si>
  <si>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</si>
  <si>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</si>
  <si>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</si>
  <si>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</si>
  <si>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</si>
  <si>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</si>
  <si>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</si>
  <si>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</si>
  <si>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</si>
  <si>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</si>
  <si>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</si>
  <si>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</si>
  <si>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</si>
  <si>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</si>
  <si>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</si>
  <si>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</si>
  <si>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</si>
  <si>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</si>
  <si>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</si>
  <si>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</si>
  <si>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</si>
  <si>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</si>
  <si>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</si>
  <si>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</si>
  <si>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</si>
  <si>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</si>
  <si>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</si>
  <si>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</si>
  <si>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</si>
  <si>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</si>
  <si>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</si>
  <si>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</si>
  <si>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</si>
  <si>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</si>
  <si>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</si>
  <si>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</si>
  <si>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</si>
  <si>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</si>
  <si>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</si>
  <si>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</si>
  <si>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</si>
  <si>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</si>
  <si>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</si>
  <si>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</si>
  <si>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</si>
  <si>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</si>
  <si>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</si>
  <si>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</si>
  <si>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</si>
  <si>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</si>
  <si>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</si>
  <si>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</si>
  <si>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</si>
  <si>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</si>
  <si>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</si>
  <si>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</si>
  <si>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</si>
  <si>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</si>
  <si>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</si>
  <si>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</si>
  <si>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</si>
  <si>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</si>
  <si>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</si>
  <si>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</si>
  <si>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</si>
  <si>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</si>
  <si>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</si>
  <si>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</si>
  <si>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</si>
  <si>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</si>
  <si>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</si>
  <si>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</si>
  <si>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</si>
  <si>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</si>
  <si>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</si>
  <si>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</si>
  <si>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</si>
  <si>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</si>
  <si>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</si>
  <si>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</si>
  <si>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</si>
  <si>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</si>
  <si>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</si>
  <si>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</si>
  <si>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</si>
  <si>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</si>
  <si>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</si>
  <si>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</si>
  <si>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</si>
  <si>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</si>
  <si>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</si>
  <si>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</si>
  <si>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</si>
  <si>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</si>
  <si>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</si>
  <si>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</si>
  <si>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</si>
  <si>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</si>
  <si>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</si>
  <si>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</si>
  <si>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</si>
  <si>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</si>
  <si>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</si>
  <si>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</si>
  <si>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</si>
  <si>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</si>
  <si>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</si>
  <si>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</si>
  <si>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</si>
  <si>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</si>
  <si>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</si>
  <si>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</si>
  <si>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</si>
  <si>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</si>
  <si>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</si>
  <si>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</si>
  <si>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</si>
  <si>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</si>
  <si>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</si>
  <si>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</si>
  <si>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</si>
  <si>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</si>
  <si>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</si>
  <si>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</si>
  <si>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</si>
  <si>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</si>
  <si>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</si>
  <si>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</si>
  <si>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</si>
  <si>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</si>
  <si>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</si>
  <si>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</si>
  <si>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</si>
  <si>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</si>
  <si>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</si>
  <si>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</si>
  <si>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</si>
  <si>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</si>
  <si>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</si>
  <si>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</si>
  <si>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</si>
  <si>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</si>
  <si>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</si>
  <si>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</si>
  <si>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</si>
  <si>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</si>
  <si>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</si>
  <si>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</si>
  <si>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</si>
  <si>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</si>
  <si>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</si>
  <si>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</si>
  <si>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</si>
  <si>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</si>
  <si>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</si>
  <si>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</si>
  <si>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</si>
  <si>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</si>
  <si>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</si>
  <si>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</si>
  <si>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</si>
  <si>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</si>
  <si>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</si>
  <si>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</si>
  <si>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</si>
  <si>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</si>
  <si>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</si>
  <si>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</si>
  <si>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</si>
  <si>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</si>
  <si>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</si>
  <si>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</si>
  <si>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</si>
  <si>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</si>
  <si>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</si>
  <si>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</si>
  <si>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</si>
  <si>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</si>
  <si>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</si>
  <si>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</si>
  <si>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</si>
  <si>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</si>
  <si>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</si>
  <si>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</si>
  <si>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</si>
  <si>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</si>
  <si>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</si>
  <si>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</si>
  <si>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</si>
  <si>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</si>
  <si>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</si>
  <si>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</si>
  <si>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</si>
  <si>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</si>
  <si>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</si>
  <si>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</si>
  <si>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</si>
  <si>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</si>
  <si>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</si>
  <si>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</si>
  <si>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</si>
  <si>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</si>
  <si>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</si>
  <si>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</si>
  <si>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</si>
  <si>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</si>
  <si>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</si>
  <si>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</si>
  <si>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</si>
  <si>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</si>
  <si>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</si>
  <si>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</si>
  <si>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</si>
  <si>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</si>
  <si>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</si>
  <si>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</si>
  <si>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</si>
  <si>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</si>
  <si>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</si>
  <si>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</si>
  <si>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</si>
  <si>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</si>
  <si>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</si>
  <si>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</si>
  <si>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</si>
  <si>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</si>
  <si>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</si>
  <si>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</si>
  <si>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</si>
  <si>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</si>
  <si>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</si>
  <si>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</si>
  <si>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</si>
  <si>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</si>
  <si>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</si>
  <si>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</si>
  <si>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</si>
  <si>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</si>
  <si>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</si>
  <si>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</si>
  <si>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</si>
  <si>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</si>
  <si>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</si>
  <si>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</si>
  <si>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</si>
  <si>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</si>
  <si>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</si>
  <si>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</si>
  <si>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</si>
  <si>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</si>
  <si>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</si>
  <si>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</si>
  <si>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</si>
  <si>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</si>
  <si>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</si>
  <si>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</si>
  <si>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</si>
  <si>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</si>
  <si>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</si>
  <si>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</si>
  <si>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</si>
  <si>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</si>
  <si>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</si>
  <si>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</si>
  <si>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</si>
  <si>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</si>
  <si>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</si>
  <si>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</si>
  <si>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</si>
  <si>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</si>
  <si>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</si>
  <si>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</si>
  <si>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</si>
  <si>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</si>
  <si>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</si>
  <si>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</si>
  <si>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</si>
  <si>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</si>
  <si>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</si>
  <si>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</si>
  <si>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</si>
  <si>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</si>
  <si>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</si>
  <si>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</si>
  <si>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</si>
  <si>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</si>
  <si>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</si>
  <si>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</si>
  <si>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</si>
  <si>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</si>
  <si>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</si>
  <si>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</si>
  <si>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</si>
  <si>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</si>
  <si>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</si>
  <si>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</si>
  <si>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</si>
  <si>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</si>
  <si>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</si>
  <si>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</si>
  <si>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</si>
  <si>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</si>
  <si>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</si>
  <si>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</si>
  <si>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</si>
  <si>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</si>
  <si>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</si>
  <si>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</si>
  <si>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</si>
  <si>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</si>
  <si>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</si>
  <si>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</si>
  <si>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</si>
  <si>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</si>
  <si>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</si>
  <si>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</si>
  <si>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</si>
  <si>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</si>
  <si>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</si>
  <si>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</si>
  <si>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</si>
  <si>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</si>
  <si>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</si>
  <si>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</si>
  <si>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</si>
  <si>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</si>
  <si>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</si>
  <si>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</si>
  <si>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</si>
  <si>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</si>
  <si>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</si>
  <si>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</si>
  <si>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</si>
  <si>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</si>
  <si>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</si>
  <si>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</si>
  <si>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</si>
  <si>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</si>
  <si>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</si>
  <si>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</si>
  <si>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</si>
  <si>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</si>
  <si>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</si>
  <si>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</si>
  <si>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</si>
  <si>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</si>
  <si>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</si>
  <si>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</si>
  <si>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</si>
  <si>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</si>
  <si>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</si>
  <si>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</si>
  <si>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</si>
  <si>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</si>
  <si>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</si>
  <si>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</si>
  <si>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</si>
  <si>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</si>
  <si>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</si>
  <si>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</si>
  <si>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</si>
  <si>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</si>
  <si>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</si>
  <si>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</si>
  <si>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</si>
  <si>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</si>
  <si>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</si>
  <si>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</si>
  <si>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</si>
  <si>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</si>
  <si>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</si>
  <si>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</si>
  <si>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</si>
  <si>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</si>
  <si>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</si>
  <si>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</si>
  <si>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</si>
  <si>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</si>
  <si>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</si>
  <si>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</si>
  <si>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</si>
  <si>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</si>
  <si>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</si>
  <si>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</si>
  <si>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</si>
  <si>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</si>
  <si>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</si>
  <si>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</si>
  <si>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</si>
  <si>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</si>
  <si>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</si>
  <si>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</si>
  <si>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</si>
  <si>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</si>
  <si>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</si>
  <si>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</si>
  <si>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</si>
  <si>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</si>
  <si>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</si>
  <si>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</si>
  <si>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</si>
  <si>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</si>
  <si>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</si>
  <si>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</si>
  <si>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</si>
  <si>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</si>
  <si>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</si>
  <si>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</si>
  <si>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</si>
  <si>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</si>
  <si>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</si>
  <si>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</si>
  <si>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</si>
  <si>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</si>
  <si>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</si>
  <si>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</si>
  <si>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</si>
  <si>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</si>
  <si>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</si>
  <si>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</si>
  <si>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</si>
  <si>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</si>
  <si>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</si>
  <si>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</si>
  <si>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</si>
  <si>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</si>
  <si>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</si>
  <si>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</si>
  <si>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</si>
  <si>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</si>
  <si>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</si>
  <si>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</si>
  <si>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</si>
  <si>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</si>
  <si>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</si>
  <si>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</si>
  <si>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</si>
  <si>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</si>
  <si>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</si>
  <si>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</si>
  <si>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</si>
  <si>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</si>
  <si>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</si>
  <si>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</si>
  <si>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</si>
  <si>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</si>
  <si>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</si>
  <si>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</si>
  <si>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</si>
  <si>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</si>
  <si>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</si>
  <si>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</si>
  <si>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</si>
  <si>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</si>
  <si>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</si>
  <si>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</si>
  <si>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</si>
  <si>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</si>
  <si>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</si>
  <si>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</si>
  <si>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</si>
  <si>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</si>
  <si>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</si>
  <si>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</si>
  <si>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</si>
  <si>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</si>
  <si>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</si>
  <si>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</si>
  <si>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</si>
  <si>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</si>
  <si>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</si>
  <si>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</si>
  <si>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</si>
  <si>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</si>
  <si>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</si>
  <si>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</si>
  <si>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</si>
  <si>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</si>
  <si>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</si>
  <si>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</si>
  <si>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</si>
  <si>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</si>
  <si>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</si>
  <si>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</si>
  <si>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</si>
  <si>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</si>
  <si>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</si>
  <si>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</si>
  <si>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</si>
  <si>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</si>
  <si>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</si>
  <si>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</si>
  <si>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</si>
  <si>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</si>
  <si>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</si>
  <si>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</si>
  <si>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</si>
  <si>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</si>
  <si>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</si>
  <si>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</si>
  <si>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</si>
  <si>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</si>
  <si>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</si>
  <si>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</si>
  <si>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</si>
  <si>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</si>
  <si>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</si>
  <si>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</si>
  <si>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</si>
  <si>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</si>
  <si>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</si>
  <si>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</si>
  <si>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</si>
  <si>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</si>
  <si>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</si>
  <si>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</si>
  <si>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</si>
  <si>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</si>
  <si>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</si>
  <si>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</si>
  <si>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</si>
  <si>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</si>
  <si>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</si>
  <si>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</si>
  <si>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</si>
  <si>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</si>
  <si>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</si>
  <si>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</si>
  <si>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</si>
  <si>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</si>
  <si>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</si>
  <si>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</si>
  <si>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</si>
  <si>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</si>
  <si>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</si>
  <si>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</si>
  <si>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</si>
  <si>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</si>
  <si>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</si>
  <si>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</si>
  <si>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</si>
  <si>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</si>
  <si>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</si>
  <si>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</si>
  <si>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</si>
  <si>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</si>
  <si>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</si>
  <si>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</si>
  <si>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</si>
  <si>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</si>
  <si>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</si>
  <si>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</si>
  <si>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</si>
  <si>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</si>
  <si>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</si>
  <si>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</si>
  <si>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</si>
  <si>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</si>
  <si>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</si>
  <si>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</si>
  <si>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</si>
  <si>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</si>
  <si>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</si>
  <si>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</si>
  <si>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</si>
  <si>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</si>
  <si>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</si>
  <si>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</si>
  <si>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</si>
  <si>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</si>
  <si>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</si>
  <si>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</si>
  <si>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</si>
  <si>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</si>
  <si>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</si>
  <si>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</si>
  <si>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</si>
  <si>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</si>
  <si>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</si>
  <si>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</si>
  <si>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</si>
  <si>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</si>
  <si>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</si>
  <si>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</si>
  <si>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</si>
  <si>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</si>
  <si>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</si>
  <si>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</si>
  <si>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</si>
  <si>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</si>
  <si>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</si>
  <si>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</si>
  <si>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</si>
  <si>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</si>
  <si>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</si>
  <si>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</si>
  <si>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</si>
  <si>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</si>
  <si>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</si>
  <si>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</si>
  <si>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</si>
  <si>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</si>
  <si>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</si>
  <si>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</si>
  <si>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</si>
  <si>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</si>
  <si>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</si>
  <si>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</si>
  <si>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</si>
  <si>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</si>
  <si>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</si>
  <si>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</si>
  <si>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</si>
  <si>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</si>
  <si>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</si>
  <si>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</si>
  <si>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</si>
  <si>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</si>
  <si>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</si>
  <si>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</si>
  <si>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</si>
  <si>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</si>
  <si>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</si>
  <si>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</si>
  <si>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</si>
  <si>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</si>
  <si>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</si>
  <si>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</si>
  <si>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</si>
  <si>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</si>
  <si>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</si>
  <si>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</si>
  <si>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</si>
  <si>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</si>
  <si>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</si>
  <si>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</si>
  <si>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</si>
  <si>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</si>
  <si>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</si>
  <si>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</si>
  <si>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</si>
  <si>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</si>
  <si>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</si>
  <si>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</si>
  <si>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</si>
  <si>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</si>
  <si>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</si>
  <si>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</si>
  <si>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</si>
  <si>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</si>
  <si>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</si>
  <si>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</si>
  <si>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</si>
  <si>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</si>
  <si>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</si>
  <si>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</si>
  <si>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</si>
  <si>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</si>
  <si>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</si>
  <si>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</si>
  <si>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</si>
  <si>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</si>
  <si>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</si>
  <si>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</si>
  <si>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</si>
  <si>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</si>
  <si>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</si>
  <si>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</si>
  <si>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</si>
  <si>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</si>
  <si>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</si>
  <si>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</si>
  <si>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</si>
  <si>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</si>
  <si>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</si>
  <si>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</si>
  <si>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</si>
  <si>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</si>
  <si>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</si>
  <si>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</si>
  <si>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</si>
  <si>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</si>
  <si>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</si>
  <si>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</si>
  <si>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</si>
  <si>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</si>
  <si>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</si>
  <si>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</si>
  <si>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</si>
  <si>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</si>
  <si>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</si>
  <si>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</si>
  <si>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</si>
  <si>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</si>
  <si>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</si>
  <si>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</si>
  <si>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</si>
  <si>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</si>
  <si>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</si>
  <si>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</si>
  <si>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</si>
  <si>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</si>
  <si>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</si>
  <si>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</si>
  <si>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</si>
  <si>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</si>
  <si>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</si>
  <si>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</si>
  <si>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</si>
  <si>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</si>
  <si>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</si>
  <si>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</si>
  <si>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</si>
  <si>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</si>
  <si>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</si>
  <si>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</si>
  <si>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</si>
  <si>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</si>
  <si>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</si>
  <si>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</si>
  <si>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</si>
  <si>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</si>
  <si>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</si>
  <si>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</si>
  <si>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</si>
  <si>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</si>
  <si>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</si>
  <si>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</si>
  <si>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</si>
  <si>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</si>
  <si>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</si>
  <si>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</si>
  <si>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</si>
  <si>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</si>
  <si>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</si>
  <si>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</si>
  <si>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</si>
  <si>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</si>
  <si>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</si>
  <si>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</si>
  <si>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</si>
  <si>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</si>
  <si>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</si>
  <si>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</si>
  <si>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</si>
  <si>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</si>
  <si>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</si>
  <si>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</si>
  <si>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</si>
  <si>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</si>
  <si>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</si>
  <si>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</si>
  <si>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</si>
  <si>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</si>
  <si>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</si>
  <si>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</si>
  <si>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</si>
  <si>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</si>
  <si>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</si>
  <si>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</si>
  <si>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</si>
  <si>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</si>
  <si>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</si>
  <si>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</si>
  <si>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</si>
  <si>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</si>
  <si>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</si>
  <si>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</si>
  <si>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</si>
  <si>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</si>
  <si>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</si>
  <si>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</si>
  <si>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</si>
  <si>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</si>
  <si>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</si>
  <si>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</si>
  <si>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</si>
  <si>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</si>
  <si>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</si>
  <si>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</si>
  <si>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</si>
  <si>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</si>
  <si>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</si>
  <si>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</si>
  <si>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</si>
  <si>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</si>
  <si>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</si>
  <si>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</si>
  <si>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</si>
  <si>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</si>
  <si>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</si>
  <si>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</si>
  <si>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</si>
  <si>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</si>
  <si>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</si>
  <si>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</si>
  <si>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</si>
  <si>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</si>
  <si>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</si>
  <si>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</si>
  <si>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</si>
  <si>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</si>
  <si>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</si>
  <si>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</si>
  <si>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</si>
  <si>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</si>
  <si>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</si>
  <si>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</si>
  <si>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</si>
  <si>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</si>
  <si>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</si>
  <si>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</si>
  <si>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</si>
  <si>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</si>
  <si>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</si>
  <si>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</si>
  <si>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</si>
  <si>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</si>
  <si>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</si>
  <si>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</si>
  <si>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</si>
  <si>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</si>
  <si>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</si>
  <si>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</si>
  <si>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</si>
  <si>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</si>
  <si>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</si>
  <si>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</si>
  <si>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</si>
  <si>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</si>
  <si>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</si>
  <si>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</si>
  <si>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</si>
  <si>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</si>
  <si>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</si>
  <si>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</si>
  <si>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</si>
  <si>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</si>
  <si>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</si>
  <si>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</si>
  <si>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</si>
  <si>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</si>
  <si>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</si>
  <si>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</si>
  <si>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</si>
  <si>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</si>
  <si>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</si>
  <si>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</si>
  <si>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</si>
  <si>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</si>
  <si>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</si>
  <si>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</si>
  <si>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</si>
  <si>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</si>
  <si>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</si>
  <si>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</si>
  <si>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</si>
  <si>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</si>
  <si>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</si>
  <si>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</si>
  <si>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</si>
  <si>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</si>
  <si>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</si>
  <si>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</si>
  <si>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</si>
  <si>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</si>
  <si>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</si>
  <si>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</si>
  <si>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</si>
  <si>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</si>
  <si>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</si>
  <si>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</si>
  <si>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</si>
  <si>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</si>
  <si>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</si>
  <si>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</si>
  <si>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</si>
  <si>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</si>
  <si>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</si>
  <si>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</si>
  <si>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</si>
  <si>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</si>
  <si>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</si>
  <si>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</si>
  <si>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</si>
  <si>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</si>
  <si>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</si>
  <si>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</si>
  <si>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</si>
  <si>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</si>
  <si>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</si>
  <si>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</si>
  <si>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</si>
  <si>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</si>
  <si>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</si>
  <si>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</si>
  <si>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</si>
  <si>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</si>
  <si>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</si>
  <si>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</si>
  <si>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</si>
  <si>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</si>
  <si>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</si>
  <si>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</si>
  <si>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</si>
  <si>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</si>
  <si>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</si>
  <si>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</si>
  <si>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</si>
  <si>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</si>
  <si>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</si>
  <si>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</si>
  <si>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</si>
  <si>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</si>
  <si>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</si>
  <si>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</si>
  <si>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</si>
  <si>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</si>
  <si>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</si>
  <si>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</si>
  <si>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</si>
  <si>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</si>
  <si>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</si>
  <si>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</si>
  <si>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</si>
  <si>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</si>
  <si>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</si>
  <si>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</si>
  <si>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</si>
  <si>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</si>
  <si>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</si>
  <si>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</si>
  <si>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</si>
  <si>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</si>
  <si>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</si>
  <si>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</si>
  <si>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</si>
  <si>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</si>
  <si>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</si>
  <si>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</si>
  <si>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</si>
  <si>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</si>
  <si>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</si>
  <si>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</si>
  <si>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</si>
  <si>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</si>
  <si>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</si>
  <si>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</si>
  <si>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</si>
  <si>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</si>
  <si>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</si>
  <si>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</si>
  <si>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</si>
  <si>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</si>
  <si>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</si>
  <si>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</si>
  <si>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</si>
  <si>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</si>
  <si>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</si>
  <si>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</si>
  <si>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</si>
  <si>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</si>
  <si>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</si>
  <si>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</si>
  <si>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</si>
  <si>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</si>
  <si>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</si>
  <si>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</si>
  <si>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</si>
  <si>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</si>
  <si>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</si>
  <si>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p1DGP Smart Campus</t>
  </si>
  <si>
    <t>p2DGP Assessment</t>
  </si>
  <si>
    <t>p3 NDC</t>
  </si>
  <si>
    <t>p5 AIMS</t>
  </si>
  <si>
    <t>Training manager</t>
  </si>
  <si>
    <t>s3OT</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</si>
  <si>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</si>
  <si>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</si>
  <si>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</si>
  <si>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</si>
  <si>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</si>
  <si>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</si>
  <si>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</si>
  <si>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</si>
  <si>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</si>
  <si>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</si>
  <si>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</si>
  <si>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</si>
  <si>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</si>
  <si>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</si>
  <si>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</si>
  <si>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</si>
  <si>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</si>
  <si>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</si>
  <si>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</si>
  <si>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</si>
  <si>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</si>
  <si>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</si>
  <si>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</si>
  <si>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</si>
  <si>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</si>
  <si>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</si>
  <si>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</si>
  <si>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</si>
  <si>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</si>
  <si>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</si>
  <si>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</si>
  <si>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</si>
  <si>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</si>
  <si>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</si>
  <si>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</si>
  <si>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</si>
  <si>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</si>
  <si>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</si>
  <si>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</si>
  <si>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</si>
  <si>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</si>
  <si>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</si>
  <si>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</si>
  <si>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</si>
  <si>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</si>
  <si>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</si>
  <si>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</si>
  <si>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</si>
  <si>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</si>
  <si>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</si>
  <si>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</si>
  <si>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</si>
  <si>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</si>
  <si>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</si>
  <si>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</si>
  <si>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</si>
  <si>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</si>
  <si>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</si>
  <si>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</si>
  <si>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</si>
  <si>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</si>
  <si>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</si>
  <si>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</si>
  <si>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</si>
  <si>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</si>
  <si>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</si>
  <si>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</si>
  <si>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</si>
  <si>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</si>
  <si>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</si>
  <si>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</si>
  <si>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</si>
  <si>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</si>
  <si>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</si>
  <si>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</si>
  <si>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</si>
  <si>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</si>
  <si>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</si>
  <si>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</si>
  <si>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</si>
  <si>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</si>
  <si>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</si>
  <si>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</si>
  <si>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</si>
  <si>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</si>
  <si>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</si>
  <si>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</si>
  <si>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</si>
  <si>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</si>
  <si>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</si>
  <si>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</si>
  <si>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</si>
  <si>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</si>
  <si>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</si>
  <si>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</si>
  <si>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</si>
  <si>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</si>
  <si>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</si>
  <si>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</si>
  <si>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</si>
  <si>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</si>
  <si>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</si>
  <si>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</si>
  <si>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</si>
  <si>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</si>
  <si>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</si>
  <si>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</si>
  <si>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</si>
  <si>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</si>
  <si>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</si>
  <si>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</si>
  <si>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</si>
  <si>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</si>
  <si>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</si>
  <si>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</si>
  <si>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</si>
  <si>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</si>
  <si>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</si>
  <si>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</si>
  <si>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</si>
  <si>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</si>
  <si>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</si>
  <si>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</si>
  <si>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</si>
  <si>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</si>
  <si>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</si>
  <si>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</si>
  <si>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</si>
  <si>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</si>
  <si>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</si>
  <si>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</si>
  <si>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</si>
  <si>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</si>
  <si>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</si>
  <si>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</si>
  <si>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</si>
  <si>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</si>
  <si>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</si>
  <si>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</si>
  <si>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</si>
  <si>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</si>
  <si>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</si>
  <si>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</si>
  <si>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</si>
  <si>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</si>
  <si>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</si>
  <si>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</si>
  <si>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</si>
  <si>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</si>
  <si>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</si>
  <si>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</si>
  <si>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</si>
  <si>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</si>
  <si>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</si>
  <si>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</si>
  <si>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</si>
  <si>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</si>
  <si>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</si>
  <si>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</si>
  <si>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</si>
  <si>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</si>
  <si>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</si>
  <si>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</si>
  <si>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</si>
  <si>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</si>
  <si>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</si>
  <si>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</si>
  <si>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</si>
  <si>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</si>
  <si>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</si>
  <si>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</si>
  <si>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</si>
  <si>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</si>
  <si>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</si>
  <si>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</si>
  <si>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</si>
  <si>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</si>
  <si>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</si>
  <si>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</si>
  <si>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</si>
  <si>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</si>
  <si>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</si>
  <si>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</si>
  <si>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</si>
  <si>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</si>
  <si>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</si>
  <si>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</si>
  <si>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</si>
  <si>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</si>
  <si>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</si>
  <si>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</si>
  <si>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</si>
  <si>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</si>
  <si>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</si>
  <si>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</si>
  <si>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</si>
  <si>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</si>
  <si>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</si>
  <si>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</si>
  <si>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</si>
  <si>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</si>
  <si>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</si>
  <si>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</si>
  <si>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</si>
  <si>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</si>
  <si>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</si>
  <si>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</si>
  <si>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</si>
  <si>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</si>
  <si>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</si>
  <si>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</si>
  <si>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</si>
  <si>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</si>
  <si>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</si>
  <si>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</si>
  <si>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</si>
  <si>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</si>
  <si>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</si>
  <si>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</si>
  <si>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</si>
  <si>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</si>
  <si>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</si>
  <si>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</si>
  <si>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</si>
  <si>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</si>
  <si>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</si>
  <si>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</si>
  <si>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</si>
  <si>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</si>
  <si>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</si>
  <si>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</si>
  <si>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</si>
  <si>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</si>
  <si>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</si>
  <si>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</si>
  <si>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</si>
  <si>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</si>
  <si>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</si>
  <si>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</si>
  <si>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</si>
  <si>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</si>
  <si>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</si>
  <si>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</si>
  <si>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</si>
  <si>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</si>
  <si>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</si>
  <si>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</si>
  <si>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</si>
  <si>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</si>
  <si>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</si>
  <si>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</si>
  <si>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</si>
  <si>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</si>
  <si>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</si>
  <si>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</si>
  <si>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</si>
  <si>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</si>
  <si>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</si>
  <si>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</si>
  <si>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</si>
  <si>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</si>
  <si>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</si>
  <si>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</si>
  <si>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</si>
  <si>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</si>
  <si>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</si>
  <si>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</si>
  <si>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</si>
  <si>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</si>
  <si>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</si>
  <si>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</si>
  <si>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</si>
  <si>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</si>
  <si>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</si>
  <si>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</si>
  <si>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</si>
  <si>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</si>
  <si>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</si>
  <si>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</si>
  <si>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</si>
  <si>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</si>
  <si>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</si>
  <si>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</si>
  <si>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</si>
  <si>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</si>
  <si>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</si>
  <si>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</si>
  <si>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</si>
  <si>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</si>
  <si>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</si>
  <si>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</si>
  <si>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</si>
  <si>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</si>
  <si>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</si>
  <si>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</si>
  <si>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</si>
  <si>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</si>
  <si>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</si>
  <si>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</si>
  <si>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</si>
  <si>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</si>
  <si>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</si>
  <si>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</si>
  <si>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</si>
  <si>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</si>
  <si>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</si>
  <si>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</si>
  <si>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</si>
  <si>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</si>
  <si>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</si>
  <si>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</si>
  <si>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</si>
  <si>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</si>
  <si>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</si>
  <si>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</si>
  <si>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</si>
  <si>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</si>
  <si>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</si>
  <si>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</si>
  <si>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</si>
  <si>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</si>
  <si>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</si>
  <si>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</si>
  <si>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</si>
  <si>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</si>
  <si>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</si>
  <si>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</si>
  <si>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</si>
  <si>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</si>
  <si>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</si>
  <si>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</si>
  <si>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</si>
  <si>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</si>
  <si>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</si>
  <si>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</si>
  <si>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</si>
  <si>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</si>
  <si>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</si>
  <si>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</si>
  <si>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</si>
  <si>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</si>
  <si>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</si>
  <si>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</si>
  <si>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</si>
  <si>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</si>
  <si>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</si>
  <si>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</si>
  <si>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</si>
  <si>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</si>
  <si>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</si>
  <si>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</si>
  <si>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</si>
  <si>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</si>
  <si>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</si>
  <si>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</si>
  <si>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</si>
  <si>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</si>
  <si>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</si>
  <si>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</si>
  <si>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</si>
  <si>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</si>
  <si>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</si>
  <si>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</si>
  <si>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</si>
  <si>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</si>
  <si>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</si>
  <si>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</si>
  <si>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</si>
  <si>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</si>
  <si>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use in tab:C_Support for Brief Function Description</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</si>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</sst>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36"/>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8802777778" createdVersion="6" refreshedVersion="6" minRefreshableVersion="3" recordCount="26"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53.756641898151" createdVersion="6" refreshedVersion="6" minRefreshableVersion="3" recordCount="18"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s v="P1-Falcon9"/>
    <x v="0"/>
    <s v="Surname, Developer1"/>
    <s v="Developer"/>
    <s v="p1"/>
    <s v="x"/>
  </r>
  <r>
    <x v="0"/>
    <s v="P1-Falcon9"/>
    <x v="1"/>
    <s v="Surname, Designer1"/>
    <s v="Designer"/>
    <s v="p1"/>
    <s v="x"/>
  </r>
  <r>
    <x v="1"/>
    <s v="P2-Raptor"/>
    <x v="2"/>
    <s v="Surname, Analyst2"/>
    <s v="Analyst"/>
    <s v="p2"/>
    <s v="x"/>
  </r>
  <r>
    <x v="1"/>
    <s v="P2-Raptor"/>
    <x v="3"/>
    <s v="Surname, Analyst2"/>
    <s v="Analyst"/>
    <s v="p2"/>
    <s v="x"/>
  </r>
  <r>
    <x v="1"/>
    <s v="P2-Raptor"/>
    <x v="4"/>
    <s v="Surname, Testers2"/>
    <s v="Tester"/>
    <s v="p2"/>
    <s v="x"/>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Process manager2"/>
    <s v="Process manager"/>
    <s v="s2"/>
    <s v="x"/>
  </r>
  <r>
    <x v="5"/>
    <s v="S2-EPG-MA"/>
    <x v="11"/>
    <s v="Surname, Process manager2"/>
    <s v="Process manager"/>
    <s v="s2"/>
    <s v="x"/>
  </r>
  <r>
    <x v="5"/>
    <s v="S2-EPG-MA"/>
    <x v="12"/>
    <s v="Surname, Process manager2"/>
    <s v="Process manager"/>
    <s v="s2"/>
    <s v="x"/>
  </r>
  <r>
    <x v="5"/>
    <s v="S2-EPG-MA"/>
    <x v="13"/>
    <s v="Surname, Process manager2"/>
    <s v="Process manager"/>
    <s v="s2"/>
    <s v="x"/>
  </r>
  <r>
    <x v="5"/>
    <s v="S2-EPG-MA"/>
    <x v="14"/>
    <s v="Surname, Process manager2"/>
    <s v="Process manager"/>
    <s v="s2"/>
    <s v="x"/>
  </r>
  <r>
    <x v="6"/>
    <s v="S3-HR"/>
    <x v="15"/>
    <s v="Surname, Training Manager3"/>
    <s v="Training Manager"/>
    <s v="s3"/>
    <s v="x"/>
  </r>
  <r>
    <x v="7"/>
    <s v="S4-PPQA"/>
    <x v="16"/>
    <s v="Surname, Process Assurance Manager4"/>
    <s v="Process Assurance Manager"/>
    <s v="s4"/>
    <s v="x"/>
  </r>
  <r>
    <x v="0"/>
    <s v="P1-Falcon9"/>
    <x v="1"/>
    <s v="Surname, Developer1"/>
    <s v="Developer"/>
    <s v="p1"/>
    <m/>
  </r>
  <r>
    <x v="1"/>
    <s v="P2-Raptor"/>
    <x v="2"/>
    <s v="Surname, Designer2"/>
    <s v="Designer"/>
    <s v="p2"/>
    <m/>
  </r>
  <r>
    <x v="1"/>
    <s v="P2-Raptor"/>
    <x v="2"/>
    <s v="Surname, Developer2"/>
    <s v="Developer"/>
    <s v="p2"/>
    <m/>
  </r>
  <r>
    <x v="1"/>
    <s v="P2-Raptor"/>
    <x v="2"/>
    <s v="Surname, Project Manager2"/>
    <s v="Project Manager"/>
    <s v="p2"/>
    <m/>
  </r>
  <r>
    <x v="1"/>
    <s v="P2-Raptor"/>
    <x v="2"/>
    <s v="Surname, Testers2"/>
    <s v="Tester"/>
    <s v="p2"/>
    <m/>
  </r>
  <r>
    <x v="1"/>
    <s v="P2-Raptor"/>
    <x v="4"/>
    <s v="Surname, Developer2"/>
    <s v="Developer"/>
    <s v="p2"/>
    <m/>
  </r>
  <r>
    <x v="8"/>
    <m/>
    <x v="17"/>
    <m/>
    <m/>
    <m/>
    <m/>
  </r>
  <r>
    <x v="8"/>
    <m/>
    <x v="17"/>
    <m/>
    <m/>
    <m/>
    <m/>
  </r>
  <r>
    <x v="8"/>
    <m/>
    <x v="17"/>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5"/>
        <item x="6"/>
        <item x="0"/>
        <item x="7"/>
        <item x="2"/>
        <item x="3"/>
        <item x="8"/>
        <item x="1"/>
        <item x="4"/>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0" customWidth="1"/>
    <col min="2" max="16384" width="8.7265625" style="8"/>
  </cols>
  <sheetData>
    <row r="2" spans="1:1">
      <c r="A2" s="150" t="s">
        <v>1245</v>
      </c>
    </row>
    <row r="3" spans="1:1">
      <c r="A3" s="151" t="s">
        <v>1246</v>
      </c>
    </row>
    <row r="4" spans="1:1">
      <c r="A4" s="151"/>
    </row>
    <row r="5" spans="1:1">
      <c r="A5" s="150" t="s">
        <v>1251</v>
      </c>
    </row>
    <row r="6" spans="1:1" s="150" customFormat="1">
      <c r="A6" s="151" t="s">
        <v>1252</v>
      </c>
    </row>
    <row r="8" spans="1:1">
      <c r="A8" s="150" t="s">
        <v>1254</v>
      </c>
    </row>
    <row r="9" spans="1:1">
      <c r="A9" s="151" t="s">
        <v>1250</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1215</v>
      </c>
    </row>
    <row r="4" spans="1:32">
      <c r="A4" s="43" t="s">
        <v>1052</v>
      </c>
      <c r="H4" s="215" t="s">
        <v>1119</v>
      </c>
    </row>
    <row r="5" spans="1:32">
      <c r="A5" s="47" t="s">
        <v>847</v>
      </c>
      <c r="B5" s="47" t="s">
        <v>848</v>
      </c>
      <c r="C5" s="47" t="s">
        <v>846</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845</v>
      </c>
      <c r="D6" s="56" t="s">
        <v>1253</v>
      </c>
      <c r="G6" s="150"/>
      <c r="H6" s="150"/>
      <c r="I6" s="150"/>
      <c r="J6" s="150"/>
      <c r="K6" s="150"/>
      <c r="L6" s="150"/>
      <c r="M6" s="150"/>
      <c r="N6" s="150"/>
    </row>
    <row r="7" spans="1:32">
      <c r="A7" s="44">
        <v>10</v>
      </c>
      <c r="B7" s="45">
        <v>44137</v>
      </c>
      <c r="C7" s="44" t="s">
        <v>845</v>
      </c>
      <c r="D7" s="56" t="s">
        <v>851</v>
      </c>
      <c r="G7" s="150"/>
      <c r="H7" s="198"/>
      <c r="I7" s="198"/>
      <c r="J7" s="198"/>
      <c r="K7" s="198"/>
      <c r="L7" s="198"/>
      <c r="M7" s="150"/>
      <c r="N7" s="199"/>
      <c r="O7" s="200"/>
      <c r="P7" s="200"/>
      <c r="Q7" s="200"/>
      <c r="R7" s="200"/>
      <c r="S7" s="8"/>
    </row>
    <row r="8" spans="1:32" ht="29">
      <c r="A8" s="44">
        <v>13</v>
      </c>
      <c r="B8" s="45">
        <v>44142</v>
      </c>
      <c r="C8" s="44" t="s">
        <v>845</v>
      </c>
      <c r="D8" s="56" t="s">
        <v>967</v>
      </c>
      <c r="G8" s="150"/>
      <c r="H8" s="150"/>
      <c r="I8" s="150"/>
      <c r="J8" s="150"/>
      <c r="K8" s="150"/>
      <c r="L8" s="150"/>
      <c r="M8" s="150"/>
      <c r="N8" s="150"/>
      <c r="O8" s="150"/>
      <c r="P8" s="8"/>
      <c r="Q8" s="8"/>
      <c r="R8" s="8"/>
      <c r="S8" s="8"/>
      <c r="T8" s="8"/>
    </row>
    <row r="9" spans="1:32">
      <c r="A9" s="44">
        <v>16</v>
      </c>
      <c r="B9" s="45">
        <v>44145</v>
      </c>
      <c r="C9" s="44" t="s">
        <v>845</v>
      </c>
      <c r="D9" s="56" t="s">
        <v>1004</v>
      </c>
      <c r="G9" s="150"/>
      <c r="H9" s="150"/>
      <c r="I9" s="150"/>
      <c r="J9" s="150"/>
      <c r="K9" s="150"/>
      <c r="L9" s="150"/>
      <c r="M9" s="150"/>
      <c r="N9" s="150"/>
      <c r="O9" s="150"/>
      <c r="P9" s="8"/>
      <c r="Q9" s="8"/>
      <c r="R9" s="8"/>
      <c r="S9" s="8"/>
    </row>
    <row r="10" spans="1:32">
      <c r="A10" s="44">
        <v>17</v>
      </c>
      <c r="B10" s="45">
        <v>44145</v>
      </c>
      <c r="C10" s="44" t="s">
        <v>845</v>
      </c>
      <c r="D10" s="56" t="s">
        <v>1013</v>
      </c>
      <c r="G10" s="150"/>
      <c r="H10" s="150"/>
      <c r="I10" s="150"/>
      <c r="J10" s="150"/>
      <c r="K10" s="150"/>
      <c r="L10" s="150"/>
      <c r="M10" s="150"/>
      <c r="N10" s="150"/>
      <c r="O10" s="150"/>
      <c r="P10" s="8"/>
      <c r="Q10" s="8"/>
      <c r="R10" s="8"/>
      <c r="S10" s="8"/>
    </row>
    <row r="11" spans="1:32" ht="29">
      <c r="A11" s="44">
        <v>24</v>
      </c>
      <c r="B11" s="45">
        <v>44153</v>
      </c>
      <c r="C11" s="44" t="s">
        <v>845</v>
      </c>
      <c r="D11" s="56" t="s">
        <v>1056</v>
      </c>
      <c r="G11" s="150"/>
      <c r="H11" s="150"/>
      <c r="I11" s="150"/>
      <c r="J11" s="150"/>
      <c r="K11" s="150"/>
      <c r="L11" s="150"/>
      <c r="M11" s="150"/>
      <c r="N11" s="150"/>
      <c r="O11" s="150"/>
      <c r="P11" s="8"/>
      <c r="Q11" s="8"/>
      <c r="R11" s="8"/>
      <c r="S11" s="8"/>
    </row>
    <row r="12" spans="1:32" ht="29">
      <c r="A12" s="44">
        <v>25</v>
      </c>
      <c r="B12" s="45">
        <v>44153</v>
      </c>
      <c r="C12" s="44" t="s">
        <v>845</v>
      </c>
      <c r="D12" s="56" t="s">
        <v>1082</v>
      </c>
      <c r="G12" s="150"/>
      <c r="H12" s="150"/>
      <c r="I12" s="150"/>
      <c r="J12" s="150"/>
      <c r="K12" s="150"/>
      <c r="L12" s="150"/>
      <c r="M12" s="150"/>
      <c r="N12" s="150"/>
      <c r="O12" s="150"/>
      <c r="P12" s="8"/>
      <c r="Q12" s="8"/>
      <c r="R12" s="8"/>
      <c r="S12" s="8"/>
    </row>
    <row r="13" spans="1:32" ht="29">
      <c r="A13" s="44">
        <v>26</v>
      </c>
      <c r="B13" s="45">
        <v>44154</v>
      </c>
      <c r="C13" s="44" t="s">
        <v>845</v>
      </c>
      <c r="D13" s="56" t="s">
        <v>1088</v>
      </c>
      <c r="G13" s="150"/>
      <c r="H13" s="150"/>
      <c r="I13" s="150"/>
      <c r="J13" s="150"/>
      <c r="K13" s="150"/>
      <c r="L13" s="150"/>
      <c r="M13" s="150"/>
      <c r="N13" s="150"/>
      <c r="O13" s="150"/>
      <c r="P13" s="8"/>
      <c r="Q13" s="8"/>
      <c r="R13" s="8"/>
      <c r="S13" s="8"/>
    </row>
    <row r="14" spans="1:32">
      <c r="A14" s="44">
        <v>34</v>
      </c>
      <c r="B14" s="45">
        <v>44170</v>
      </c>
      <c r="C14" s="44" t="s">
        <v>845</v>
      </c>
      <c r="D14" s="56" t="s">
        <v>1172</v>
      </c>
      <c r="G14" s="150"/>
      <c r="H14" s="150"/>
      <c r="I14" s="150"/>
      <c r="J14" s="150"/>
      <c r="K14" s="150"/>
      <c r="L14" s="150"/>
      <c r="M14" s="150"/>
      <c r="N14" s="150"/>
      <c r="O14" s="150"/>
      <c r="P14" s="8"/>
      <c r="Q14" s="8"/>
      <c r="R14" s="8"/>
      <c r="S14" s="8"/>
    </row>
    <row r="15" spans="1:32">
      <c r="A15" s="44">
        <v>38</v>
      </c>
      <c r="B15" s="45">
        <v>44175</v>
      </c>
      <c r="C15" s="44" t="s">
        <v>845</v>
      </c>
      <c r="D15" s="56" t="s">
        <v>1214</v>
      </c>
      <c r="G15" s="150"/>
      <c r="H15" s="150"/>
      <c r="I15" s="150"/>
      <c r="J15" s="150"/>
      <c r="K15" s="150"/>
      <c r="L15" s="150"/>
      <c r="M15" s="150"/>
      <c r="N15" s="150"/>
      <c r="O15" s="150"/>
      <c r="P15" s="8"/>
      <c r="Q15" s="8"/>
      <c r="R15" s="8"/>
      <c r="S15" s="8"/>
    </row>
    <row r="16" spans="1:32" ht="29">
      <c r="A16" s="44">
        <v>43</v>
      </c>
      <c r="B16" s="45">
        <v>44231</v>
      </c>
      <c r="C16" s="44" t="s">
        <v>1377</v>
      </c>
      <c r="D16" s="56" t="s">
        <v>1378</v>
      </c>
      <c r="G16" s="150"/>
      <c r="H16" s="150"/>
      <c r="I16" s="150"/>
      <c r="J16" s="150"/>
      <c r="K16" s="150"/>
      <c r="L16" s="150"/>
      <c r="M16" s="150"/>
      <c r="N16" s="150"/>
      <c r="O16" s="150"/>
      <c r="P16" s="8"/>
      <c r="Q16" s="8"/>
      <c r="R16" s="8"/>
      <c r="S16" s="8"/>
    </row>
    <row r="17" spans="1:19">
      <c r="A17" s="44"/>
      <c r="B17" s="45"/>
      <c r="C17" s="44"/>
      <c r="D17" s="56"/>
      <c r="G17" s="150"/>
      <c r="H17" s="150"/>
      <c r="I17" s="150"/>
      <c r="J17" s="150"/>
      <c r="K17" s="150"/>
      <c r="L17" s="150"/>
      <c r="M17" s="150"/>
      <c r="N17" s="150"/>
      <c r="O17" s="150"/>
      <c r="P17" s="8"/>
      <c r="Q17" s="8"/>
      <c r="R17" s="8"/>
      <c r="S17" s="8"/>
    </row>
    <row r="18" spans="1:19">
      <c r="A18" s="44"/>
      <c r="B18" s="45"/>
      <c r="C18" s="44"/>
      <c r="D18" s="56"/>
      <c r="G18" s="150"/>
      <c r="H18" s="150"/>
      <c r="I18" s="150"/>
      <c r="J18" s="150"/>
      <c r="K18" s="150"/>
      <c r="L18" s="150"/>
      <c r="M18" s="150"/>
      <c r="N18" s="150"/>
      <c r="O18" s="150"/>
      <c r="P18" s="8"/>
      <c r="Q18" s="8"/>
      <c r="R18" s="8"/>
      <c r="S18" s="8"/>
    </row>
    <row r="19" spans="1:19">
      <c r="G19" s="150"/>
      <c r="H19" s="150"/>
      <c r="I19" s="150"/>
      <c r="J19" s="150"/>
      <c r="K19" s="150"/>
      <c r="L19" s="150"/>
      <c r="M19" s="150"/>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2" t="s">
        <v>1543</v>
      </c>
      <c r="D44" s="351" t="s">
        <v>1542</v>
      </c>
      <c r="H44" s="350" t="s">
        <v>1093</v>
      </c>
      <c r="I44" s="350"/>
      <c r="J44" s="350"/>
      <c r="K44" s="350"/>
      <c r="L44" s="350"/>
    </row>
    <row r="63" spans="2:19">
      <c r="B63" s="353" t="s">
        <v>1095</v>
      </c>
      <c r="C63" s="353"/>
      <c r="D63" s="354" t="s">
        <v>1096</v>
      </c>
      <c r="F63" s="355" t="s">
        <v>1098</v>
      </c>
      <c r="G63" s="355"/>
      <c r="H63" s="355"/>
      <c r="I63" s="355"/>
      <c r="K63" s="356" t="s">
        <v>1544</v>
      </c>
      <c r="L63" s="356"/>
      <c r="M63" s="356"/>
      <c r="N63" s="356"/>
      <c r="P63" s="358" t="s">
        <v>1094</v>
      </c>
      <c r="Q63" s="357"/>
      <c r="R63" s="357"/>
      <c r="S63" s="357"/>
    </row>
    <row r="83" spans="6:8">
      <c r="F83" s="363" t="s">
        <v>1558</v>
      </c>
      <c r="G83" s="363"/>
      <c r="H83" s="362"/>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294" t="s">
        <v>1273</v>
      </c>
      <c r="B1" s="294"/>
    </row>
    <row r="2" spans="1:2" ht="43.5">
      <c r="A2" s="117" t="s">
        <v>1274</v>
      </c>
      <c r="B2" s="117" t="s">
        <v>1275</v>
      </c>
    </row>
    <row r="3" spans="1:2">
      <c r="B3" s="295" t="s">
        <v>1276</v>
      </c>
    </row>
    <row r="4" spans="1:2">
      <c r="B4" s="296" t="s">
        <v>1277</v>
      </c>
    </row>
    <row r="5" spans="1:2" ht="29">
      <c r="B5" s="297" t="s">
        <v>1278</v>
      </c>
    </row>
    <row r="7" spans="1:2" ht="72.5">
      <c r="A7" s="117" t="s">
        <v>1279</v>
      </c>
      <c r="B7" s="117" t="s">
        <v>1280</v>
      </c>
    </row>
    <row r="9" spans="1:2" ht="29">
      <c r="A9" s="117" t="s">
        <v>1281</v>
      </c>
      <c r="B9" s="117" t="s">
        <v>1282</v>
      </c>
    </row>
    <row r="11" spans="1:2">
      <c r="A11" s="294" t="s">
        <v>1283</v>
      </c>
      <c r="B11" s="294"/>
    </row>
    <row r="12" spans="1:2">
      <c r="A12" s="117" t="s">
        <v>1247</v>
      </c>
      <c r="B12" s="117" t="s">
        <v>1284</v>
      </c>
    </row>
    <row r="13" spans="1:2" ht="43.5">
      <c r="A13" s="117" t="s">
        <v>1216</v>
      </c>
      <c r="B13" s="117" t="s">
        <v>1285</v>
      </c>
    </row>
    <row r="14" spans="1:2">
      <c r="A14" s="117" t="s">
        <v>1286</v>
      </c>
      <c r="B14" s="117" t="s">
        <v>1287</v>
      </c>
    </row>
    <row r="15" spans="1:2" ht="58">
      <c r="A15" s="117" t="s">
        <v>949</v>
      </c>
      <c r="B15" s="117" t="s">
        <v>1288</v>
      </c>
    </row>
    <row r="16" spans="1:2" ht="43.5">
      <c r="A16" s="125" t="s">
        <v>950</v>
      </c>
      <c r="B16" s="117" t="s">
        <v>1289</v>
      </c>
    </row>
    <row r="17" spans="1:2">
      <c r="A17" s="125" t="s">
        <v>962</v>
      </c>
      <c r="B17" s="117" t="s">
        <v>1290</v>
      </c>
    </row>
    <row r="18" spans="1:2" ht="29">
      <c r="A18" s="125" t="s">
        <v>951</v>
      </c>
      <c r="B18" s="117" t="s">
        <v>1291</v>
      </c>
    </row>
    <row r="19" spans="1:2" ht="43.5">
      <c r="A19" s="125" t="s">
        <v>1197</v>
      </c>
      <c r="B19" s="117" t="s">
        <v>1292</v>
      </c>
    </row>
    <row r="20" spans="1:2">
      <c r="A20" s="125" t="s">
        <v>1007</v>
      </c>
      <c r="B20" s="117" t="s">
        <v>1293</v>
      </c>
    </row>
    <row r="21" spans="1:2">
      <c r="A21" s="125" t="s">
        <v>1294</v>
      </c>
    </row>
    <row r="22" spans="1:2">
      <c r="A22" s="125" t="s">
        <v>1295</v>
      </c>
    </row>
    <row r="23" spans="1:2">
      <c r="A23" s="125" t="s">
        <v>1296</v>
      </c>
    </row>
    <row r="24" spans="1:2">
      <c r="A24" s="125" t="s">
        <v>1297</v>
      </c>
    </row>
    <row r="25" spans="1:2">
      <c r="A25" s="125" t="s">
        <v>955</v>
      </c>
    </row>
    <row r="26" spans="1:2">
      <c r="A26" s="125" t="s">
        <v>956</v>
      </c>
    </row>
    <row r="27" spans="1:2">
      <c r="A27" s="125" t="s">
        <v>957</v>
      </c>
    </row>
    <row r="28" spans="1:2">
      <c r="A28" s="125" t="s">
        <v>1248</v>
      </c>
    </row>
    <row r="29" spans="1:2">
      <c r="A29" s="125" t="s">
        <v>1249</v>
      </c>
    </row>
    <row r="30" spans="1:2">
      <c r="A30" s="125" t="s">
        <v>672</v>
      </c>
    </row>
    <row r="31" spans="1:2">
      <c r="A31" s="125" t="s">
        <v>1298</v>
      </c>
    </row>
    <row r="32" spans="1:2">
      <c r="A32" s="125" t="s">
        <v>953</v>
      </c>
    </row>
    <row r="33" spans="1:1">
      <c r="A33" s="125" t="s">
        <v>1299</v>
      </c>
    </row>
    <row r="34" spans="1:1">
      <c r="A34" s="125" t="s">
        <v>1300</v>
      </c>
    </row>
    <row r="35" spans="1:1">
      <c r="A35" s="125" t="s">
        <v>1301</v>
      </c>
    </row>
    <row r="36" spans="1:1">
      <c r="A36" s="125" t="s">
        <v>1302</v>
      </c>
    </row>
    <row r="37" spans="1:1">
      <c r="A37" s="125" t="s">
        <v>954</v>
      </c>
    </row>
    <row r="38" spans="1:1">
      <c r="A38" s="125" t="s">
        <v>1055</v>
      </c>
    </row>
    <row r="39" spans="1:1">
      <c r="A39" s="125" t="s">
        <v>1142</v>
      </c>
    </row>
    <row r="40" spans="1:1">
      <c r="A40" s="125" t="s">
        <v>1053</v>
      </c>
    </row>
    <row r="41" spans="1:1">
      <c r="A41" s="125" t="s">
        <v>1054</v>
      </c>
    </row>
    <row r="42" spans="1:1">
      <c r="A42" s="125" t="s">
        <v>1003</v>
      </c>
    </row>
    <row r="43" spans="1:1">
      <c r="A43" s="125" t="s">
        <v>1143</v>
      </c>
    </row>
    <row r="44" spans="1:1">
      <c r="A44" s="125" t="s">
        <v>1144</v>
      </c>
    </row>
    <row r="45" spans="1:1">
      <c r="A45" s="125" t="s">
        <v>1145</v>
      </c>
    </row>
    <row r="46" spans="1:1">
      <c r="A46" s="125" t="s">
        <v>958</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959</v>
      </c>
      <c r="AE1" s="77">
        <v>48</v>
      </c>
    </row>
    <row r="2" spans="1:32" s="104" customFormat="1" ht="29">
      <c r="A2" s="314"/>
      <c r="B2" s="104" t="s">
        <v>1673</v>
      </c>
      <c r="C2" s="104" t="s">
        <v>1674</v>
      </c>
      <c r="D2" s="104" t="s">
        <v>1326</v>
      </c>
      <c r="E2" s="104" t="s">
        <v>1327</v>
      </c>
      <c r="F2" s="104" t="s">
        <v>1336</v>
      </c>
      <c r="G2" s="104" t="s">
        <v>1328</v>
      </c>
      <c r="H2" s="104" t="s">
        <v>1210</v>
      </c>
      <c r="AD2" s="315"/>
      <c r="AE2" s="315"/>
      <c r="AF2" s="315"/>
    </row>
    <row r="7" spans="1:32" s="77" customFormat="1">
      <c r="A7" t="s">
        <v>1247</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1216</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1286</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949</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950</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962</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951</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1197</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1007</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1200</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1201</v>
      </c>
      <c r="B17" s="132"/>
      <c r="C17" s="132"/>
      <c r="D17" s="132"/>
      <c r="E17" s="132"/>
      <c r="F17" s="132"/>
      <c r="G17" s="132"/>
      <c r="H17" s="132"/>
      <c r="I17" s="128">
        <f t="shared" si="0"/>
        <v>0</v>
      </c>
      <c r="K17" s="129"/>
      <c r="AD17" s="77"/>
      <c r="AE17" s="77"/>
      <c r="AF17" s="77"/>
    </row>
    <row r="18" spans="1:32" s="128" customFormat="1">
      <c r="A18" t="s">
        <v>1202</v>
      </c>
      <c r="B18" s="132"/>
      <c r="C18" s="132"/>
      <c r="D18" s="132"/>
      <c r="E18" s="132"/>
      <c r="F18" s="132"/>
      <c r="G18" s="132"/>
      <c r="H18" s="132"/>
      <c r="I18" s="128">
        <f t="shared" si="0"/>
        <v>0</v>
      </c>
      <c r="K18" s="129"/>
      <c r="AD18" s="77"/>
      <c r="AE18" s="77"/>
      <c r="AF18" s="77"/>
    </row>
    <row r="19" spans="1:32" s="128" customFormat="1">
      <c r="A19" t="s">
        <v>1649</v>
      </c>
      <c r="B19" s="132"/>
      <c r="C19" s="132"/>
      <c r="D19" s="132"/>
      <c r="E19" s="132"/>
      <c r="F19" s="132"/>
      <c r="G19" s="132"/>
      <c r="H19" s="132"/>
      <c r="I19" s="128">
        <f t="shared" si="0"/>
        <v>0</v>
      </c>
      <c r="K19" s="129"/>
      <c r="AD19" s="77"/>
      <c r="AE19" s="77"/>
      <c r="AF19" s="77"/>
    </row>
    <row r="20" spans="1:32" s="128" customFormat="1">
      <c r="A20" t="s">
        <v>955</v>
      </c>
      <c r="B20" s="132" t="s">
        <v>411</v>
      </c>
      <c r="C20" s="132" t="s">
        <v>411</v>
      </c>
      <c r="D20" s="132"/>
      <c r="E20" s="132" t="s">
        <v>411</v>
      </c>
      <c r="F20" s="132"/>
      <c r="G20" s="132"/>
      <c r="H20" s="132"/>
      <c r="I20" s="128">
        <f t="shared" si="0"/>
        <v>3</v>
      </c>
      <c r="K20" s="129"/>
      <c r="AD20" s="77"/>
      <c r="AE20" s="77"/>
      <c r="AF20" s="77"/>
    </row>
    <row r="21" spans="1:32" s="128" customFormat="1">
      <c r="A21" t="s">
        <v>956</v>
      </c>
      <c r="B21" s="132"/>
      <c r="C21" s="132" t="s">
        <v>411</v>
      </c>
      <c r="D21" s="132"/>
      <c r="E21" s="132" t="s">
        <v>411</v>
      </c>
      <c r="F21" s="132"/>
      <c r="G21" s="132"/>
      <c r="H21" s="132"/>
      <c r="I21" s="128">
        <f t="shared" si="0"/>
        <v>2</v>
      </c>
      <c r="K21" s="129"/>
      <c r="AD21" s="77"/>
      <c r="AE21" s="77"/>
      <c r="AF21" s="77"/>
    </row>
    <row r="22" spans="1:32" s="128" customFormat="1">
      <c r="A22" t="s">
        <v>957</v>
      </c>
      <c r="B22" s="132"/>
      <c r="C22" s="132" t="s">
        <v>411</v>
      </c>
      <c r="D22" s="132"/>
      <c r="E22" s="132" t="s">
        <v>411</v>
      </c>
      <c r="F22" s="132"/>
      <c r="G22" s="132"/>
      <c r="H22" s="132"/>
      <c r="I22" s="128">
        <f t="shared" si="0"/>
        <v>2</v>
      </c>
      <c r="K22" s="129"/>
      <c r="AD22" s="77"/>
      <c r="AE22" s="77"/>
      <c r="AF22" s="77"/>
    </row>
    <row r="23" spans="1:32" s="128" customFormat="1">
      <c r="A23" t="s">
        <v>1248</v>
      </c>
      <c r="B23" s="132"/>
      <c r="C23" s="132"/>
      <c r="D23" s="132"/>
      <c r="E23" s="132"/>
      <c r="F23" s="132"/>
      <c r="G23" s="132"/>
      <c r="H23" s="132"/>
      <c r="I23" s="128">
        <f t="shared" si="0"/>
        <v>0</v>
      </c>
      <c r="K23" s="129"/>
      <c r="AD23" s="77"/>
      <c r="AE23" s="77"/>
      <c r="AF23" s="77"/>
    </row>
    <row r="24" spans="1:32" s="128" customFormat="1">
      <c r="A24" t="s">
        <v>1249</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1187</v>
      </c>
      <c r="B26" s="132"/>
      <c r="C26" s="132"/>
      <c r="D26" s="132"/>
      <c r="E26" s="132"/>
      <c r="F26" s="132"/>
      <c r="G26" s="132"/>
      <c r="H26" s="132"/>
      <c r="I26" s="128">
        <f t="shared" si="0"/>
        <v>0</v>
      </c>
      <c r="K26" s="129"/>
      <c r="AD26" s="77"/>
      <c r="AE26" s="77"/>
      <c r="AF26" s="77"/>
    </row>
    <row r="27" spans="1:32" s="128" customFormat="1">
      <c r="A27" t="s">
        <v>953</v>
      </c>
      <c r="B27" s="132" t="s">
        <v>411</v>
      </c>
      <c r="C27" s="132" t="s">
        <v>411</v>
      </c>
      <c r="D27" s="132"/>
      <c r="E27" s="132" t="s">
        <v>411</v>
      </c>
      <c r="F27" s="132" t="s">
        <v>411</v>
      </c>
      <c r="G27" s="132"/>
      <c r="H27" s="132"/>
      <c r="I27" s="128">
        <f t="shared" si="0"/>
        <v>4</v>
      </c>
      <c r="K27" s="129"/>
      <c r="AD27" s="77"/>
      <c r="AE27" s="77"/>
      <c r="AF27" s="77"/>
    </row>
    <row r="28" spans="1:32" s="128" customFormat="1">
      <c r="A28" t="s">
        <v>1337</v>
      </c>
      <c r="B28" s="132"/>
      <c r="C28" s="132"/>
      <c r="D28" s="132"/>
      <c r="E28" s="132"/>
      <c r="F28" s="132" t="s">
        <v>411</v>
      </c>
      <c r="G28" s="132"/>
      <c r="H28" s="132"/>
      <c r="I28" s="128">
        <f t="shared" si="0"/>
        <v>1</v>
      </c>
      <c r="K28" s="129"/>
      <c r="AD28" s="77"/>
      <c r="AE28" s="77"/>
      <c r="AF28" s="77"/>
    </row>
    <row r="29" spans="1:32" s="128" customFormat="1">
      <c r="A29" t="s">
        <v>1574</v>
      </c>
      <c r="B29" s="132"/>
      <c r="C29" s="132"/>
      <c r="D29" s="132"/>
      <c r="E29" s="132"/>
      <c r="F29" s="132"/>
      <c r="G29" s="132"/>
      <c r="H29" s="132"/>
      <c r="I29" s="128">
        <f t="shared" si="0"/>
        <v>0</v>
      </c>
      <c r="K29" s="129"/>
      <c r="AD29" s="77"/>
      <c r="AE29" s="77"/>
      <c r="AF29" s="77"/>
    </row>
    <row r="30" spans="1:32">
      <c r="A30" t="s">
        <v>1575</v>
      </c>
      <c r="I30" s="128">
        <f t="shared" si="0"/>
        <v>0</v>
      </c>
    </row>
    <row r="31" spans="1:32">
      <c r="A31" t="s">
        <v>1576</v>
      </c>
      <c r="I31" s="128">
        <f t="shared" si="0"/>
        <v>0</v>
      </c>
    </row>
    <row r="32" spans="1:32">
      <c r="A32" t="s">
        <v>1055</v>
      </c>
      <c r="I32" s="128">
        <f t="shared" si="0"/>
        <v>0</v>
      </c>
    </row>
    <row r="33" spans="1:9">
      <c r="A33" t="s">
        <v>1573</v>
      </c>
      <c r="I33" s="128">
        <f t="shared" si="0"/>
        <v>0</v>
      </c>
    </row>
    <row r="34" spans="1:9">
      <c r="A34" t="s">
        <v>1372</v>
      </c>
      <c r="B34" s="132" t="s">
        <v>411</v>
      </c>
      <c r="I34" s="128">
        <f t="shared" si="0"/>
        <v>1</v>
      </c>
    </row>
    <row r="35" spans="1:9">
      <c r="A35" t="s">
        <v>1373</v>
      </c>
      <c r="B35" s="132" t="s">
        <v>411</v>
      </c>
      <c r="I35" s="128">
        <f t="shared" si="0"/>
        <v>1</v>
      </c>
    </row>
    <row r="36" spans="1:9">
      <c r="A36" t="s">
        <v>1374</v>
      </c>
      <c r="C36" s="132" t="s">
        <v>411</v>
      </c>
      <c r="I36" s="128">
        <f t="shared" si="0"/>
        <v>1</v>
      </c>
    </row>
    <row r="37" spans="1:9">
      <c r="A37" t="s">
        <v>1375</v>
      </c>
      <c r="C37" s="132" t="s">
        <v>411</v>
      </c>
      <c r="I37" s="128">
        <f t="shared" si="0"/>
        <v>1</v>
      </c>
    </row>
    <row r="38" spans="1:9">
      <c r="A38" t="s">
        <v>1376</v>
      </c>
      <c r="C38" s="132" t="s">
        <v>411</v>
      </c>
      <c r="I38" s="128">
        <f t="shared" si="0"/>
        <v>1</v>
      </c>
    </row>
    <row r="39" spans="1:9">
      <c r="A39" t="s">
        <v>1145</v>
      </c>
      <c r="I39" s="128">
        <f t="shared" si="0"/>
        <v>0</v>
      </c>
    </row>
    <row r="40" spans="1:9">
      <c r="A40" t="s">
        <v>1209</v>
      </c>
      <c r="I40" s="128">
        <f t="shared" si="0"/>
        <v>0</v>
      </c>
    </row>
    <row r="41" spans="1:9">
      <c r="A41" t="s">
        <v>1203</v>
      </c>
      <c r="I41" s="128">
        <f t="shared" si="0"/>
        <v>0</v>
      </c>
    </row>
    <row r="42" spans="1:9">
      <c r="A42" t="s">
        <v>1204</v>
      </c>
      <c r="I42" s="128">
        <f t="shared" si="0"/>
        <v>0</v>
      </c>
    </row>
    <row r="43" spans="1:9">
      <c r="A43" t="s">
        <v>1205</v>
      </c>
      <c r="I43" s="128">
        <f t="shared" si="0"/>
        <v>0</v>
      </c>
    </row>
    <row r="44" spans="1:9">
      <c r="A44" t="s">
        <v>1053</v>
      </c>
      <c r="I44" s="128">
        <f t="shared" si="0"/>
        <v>0</v>
      </c>
    </row>
    <row r="45" spans="1:9">
      <c r="A45" t="s">
        <v>1054</v>
      </c>
      <c r="I45" s="128">
        <f t="shared" si="0"/>
        <v>0</v>
      </c>
    </row>
    <row r="46" spans="1:9">
      <c r="A46" t="s">
        <v>1577</v>
      </c>
      <c r="I46" s="128">
        <f t="shared" si="0"/>
        <v>0</v>
      </c>
    </row>
    <row r="47" spans="1:9">
      <c r="A47" t="s">
        <v>1578</v>
      </c>
      <c r="I47" s="128">
        <f t="shared" si="0"/>
        <v>0</v>
      </c>
    </row>
    <row r="48" spans="1:9">
      <c r="A48" t="s">
        <v>1579</v>
      </c>
      <c r="I48" s="128">
        <f t="shared" si="0"/>
        <v>0</v>
      </c>
    </row>
    <row r="49" spans="1:9">
      <c r="A49" t="s">
        <v>1580</v>
      </c>
      <c r="I49" s="128">
        <f t="shared" si="0"/>
        <v>0</v>
      </c>
    </row>
    <row r="50" spans="1:9">
      <c r="A50" t="s">
        <v>1581</v>
      </c>
      <c r="I50" s="128">
        <f t="shared" si="0"/>
        <v>0</v>
      </c>
    </row>
    <row r="51" spans="1:9">
      <c r="A51" t="s">
        <v>1582</v>
      </c>
      <c r="I51" s="128">
        <f t="shared" si="0"/>
        <v>0</v>
      </c>
    </row>
    <row r="52" spans="1:9">
      <c r="A52" t="s">
        <v>1583</v>
      </c>
      <c r="I52" s="128">
        <f t="shared" si="0"/>
        <v>0</v>
      </c>
    </row>
    <row r="53" spans="1:9">
      <c r="A53" t="s">
        <v>958</v>
      </c>
      <c r="I53" s="128">
        <f t="shared" si="0"/>
        <v>0</v>
      </c>
    </row>
    <row r="54" spans="1:9">
      <c r="A54" t="s">
        <v>1327</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4" workbookViewId="0">
      <selection activeCell="B44" sqref="B44:B47"/>
    </sheetView>
  </sheetViews>
  <sheetFormatPr defaultRowHeight="14.5"/>
  <cols>
    <col min="1" max="1" width="54.26953125" style="8" customWidth="1"/>
    <col min="2" max="2" width="56" style="8" customWidth="1"/>
  </cols>
  <sheetData>
    <row r="1" spans="1:2">
      <c r="A1" s="1" t="s">
        <v>0</v>
      </c>
      <c r="B1" s="23" t="s">
        <v>720</v>
      </c>
    </row>
    <row r="2" spans="1:2">
      <c r="A2" s="2" t="s">
        <v>1</v>
      </c>
      <c r="B2" s="3" t="s">
        <v>1584</v>
      </c>
    </row>
    <row r="3" spans="1:2">
      <c r="A3" s="2" t="s">
        <v>2</v>
      </c>
      <c r="B3" s="325"/>
    </row>
    <row r="4" spans="1:2">
      <c r="A4" s="2" t="s">
        <v>727</v>
      </c>
      <c r="B4" s="3" t="s">
        <v>1585</v>
      </c>
    </row>
    <row r="5" spans="1:2">
      <c r="A5" s="2" t="s">
        <v>1667</v>
      </c>
      <c r="B5" s="4">
        <v>53517</v>
      </c>
    </row>
    <row r="6" spans="1:2">
      <c r="A6" s="5" t="s">
        <v>3</v>
      </c>
      <c r="B6" s="5"/>
    </row>
    <row r="7" spans="1:2">
      <c r="A7" s="2" t="s">
        <v>4</v>
      </c>
      <c r="B7" s="6" t="s">
        <v>1586</v>
      </c>
    </row>
    <row r="8" spans="1:2">
      <c r="A8" s="2" t="s">
        <v>5</v>
      </c>
      <c r="B8" s="6" t="s">
        <v>6</v>
      </c>
    </row>
    <row r="9" spans="1:2">
      <c r="A9" s="2" t="s">
        <v>7</v>
      </c>
      <c r="B9" s="6" t="s">
        <v>1587</v>
      </c>
    </row>
    <row r="10" spans="1:2" ht="52">
      <c r="A10" s="2" t="s">
        <v>8</v>
      </c>
      <c r="B10" s="6" t="s">
        <v>1588</v>
      </c>
    </row>
    <row r="11" spans="1:2">
      <c r="A11" s="2" t="s">
        <v>1118</v>
      </c>
      <c r="B11" s="6" t="s">
        <v>1589</v>
      </c>
    </row>
    <row r="12" spans="1:2">
      <c r="A12" s="2" t="s">
        <v>9</v>
      </c>
      <c r="B12" s="6" t="s">
        <v>1590</v>
      </c>
    </row>
    <row r="13" spans="1:2">
      <c r="A13" s="2" t="s">
        <v>10</v>
      </c>
      <c r="B13" s="6" t="s">
        <v>1591</v>
      </c>
    </row>
    <row r="14" spans="1:2">
      <c r="A14" s="2" t="s">
        <v>11</v>
      </c>
      <c r="B14" s="6" t="s">
        <v>1592</v>
      </c>
    </row>
    <row r="15" spans="1:2">
      <c r="A15" s="5" t="s">
        <v>12</v>
      </c>
      <c r="B15" s="5"/>
    </row>
    <row r="16" spans="1:2">
      <c r="A16" s="2" t="s">
        <v>13</v>
      </c>
      <c r="B16" s="83" t="s">
        <v>1650</v>
      </c>
    </row>
    <row r="17" spans="1:2">
      <c r="A17" s="2" t="s">
        <v>14</v>
      </c>
      <c r="B17" s="298" t="s">
        <v>1651</v>
      </c>
    </row>
    <row r="18" spans="1:2">
      <c r="A18" s="2" t="s">
        <v>15</v>
      </c>
      <c r="B18" s="6" t="s">
        <v>1652</v>
      </c>
    </row>
    <row r="19" spans="1:2">
      <c r="A19" s="2" t="s">
        <v>16</v>
      </c>
      <c r="B19" s="6" t="s">
        <v>1653</v>
      </c>
    </row>
    <row r="20" spans="1:2">
      <c r="A20" s="2" t="s">
        <v>17</v>
      </c>
      <c r="B20" s="6" t="s">
        <v>1651</v>
      </c>
    </row>
    <row r="21" spans="1:2">
      <c r="A21" s="5" t="s">
        <v>19</v>
      </c>
      <c r="B21" s="5"/>
    </row>
    <row r="22" spans="1:2">
      <c r="A22" s="2" t="s">
        <v>20</v>
      </c>
      <c r="B22" s="298">
        <v>44174</v>
      </c>
    </row>
    <row r="23" spans="1:2">
      <c r="A23" s="2" t="s">
        <v>21</v>
      </c>
      <c r="B23" s="299" t="s">
        <v>1654</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1655</v>
      </c>
    </row>
    <row r="29" spans="1:2">
      <c r="A29" s="2" t="s">
        <v>7</v>
      </c>
      <c r="B29" s="298" t="s">
        <v>1656</v>
      </c>
    </row>
    <row r="30" spans="1:2">
      <c r="A30" s="2" t="s">
        <v>9</v>
      </c>
      <c r="B30" s="298" t="s">
        <v>1593</v>
      </c>
    </row>
    <row r="31" spans="1:2">
      <c r="A31" s="2" t="s">
        <v>10</v>
      </c>
      <c r="B31" s="27" t="s">
        <v>1657</v>
      </c>
    </row>
    <row r="32" spans="1:2">
      <c r="A32" s="5" t="s">
        <v>26</v>
      </c>
      <c r="B32" s="5"/>
    </row>
    <row r="33" spans="1:5">
      <c r="A33" s="2" t="s">
        <v>4</v>
      </c>
      <c r="B33" s="326" t="s">
        <v>1658</v>
      </c>
    </row>
    <row r="34" spans="1:5">
      <c r="A34" s="2" t="s">
        <v>5</v>
      </c>
      <c r="B34" s="413" t="str">
        <f>B16</f>
        <v>Software for Mars (Pty) Ltd</v>
      </c>
      <c r="C34" t="s">
        <v>1006</v>
      </c>
    </row>
    <row r="35" spans="1:5">
      <c r="A35" s="2" t="s">
        <v>9</v>
      </c>
      <c r="B35" s="327" t="s">
        <v>1594</v>
      </c>
    </row>
    <row r="36" spans="1:5">
      <c r="A36" s="2" t="s">
        <v>10</v>
      </c>
      <c r="B36" s="328" t="s">
        <v>1659</v>
      </c>
    </row>
    <row r="37" spans="1:5">
      <c r="A37" s="5" t="s">
        <v>27</v>
      </c>
      <c r="B37" s="5"/>
    </row>
    <row r="38" spans="1:5">
      <c r="A38" s="2" t="s">
        <v>4</v>
      </c>
      <c r="B38" s="413" t="s">
        <v>1660</v>
      </c>
    </row>
    <row r="39" spans="1:5">
      <c r="A39" s="2" t="s">
        <v>5</v>
      </c>
      <c r="B39" s="298" t="s">
        <v>1379</v>
      </c>
    </row>
    <row r="40" spans="1:5">
      <c r="A40" s="2" t="s">
        <v>7</v>
      </c>
      <c r="B40" s="298" t="s">
        <v>424</v>
      </c>
    </row>
    <row r="41" spans="1:5">
      <c r="A41" s="2" t="s">
        <v>9</v>
      </c>
      <c r="B41" s="299" t="s">
        <v>1595</v>
      </c>
    </row>
    <row r="42" spans="1:5">
      <c r="A42" s="2" t="s">
        <v>10</v>
      </c>
      <c r="B42" s="88" t="s">
        <v>1661</v>
      </c>
    </row>
    <row r="43" spans="1:5">
      <c r="A43" s="7" t="s">
        <v>28</v>
      </c>
      <c r="B43" s="5"/>
    </row>
    <row r="44" spans="1:5">
      <c r="A44" s="2" t="s">
        <v>4</v>
      </c>
      <c r="B44" s="6" t="s">
        <v>1256</v>
      </c>
      <c r="D44" t="s">
        <v>1164</v>
      </c>
      <c r="E44" t="s">
        <v>1136</v>
      </c>
    </row>
    <row r="45" spans="1:5">
      <c r="A45" s="2" t="s">
        <v>5</v>
      </c>
      <c r="B45" s="6" t="s">
        <v>6</v>
      </c>
      <c r="D45" t="s">
        <v>6</v>
      </c>
      <c r="E45" t="s">
        <v>1137</v>
      </c>
    </row>
    <row r="46" spans="1:5">
      <c r="A46" s="2" t="s">
        <v>9</v>
      </c>
      <c r="B46" s="6" t="s">
        <v>1140</v>
      </c>
      <c r="D46" t="s">
        <v>1140</v>
      </c>
      <c r="E46" t="s">
        <v>1138</v>
      </c>
    </row>
    <row r="47" spans="1:5">
      <c r="A47" s="2" t="s">
        <v>10</v>
      </c>
      <c r="B47" s="27" t="s">
        <v>1141</v>
      </c>
      <c r="D47" t="s">
        <v>1141</v>
      </c>
      <c r="E47" t="s">
        <v>1139</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G15" sqref="G15"/>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762</v>
      </c>
    </row>
    <row r="2" spans="1:3" s="50" customFormat="1" ht="15.5">
      <c r="A2" s="51" t="s">
        <v>719</v>
      </c>
      <c r="B2" s="51"/>
      <c r="C2" s="49"/>
    </row>
    <row r="3" spans="1:3">
      <c r="A3" s="11" t="s">
        <v>714</v>
      </c>
      <c r="B3" s="90" t="str">
        <f>'Agreement 3'!B16</f>
        <v>Software for Mars (Pty) Ltd</v>
      </c>
      <c r="C3" s="11" t="s">
        <v>1005</v>
      </c>
    </row>
    <row r="4" spans="1:3">
      <c r="A4" s="11" t="s">
        <v>713</v>
      </c>
      <c r="B4" s="11" t="s">
        <v>1662</v>
      </c>
    </row>
    <row r="5" spans="1:3" s="98" customFormat="1"/>
    <row r="6" spans="1:3">
      <c r="A6" s="11" t="s">
        <v>715</v>
      </c>
      <c r="B6" s="91" t="str">
        <f>CONCATENATE(TEXT(B27,"yyyy-mm-dd"),"to",TEXT(B36,"mm-dd")," (A",RIGHT(B10,1),") ",'Agreement 3'!B4," D",'Agreement 3'!B2," C",'Agreement 3'!B5, " ",Planning!B4)</f>
        <v>2021-04-10to04-16 (A5) R0000 D124 C53517 SoftMARS</v>
      </c>
      <c r="C6" s="11" t="s">
        <v>1006</v>
      </c>
    </row>
    <row r="7" spans="1:3">
      <c r="A7" s="11" t="s">
        <v>716</v>
      </c>
      <c r="B7" s="98" t="s">
        <v>1675</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726</v>
      </c>
    </row>
    <row r="13" spans="1:3" s="98" customFormat="1"/>
    <row r="14" spans="1:3">
      <c r="A14" s="11" t="s">
        <v>850</v>
      </c>
      <c r="B14" s="91" t="str">
        <f>CONCATENATE("D",'Agreement 3'!B2, " (A",RIGHT(B10,1),") ",B4," - ",'Agreement 3'!B18," (Q",ROUNDUP(MONTH('Agreement 3'!B26)/3,0),") ",YEAR('Agreement 3'!B26))</f>
        <v>D124 (A5) SoftMARS - Base Alpha City (Q2) 2021</v>
      </c>
      <c r="C14" s="11" t="s">
        <v>1005</v>
      </c>
    </row>
    <row r="15" spans="1:3">
      <c r="A15" s="11" t="s">
        <v>849</v>
      </c>
      <c r="B15" s="11" t="s">
        <v>1663</v>
      </c>
    </row>
    <row r="16" spans="1:3">
      <c r="A16" s="11" t="s">
        <v>765</v>
      </c>
      <c r="B16" s="92">
        <f>'Agreement 3'!B5</f>
        <v>53517</v>
      </c>
      <c r="C16" s="11" t="s">
        <v>1005</v>
      </c>
    </row>
    <row r="18" spans="1:3" s="50" customFormat="1" ht="15.5">
      <c r="A18" s="51" t="s">
        <v>961</v>
      </c>
      <c r="B18" s="51"/>
      <c r="C18" s="49"/>
    </row>
    <row r="19" spans="1:3" s="50" customFormat="1" ht="15.5">
      <c r="A19" s="50" t="s">
        <v>875</v>
      </c>
      <c r="B19" s="416" t="s">
        <v>1380</v>
      </c>
      <c r="C19" s="49"/>
    </row>
    <row r="20" spans="1:3" s="50" customFormat="1" ht="15.5">
      <c r="A20" s="50" t="s">
        <v>963</v>
      </c>
      <c r="B20" s="94">
        <f>B21-1</f>
        <v>44267</v>
      </c>
      <c r="C20" s="49"/>
    </row>
    <row r="21" spans="1:3" s="50" customFormat="1" ht="15.5">
      <c r="A21" s="50" t="s">
        <v>1009</v>
      </c>
      <c r="B21" s="146">
        <f>B24-14</f>
        <v>44268</v>
      </c>
      <c r="C21" s="49" t="s">
        <v>1006</v>
      </c>
    </row>
    <row r="22" spans="1:3" s="50" customFormat="1" ht="15.5">
      <c r="B22" s="94"/>
      <c r="C22" s="49"/>
    </row>
    <row r="23" spans="1:3" s="50" customFormat="1" ht="15.5">
      <c r="A23" s="50" t="s">
        <v>964</v>
      </c>
      <c r="B23" s="94">
        <f>B24-1</f>
        <v>44281</v>
      </c>
      <c r="C23" s="49"/>
    </row>
    <row r="24" spans="1:3" s="50" customFormat="1" ht="15.5">
      <c r="A24" s="50" t="s">
        <v>1010</v>
      </c>
      <c r="B24" s="146">
        <f>B27-14</f>
        <v>44282</v>
      </c>
      <c r="C24" s="49" t="s">
        <v>1006</v>
      </c>
    </row>
    <row r="25" spans="1:3" s="50" customFormat="1" ht="15.5">
      <c r="B25" s="94"/>
      <c r="C25" s="49"/>
    </row>
    <row r="26" spans="1:3" s="50" customFormat="1" ht="15.5">
      <c r="A26" s="50" t="s">
        <v>876</v>
      </c>
      <c r="B26" s="94">
        <f>B27-2</f>
        <v>44294</v>
      </c>
      <c r="C26" s="49"/>
    </row>
    <row r="27" spans="1:3" s="50" customFormat="1" ht="15.5">
      <c r="A27" s="50" t="s">
        <v>877</v>
      </c>
      <c r="B27" s="146">
        <f>B30-B29</f>
        <v>44296</v>
      </c>
      <c r="C27" s="50" t="s">
        <v>1006</v>
      </c>
    </row>
    <row r="28" spans="1:3" s="50" customFormat="1" ht="15.5">
      <c r="A28" s="50" t="s">
        <v>878</v>
      </c>
      <c r="B28" s="50">
        <v>0</v>
      </c>
      <c r="C28" s="49"/>
    </row>
    <row r="29" spans="1:3" s="50" customFormat="1" ht="15.5">
      <c r="A29" s="50" t="s">
        <v>1014</v>
      </c>
      <c r="B29" s="50">
        <v>2</v>
      </c>
      <c r="C29" s="49" t="s">
        <v>988</v>
      </c>
    </row>
    <row r="30" spans="1:3" s="50" customFormat="1" ht="15.5">
      <c r="A30" s="50" t="s">
        <v>879</v>
      </c>
      <c r="B30" s="93">
        <f>'Agreement 3'!B25</f>
        <v>44298</v>
      </c>
      <c r="C30" s="127"/>
    </row>
    <row r="31" spans="1:3" s="50" customFormat="1" ht="15.5">
      <c r="A31" s="50" t="s">
        <v>1132</v>
      </c>
      <c r="B31" s="50">
        <v>0</v>
      </c>
      <c r="C31" s="127"/>
    </row>
    <row r="32" spans="1:3" s="50" customFormat="1" ht="15.5">
      <c r="A32" s="50" t="s">
        <v>755</v>
      </c>
      <c r="B32" s="93">
        <f>B33-B31</f>
        <v>44302</v>
      </c>
      <c r="C32" s="127" t="s">
        <v>1006</v>
      </c>
    </row>
    <row r="33" spans="1:4" s="50" customFormat="1" ht="15.5">
      <c r="A33" s="50" t="s">
        <v>880</v>
      </c>
      <c r="B33" s="93">
        <f>'Agreement 3'!B26</f>
        <v>44302</v>
      </c>
      <c r="C33" s="49" t="s">
        <v>1005</v>
      </c>
    </row>
    <row r="34" spans="1:4" s="117" customFormat="1" ht="15.5">
      <c r="A34" s="50" t="s">
        <v>400</v>
      </c>
      <c r="B34" s="39">
        <f>B33-B27+1-B28</f>
        <v>7</v>
      </c>
      <c r="C34" s="117" t="s">
        <v>1006</v>
      </c>
    </row>
    <row r="35" spans="1:4" s="117" customFormat="1" ht="15.5">
      <c r="A35" s="117" t="s">
        <v>1134</v>
      </c>
      <c r="B35" s="50">
        <v>0</v>
      </c>
    </row>
    <row r="36" spans="1:4" s="117" customFormat="1">
      <c r="A36" s="117" t="s">
        <v>1133</v>
      </c>
      <c r="B36" s="239">
        <f>B35+B32</f>
        <v>44302</v>
      </c>
      <c r="C36" s="117" t="s">
        <v>1006</v>
      </c>
    </row>
    <row r="37" spans="1:4" s="117" customFormat="1" ht="15.5">
      <c r="A37" s="117" t="s">
        <v>1381</v>
      </c>
      <c r="B37" s="50">
        <v>14</v>
      </c>
    </row>
    <row r="38" spans="1:4" s="117" customFormat="1">
      <c r="A38" s="117" t="s">
        <v>1135</v>
      </c>
      <c r="B38" s="239">
        <f>B36+B37-1</f>
        <v>44315</v>
      </c>
      <c r="C38" s="117" t="s">
        <v>1006</v>
      </c>
    </row>
    <row r="40" spans="1:4" s="50" customFormat="1" ht="31">
      <c r="A40" s="51" t="s">
        <v>965</v>
      </c>
      <c r="B40" s="51"/>
      <c r="C40" s="49"/>
    </row>
    <row r="41" spans="1:4" s="50" customFormat="1" ht="15.5">
      <c r="A41" s="50" t="s">
        <v>966</v>
      </c>
      <c r="B41" s="55" t="str">
        <f>'Agreement 3'!B23</f>
        <v>Conduct Maturity Level 5 appraisal in April 2021</v>
      </c>
      <c r="C41" s="49" t="s">
        <v>1005</v>
      </c>
    </row>
    <row r="42" spans="1:4" s="50" customFormat="1" ht="43.5">
      <c r="A42" s="50" t="s">
        <v>857</v>
      </c>
      <c r="B42" s="91" t="str">
        <f>B44</f>
        <v>[BO-1] Improve production efficiency to improve productivity 
[BO-2] Improve delivery capacity
[BO-3] Reduce Code Acceptance Defects</v>
      </c>
      <c r="C42" s="49" t="s">
        <v>1006</v>
      </c>
    </row>
    <row r="43" spans="1:4" s="120" customFormat="1">
      <c r="A43" s="120" t="s">
        <v>594</v>
      </c>
      <c r="B43" s="238" t="s">
        <v>1238</v>
      </c>
      <c r="C43" s="120" t="s">
        <v>885</v>
      </c>
      <c r="D43" s="125" t="s">
        <v>1086</v>
      </c>
    </row>
    <row r="44" spans="1:4" s="120" customFormat="1" ht="43.5">
      <c r="A44" s="120" t="s">
        <v>595</v>
      </c>
      <c r="B44" s="89" t="s">
        <v>1382</v>
      </c>
      <c r="C44" s="120" t="s">
        <v>885</v>
      </c>
      <c r="D44" s="125" t="s">
        <v>1086</v>
      </c>
    </row>
    <row r="45" spans="1:4" s="120" customFormat="1">
      <c r="A45" s="120" t="s">
        <v>596</v>
      </c>
      <c r="B45" s="238" t="s">
        <v>404</v>
      </c>
      <c r="C45" s="120" t="s">
        <v>885</v>
      </c>
      <c r="D45" s="125" t="s">
        <v>1086</v>
      </c>
    </row>
    <row r="46" spans="1:4" s="125" customFormat="1">
      <c r="B46" s="89"/>
    </row>
    <row r="47" spans="1:4" s="125" customFormat="1">
      <c r="A47" s="125" t="s">
        <v>597</v>
      </c>
      <c r="B47" s="89" t="s">
        <v>1596</v>
      </c>
      <c r="C47" s="125" t="s">
        <v>885</v>
      </c>
      <c r="D47" s="125" t="s">
        <v>1086</v>
      </c>
    </row>
    <row r="48" spans="1:4" s="125" customFormat="1">
      <c r="A48" s="125" t="s">
        <v>598</v>
      </c>
      <c r="B48" s="89" t="s">
        <v>1597</v>
      </c>
      <c r="C48" s="125" t="s">
        <v>885</v>
      </c>
      <c r="D48" s="125" t="s">
        <v>1086</v>
      </c>
    </row>
    <row r="49" spans="1:3" s="125" customFormat="1">
      <c r="A49" s="125" t="s">
        <v>599</v>
      </c>
      <c r="B49" s="89" t="s">
        <v>1165</v>
      </c>
      <c r="C49" s="125" t="s">
        <v>885</v>
      </c>
    </row>
    <row r="50" spans="1:3" s="125" customFormat="1">
      <c r="A50" s="125" t="s">
        <v>600</v>
      </c>
      <c r="B50" s="89" t="s">
        <v>621</v>
      </c>
      <c r="C50" s="125" t="s">
        <v>885</v>
      </c>
    </row>
    <row r="51" spans="1:3" s="125" customFormat="1">
      <c r="A51" s="125" t="s">
        <v>601</v>
      </c>
      <c r="B51" s="89" t="s">
        <v>1598</v>
      </c>
      <c r="C51" s="125" t="s">
        <v>885</v>
      </c>
    </row>
    <row r="52" spans="1:3" s="125" customFormat="1">
      <c r="A52" s="125" t="s">
        <v>602</v>
      </c>
      <c r="B52" s="89" t="s">
        <v>1599</v>
      </c>
      <c r="C52" s="125" t="s">
        <v>885</v>
      </c>
    </row>
    <row r="53" spans="1:3" s="125" customFormat="1">
      <c r="B53" s="238"/>
    </row>
    <row r="54" spans="1:3" s="50" customFormat="1" ht="46.5">
      <c r="A54" s="50" t="s">
        <v>1083</v>
      </c>
      <c r="B54" s="420" t="s">
        <v>1383</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4" sqref="B4"/>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1020</v>
      </c>
      <c r="B1" s="48"/>
      <c r="C1" s="49" t="s">
        <v>852</v>
      </c>
    </row>
    <row r="2" spans="1:3">
      <c r="A2" s="51" t="s">
        <v>389</v>
      </c>
      <c r="B2" s="51"/>
    </row>
    <row r="3" spans="1:3">
      <c r="A3" s="50" t="s">
        <v>853</v>
      </c>
      <c r="B3" s="55" t="str">
        <f>'Agreement 3'!B16</f>
        <v>Software for Mars (Pty) Ltd</v>
      </c>
      <c r="C3" s="49" t="s">
        <v>1005</v>
      </c>
    </row>
    <row r="4" spans="1:3">
      <c r="A4" s="50" t="s">
        <v>854</v>
      </c>
      <c r="B4" s="55" t="str">
        <f>IF('Agreement 3'!B17&lt;&gt;"",'Agreement 3'!B17,"")</f>
        <v>Mars</v>
      </c>
      <c r="C4" s="49" t="s">
        <v>1005</v>
      </c>
    </row>
    <row r="5" spans="1:3" s="84" customFormat="1" ht="14.5">
      <c r="A5" s="84" t="s">
        <v>31</v>
      </c>
      <c r="B5" s="117" t="s">
        <v>1665</v>
      </c>
    </row>
    <row r="6" spans="1:3" s="84" customFormat="1" ht="14.5">
      <c r="A6" s="84" t="s">
        <v>32</v>
      </c>
      <c r="B6" s="117" t="s">
        <v>1664</v>
      </c>
    </row>
    <row r="7" spans="1:3" s="84" customFormat="1">
      <c r="A7" s="84" t="s">
        <v>33</v>
      </c>
      <c r="B7" s="55" t="str">
        <f>'Agreement 3'!B18</f>
        <v>Base Alpha City</v>
      </c>
      <c r="C7" s="84" t="s">
        <v>1005</v>
      </c>
    </row>
    <row r="8" spans="1:3" s="84" customFormat="1">
      <c r="A8" s="84" t="s">
        <v>34</v>
      </c>
      <c r="B8" s="55" t="str">
        <f>'Agreement 3'!B19</f>
        <v>Tharsis</v>
      </c>
      <c r="C8" s="84" t="s">
        <v>1005</v>
      </c>
    </row>
    <row r="9" spans="1:3" s="84" customFormat="1" ht="14.5">
      <c r="A9" s="84" t="s">
        <v>35</v>
      </c>
      <c r="B9" s="86" t="s">
        <v>1669</v>
      </c>
    </row>
    <row r="10" spans="1:3" s="84" customFormat="1" ht="14.5">
      <c r="A10" s="84" t="s">
        <v>17</v>
      </c>
      <c r="B10" s="85" t="s">
        <v>18</v>
      </c>
      <c r="C10" s="84" t="s">
        <v>384</v>
      </c>
    </row>
    <row r="11" spans="1:3" ht="31">
      <c r="A11" s="50" t="s">
        <v>855</v>
      </c>
      <c r="B11" s="87" t="str">
        <f>_xlfn.CONCAT(B5,", ",B6,", ",B7,", ",B8,", ",B9,", ",B10)</f>
        <v>Room 1, Dome 1, No. 1 First Street, Base Alpha City, Tharsis, Planet04, China</v>
      </c>
      <c r="C11" s="49" t="s">
        <v>1006</v>
      </c>
    </row>
    <row r="12" spans="1:3">
      <c r="A12" s="50" t="s">
        <v>856</v>
      </c>
      <c r="B12" s="301" t="s">
        <v>1666</v>
      </c>
    </row>
    <row r="13" spans="1:3" ht="46.5">
      <c r="A13" s="50" t="s">
        <v>857</v>
      </c>
      <c r="B13" s="55" t="str">
        <f>_xlfn.CONCAT(Planning!B44)</f>
        <v>[BO-1] Improve production efficiency to improve productivity 
[BO-2] Improve delivery capacity
[BO-3] Reduce Code Acceptance Defects</v>
      </c>
      <c r="C13" s="49" t="s">
        <v>962</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962</v>
      </c>
    </row>
    <row r="15" spans="1:3">
      <c r="A15" s="50" t="str">
        <f>Planning!A47</f>
        <v>QPPO Target Measurement/KPI</v>
      </c>
      <c r="B15" s="55" t="str">
        <f>Planning!B47</f>
        <v>Post release defect density: UCL:2.424, CL:2.103, LCL:1.783</v>
      </c>
      <c r="C15" s="49" t="s">
        <v>962</v>
      </c>
    </row>
    <row r="16" spans="1:3">
      <c r="A16" s="50" t="str">
        <f>Planning!A48</f>
        <v>QPPO Actual Measurement/KPI</v>
      </c>
      <c r="B16" s="55" t="str">
        <f>Planning!B48</f>
        <v>Post release defect density: UCL:1.8726,CL:1.607,LCL:1.3407</v>
      </c>
      <c r="C16" s="49" t="s">
        <v>962</v>
      </c>
    </row>
    <row r="17" spans="1:3" ht="68.150000000000006" customHeight="1">
      <c r="A17" s="50" t="s">
        <v>989</v>
      </c>
      <c r="B17" s="417"/>
    </row>
    <row r="19" spans="1:3">
      <c r="A19" s="51" t="s">
        <v>858</v>
      </c>
      <c r="B19" s="51"/>
    </row>
    <row r="20" spans="1:3">
      <c r="A20" s="50" t="s">
        <v>859</v>
      </c>
      <c r="B20" s="89" t="s">
        <v>1384</v>
      </c>
    </row>
    <row r="21" spans="1:3">
      <c r="A21" s="50" t="s">
        <v>860</v>
      </c>
      <c r="B21" s="89"/>
    </row>
    <row r="22" spans="1:3">
      <c r="A22" s="50" t="s">
        <v>861</v>
      </c>
      <c r="B22" s="89" t="s">
        <v>1600</v>
      </c>
    </row>
    <row r="23" spans="1:3" ht="87">
      <c r="A23" s="50" t="s">
        <v>862</v>
      </c>
      <c r="B23" s="414" t="s">
        <v>1668</v>
      </c>
      <c r="C23" s="306"/>
    </row>
    <row r="24" spans="1:3" ht="31">
      <c r="A24" s="50" t="s">
        <v>863</v>
      </c>
      <c r="B24" s="54" t="s">
        <v>347</v>
      </c>
      <c r="C24" s="49" t="s">
        <v>384</v>
      </c>
    </row>
    <row r="25" spans="1:3">
      <c r="A25" s="50" t="s">
        <v>864</v>
      </c>
      <c r="B25" s="50">
        <v>2481632</v>
      </c>
    </row>
    <row r="26" spans="1:3" ht="46.5">
      <c r="A26" s="50" t="s">
        <v>980</v>
      </c>
      <c r="B26" s="329" t="s">
        <v>1572</v>
      </c>
      <c r="C26" s="49" t="s">
        <v>1006</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1005</v>
      </c>
    </row>
    <row r="30" spans="1:3" s="117" customFormat="1">
      <c r="A30" s="117" t="s">
        <v>34</v>
      </c>
      <c r="B30" s="55" t="str">
        <f t="shared" si="0"/>
        <v>Tharsis</v>
      </c>
      <c r="C30" s="117" t="s">
        <v>1005</v>
      </c>
    </row>
    <row r="31" spans="1:3" s="117" customFormat="1" ht="14.5">
      <c r="A31" s="117" t="s">
        <v>35</v>
      </c>
      <c r="B31" s="89" t="str">
        <f t="shared" si="0"/>
        <v>Planet04</v>
      </c>
    </row>
    <row r="32" spans="1:3" s="117" customFormat="1" ht="14.5">
      <c r="A32" s="117" t="s">
        <v>17</v>
      </c>
      <c r="B32" s="121" t="str">
        <f t="shared" si="0"/>
        <v>China</v>
      </c>
      <c r="C32" s="117" t="s">
        <v>384</v>
      </c>
    </row>
    <row r="33" spans="1:3" ht="31">
      <c r="A33" s="50" t="s">
        <v>855</v>
      </c>
      <c r="B33" s="102" t="str">
        <f>_xlfn.CONCAT(B27,", ",B28,", ",B29,", ",B30,", ",B31,", ",B32)</f>
        <v>Room 1, Dome 1, No. 1 First Street, Base Alpha City, Tharsis, Planet04, China</v>
      </c>
      <c r="C33" s="49" t="s">
        <v>1006</v>
      </c>
    </row>
    <row r="35" spans="1:3">
      <c r="A35" s="51" t="s">
        <v>865</v>
      </c>
      <c r="B35" s="51"/>
    </row>
    <row r="36" spans="1:3">
      <c r="A36" s="50" t="s">
        <v>866</v>
      </c>
      <c r="B36" s="55" t="str">
        <f>'Agreement 3'!B29</f>
        <v>The Boss</v>
      </c>
      <c r="C36" s="49" t="s">
        <v>1005</v>
      </c>
    </row>
    <row r="37" spans="1:3">
      <c r="A37" s="50" t="s">
        <v>867</v>
      </c>
      <c r="B37" s="55" t="str">
        <f>'Agreement 3'!B28</f>
        <v>Prof Kessler, Donald</v>
      </c>
      <c r="C37" s="49" t="s">
        <v>1005</v>
      </c>
    </row>
    <row r="38" spans="1:3">
      <c r="A38" s="50" t="s">
        <v>868</v>
      </c>
      <c r="B38" s="55" t="str">
        <f>'Agreement 3'!B16</f>
        <v>Software for Mars (Pty) Ltd</v>
      </c>
      <c r="C38" s="49" t="s">
        <v>1005</v>
      </c>
    </row>
    <row r="39" spans="1:3" ht="31">
      <c r="A39" s="50" t="s">
        <v>1087</v>
      </c>
      <c r="B39" s="54" t="s">
        <v>735</v>
      </c>
      <c r="C39" s="49" t="s">
        <v>384</v>
      </c>
    </row>
    <row r="40" spans="1:3" ht="31">
      <c r="A40" s="50" t="s">
        <v>869</v>
      </c>
      <c r="B40" s="52" t="str">
        <f>B11</f>
        <v>Room 1, Dome 1, No. 1 First Street, Base Alpha City, Tharsis, Planet04, China</v>
      </c>
      <c r="C40" s="49" t="s">
        <v>1006</v>
      </c>
    </row>
    <row r="41" spans="1:3">
      <c r="A41" s="50" t="s">
        <v>870</v>
      </c>
      <c r="B41" s="78" t="str">
        <f>'Agreement 3'!B31</f>
        <v>donald.kessler@email.com</v>
      </c>
      <c r="C41" s="49" t="s">
        <v>1005</v>
      </c>
    </row>
    <row r="42" spans="1:3">
      <c r="A42" s="50" t="s">
        <v>871</v>
      </c>
      <c r="B42" s="79" t="str">
        <f>'Agreement 3'!B30</f>
        <v>+000 1111 2222</v>
      </c>
      <c r="C42" s="49" t="s">
        <v>1005</v>
      </c>
    </row>
    <row r="44" spans="1:3">
      <c r="A44" s="51" t="s">
        <v>425</v>
      </c>
      <c r="B44" s="51"/>
    </row>
    <row r="45" spans="1:3">
      <c r="A45" s="50" t="s">
        <v>1021</v>
      </c>
      <c r="B45" s="55" t="str">
        <f>'Agreement 3'!B33</f>
        <v>Miss Lake, Nathalie</v>
      </c>
      <c r="C45" s="49" t="s">
        <v>1005</v>
      </c>
    </row>
    <row r="46" spans="1:3">
      <c r="A46" s="50" t="s">
        <v>872</v>
      </c>
      <c r="B46" s="54" t="s">
        <v>735</v>
      </c>
      <c r="C46" s="49" t="s">
        <v>384</v>
      </c>
    </row>
    <row r="47" spans="1:3">
      <c r="A47" s="50" t="s">
        <v>873</v>
      </c>
      <c r="B47" s="79" t="str">
        <f>'Agreement 3'!B35</f>
        <v>+0000 1111 3333</v>
      </c>
      <c r="C47" s="49" t="s">
        <v>1005</v>
      </c>
    </row>
    <row r="48" spans="1:3">
      <c r="A48" s="50" t="s">
        <v>874</v>
      </c>
      <c r="B48" s="78" t="str">
        <f>'Agreement 3'!B36</f>
        <v>nathalie.lake@email.com</v>
      </c>
      <c r="C48" s="49" t="s">
        <v>1005</v>
      </c>
    </row>
    <row r="50" spans="1:3">
      <c r="A50" s="51" t="s">
        <v>27</v>
      </c>
      <c r="B50" s="51"/>
    </row>
    <row r="51" spans="1:3">
      <c r="A51" s="50" t="s">
        <v>13</v>
      </c>
      <c r="B51" s="55" t="str">
        <f>'Agreement 3'!B38</f>
        <v>Miss Land, Barbara</v>
      </c>
      <c r="C51" s="49" t="s">
        <v>1005</v>
      </c>
    </row>
    <row r="52" spans="1:3">
      <c r="A52" s="50" t="s">
        <v>1016</v>
      </c>
      <c r="B52" s="55" t="str">
        <f>'Agreement 3'!B39</f>
        <v>Freelance</v>
      </c>
      <c r="C52" s="49" t="s">
        <v>1005</v>
      </c>
    </row>
    <row r="53" spans="1:3">
      <c r="A53" s="50" t="s">
        <v>1017</v>
      </c>
      <c r="B53" s="54" t="s">
        <v>1015</v>
      </c>
      <c r="C53" s="49" t="s">
        <v>384</v>
      </c>
    </row>
    <row r="54" spans="1:3">
      <c r="A54" s="50" t="s">
        <v>728</v>
      </c>
      <c r="B54" s="54" t="s">
        <v>434</v>
      </c>
      <c r="C54" s="49" t="s">
        <v>384</v>
      </c>
    </row>
    <row r="55" spans="1:3">
      <c r="A55" s="50" t="s">
        <v>1018</v>
      </c>
      <c r="B55" s="50" t="s">
        <v>1019</v>
      </c>
    </row>
    <row r="56" spans="1:3">
      <c r="A56" s="50" t="s">
        <v>873</v>
      </c>
      <c r="B56" s="79" t="str">
        <f>'Agreement 3'!B41</f>
        <v>+000 1111 44444</v>
      </c>
      <c r="C56" s="49" t="s">
        <v>1005</v>
      </c>
    </row>
    <row r="57" spans="1:3">
      <c r="A57" s="50" t="s">
        <v>874</v>
      </c>
      <c r="B57" s="78" t="str">
        <f>'Agreement 3'!B42</f>
        <v>barbara.land@email.com</v>
      </c>
      <c r="C57" s="49" t="s">
        <v>1005</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27"/>
  <sheetViews>
    <sheetView topLeftCell="A10" zoomScale="85" zoomScaleNormal="85" workbookViewId="0">
      <selection activeCell="C20" sqref="C20"/>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1570</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1189</v>
      </c>
      <c r="AC1" s="428" t="s">
        <v>1190</v>
      </c>
      <c r="AD1" s="428"/>
      <c r="AE1" s="428"/>
      <c r="AF1" s="428"/>
      <c r="AG1" s="428"/>
      <c r="AH1" s="428"/>
      <c r="AI1" s="428"/>
    </row>
    <row r="2" spans="1:35" s="402" customFormat="1" ht="68">
      <c r="A2" s="400" t="s">
        <v>881</v>
      </c>
      <c r="B2" s="400" t="s">
        <v>13</v>
      </c>
      <c r="C2" s="400" t="s">
        <v>382</v>
      </c>
      <c r="D2" s="400" t="s">
        <v>882</v>
      </c>
      <c r="E2" s="400" t="s">
        <v>1150</v>
      </c>
      <c r="F2" s="401" t="s">
        <v>1151</v>
      </c>
      <c r="G2" s="401" t="s">
        <v>1152</v>
      </c>
      <c r="H2" s="400" t="s">
        <v>1568</v>
      </c>
      <c r="I2" s="261" t="s">
        <v>1571</v>
      </c>
      <c r="J2" s="262" t="s">
        <v>883</v>
      </c>
      <c r="K2" s="262" t="s">
        <v>884</v>
      </c>
      <c r="L2" s="262" t="s">
        <v>836</v>
      </c>
      <c r="M2" s="262" t="s">
        <v>885</v>
      </c>
      <c r="N2" s="262" t="s">
        <v>886</v>
      </c>
      <c r="O2" s="262" t="s">
        <v>887</v>
      </c>
      <c r="P2" s="262" t="s">
        <v>888</v>
      </c>
      <c r="Q2" s="262" t="s">
        <v>889</v>
      </c>
      <c r="R2" s="262" t="s">
        <v>890</v>
      </c>
      <c r="S2" s="262" t="s">
        <v>891</v>
      </c>
      <c r="T2" s="262" t="s">
        <v>753</v>
      </c>
      <c r="U2" s="262" t="s">
        <v>892</v>
      </c>
      <c r="V2" s="262" t="s">
        <v>893</v>
      </c>
      <c r="W2" s="262" t="s">
        <v>894</v>
      </c>
      <c r="X2" s="262" t="s">
        <v>895</v>
      </c>
      <c r="Y2" s="262" t="s">
        <v>751</v>
      </c>
      <c r="Z2" s="262" t="s">
        <v>896</v>
      </c>
      <c r="AA2" s="262" t="s">
        <v>897</v>
      </c>
      <c r="AB2" s="261"/>
      <c r="AC2" s="263" t="s">
        <v>1191</v>
      </c>
      <c r="AD2" s="263" t="s">
        <v>1192</v>
      </c>
      <c r="AE2" s="263" t="s">
        <v>1193</v>
      </c>
      <c r="AF2" s="263" t="s">
        <v>1194</v>
      </c>
      <c r="AG2" s="263" t="s">
        <v>1195</v>
      </c>
      <c r="AH2" s="263" t="s">
        <v>1160</v>
      </c>
      <c r="AI2" s="264" t="s">
        <v>1196</v>
      </c>
    </row>
    <row r="3" spans="1:35" s="265" customFormat="1" ht="13">
      <c r="A3" s="266" t="s">
        <v>898</v>
      </c>
      <c r="B3" s="265" t="s">
        <v>1602</v>
      </c>
      <c r="C3" s="266" t="s">
        <v>1601</v>
      </c>
      <c r="D3" s="266" t="s">
        <v>1153</v>
      </c>
      <c r="E3" s="266" t="s">
        <v>1394</v>
      </c>
      <c r="F3" s="267">
        <v>44021</v>
      </c>
      <c r="G3" s="267">
        <v>44260</v>
      </c>
      <c r="H3" s="266" t="s">
        <v>1396</v>
      </c>
      <c r="I3" s="268" t="s">
        <v>1569</v>
      </c>
      <c r="J3" s="269" t="s">
        <v>1104</v>
      </c>
      <c r="K3" s="269" t="s">
        <v>1104</v>
      </c>
      <c r="L3" s="269"/>
      <c r="M3" s="269"/>
      <c r="N3" s="269"/>
      <c r="O3" s="269"/>
      <c r="P3" s="269"/>
      <c r="Q3" s="269"/>
      <c r="R3" s="269"/>
      <c r="S3" s="269"/>
      <c r="T3" s="269"/>
      <c r="U3" s="269"/>
      <c r="V3" s="269"/>
      <c r="W3" s="269"/>
      <c r="X3" s="269"/>
      <c r="Y3" s="269"/>
      <c r="Z3" s="269"/>
      <c r="AA3" s="269"/>
      <c r="AB3" s="268">
        <v>10</v>
      </c>
      <c r="AC3" s="270" t="s">
        <v>1340</v>
      </c>
      <c r="AD3" s="270"/>
      <c r="AE3" s="270"/>
      <c r="AF3" s="270"/>
      <c r="AG3" s="270"/>
      <c r="AH3" s="270"/>
      <c r="AI3" s="271"/>
    </row>
    <row r="4" spans="1:35" s="265" customFormat="1" ht="13">
      <c r="A4" s="266" t="s">
        <v>899</v>
      </c>
      <c r="B4" s="265" t="s">
        <v>1603</v>
      </c>
      <c r="C4" s="266" t="s">
        <v>1604</v>
      </c>
      <c r="D4" s="266" t="s">
        <v>1153</v>
      </c>
      <c r="E4" s="300" t="s">
        <v>1394</v>
      </c>
      <c r="F4" s="272">
        <v>44086</v>
      </c>
      <c r="G4" s="272">
        <v>44258</v>
      </c>
      <c r="H4" s="266" t="s">
        <v>1396</v>
      </c>
      <c r="I4" s="268" t="s">
        <v>1569</v>
      </c>
      <c r="J4" s="269"/>
      <c r="K4" s="269"/>
      <c r="L4" s="269"/>
      <c r="M4" s="269" t="s">
        <v>1104</v>
      </c>
      <c r="N4" s="269" t="s">
        <v>1104</v>
      </c>
      <c r="O4" s="269" t="s">
        <v>1104</v>
      </c>
      <c r="P4" s="269"/>
      <c r="Q4" s="269"/>
      <c r="R4" s="269"/>
      <c r="S4" s="269"/>
      <c r="T4" s="269"/>
      <c r="U4" s="269"/>
      <c r="V4" s="269"/>
      <c r="W4" s="269"/>
      <c r="X4" s="269"/>
      <c r="Y4" s="269"/>
      <c r="Z4" s="269"/>
      <c r="AA4" s="269"/>
      <c r="AB4" s="268">
        <v>11</v>
      </c>
      <c r="AC4" s="270" t="s">
        <v>1340</v>
      </c>
      <c r="AD4" s="270"/>
      <c r="AE4" s="270"/>
      <c r="AF4" s="270"/>
      <c r="AG4" s="270"/>
      <c r="AH4" s="270"/>
      <c r="AI4" s="271"/>
    </row>
    <row r="5" spans="1:35" s="265" customFormat="1" ht="13">
      <c r="A5" s="266" t="s">
        <v>900</v>
      </c>
      <c r="B5" s="265" t="s">
        <v>1605</v>
      </c>
      <c r="C5" s="266" t="s">
        <v>1606</v>
      </c>
      <c r="D5" s="266" t="s">
        <v>1153</v>
      </c>
      <c r="E5" s="300" t="s">
        <v>1394</v>
      </c>
      <c r="F5" s="272">
        <v>44062</v>
      </c>
      <c r="G5" s="272">
        <v>44247</v>
      </c>
      <c r="H5" s="266" t="s">
        <v>1396</v>
      </c>
      <c r="I5" s="268" t="s">
        <v>1569</v>
      </c>
      <c r="J5" s="269"/>
      <c r="K5" s="269"/>
      <c r="L5" s="269"/>
      <c r="M5" s="269"/>
      <c r="N5" s="269"/>
      <c r="O5" s="269"/>
      <c r="P5" s="269"/>
      <c r="Q5" s="269"/>
      <c r="R5" s="269"/>
      <c r="S5" s="269"/>
      <c r="T5" s="269"/>
      <c r="U5" s="269" t="s">
        <v>1104</v>
      </c>
      <c r="V5" s="269" t="s">
        <v>1104</v>
      </c>
      <c r="W5" s="269" t="s">
        <v>1104</v>
      </c>
      <c r="X5" s="269"/>
      <c r="Y5" s="269"/>
      <c r="Z5" s="269"/>
      <c r="AA5" s="269"/>
      <c r="AB5" s="268">
        <v>9</v>
      </c>
      <c r="AC5" s="270"/>
      <c r="AD5" s="270" t="s">
        <v>1340</v>
      </c>
      <c r="AE5" s="270"/>
      <c r="AF5" s="270"/>
      <c r="AG5" s="270"/>
      <c r="AH5" s="270"/>
      <c r="AI5" s="271"/>
    </row>
    <row r="6" spans="1:35" s="265" customFormat="1" ht="13">
      <c r="A6" s="266" t="s">
        <v>901</v>
      </c>
      <c r="B6" s="265" t="s">
        <v>1607</v>
      </c>
      <c r="C6" s="272" t="s">
        <v>1608</v>
      </c>
      <c r="D6" s="266" t="s">
        <v>1153</v>
      </c>
      <c r="E6" s="300" t="s">
        <v>1394</v>
      </c>
      <c r="F6" s="272" t="s">
        <v>1395</v>
      </c>
      <c r="G6" s="272">
        <v>44265</v>
      </c>
      <c r="H6" s="300" t="s">
        <v>1396</v>
      </c>
      <c r="I6" s="268" t="s">
        <v>1569</v>
      </c>
      <c r="J6" s="269"/>
      <c r="K6" s="269"/>
      <c r="L6" s="269"/>
      <c r="M6" s="269"/>
      <c r="N6" s="269"/>
      <c r="O6" s="269"/>
      <c r="P6" s="269"/>
      <c r="Q6" s="269"/>
      <c r="R6" s="269"/>
      <c r="S6" s="269" t="s">
        <v>1104</v>
      </c>
      <c r="T6" s="269"/>
      <c r="U6" s="269"/>
      <c r="V6" s="269"/>
      <c r="W6" s="269"/>
      <c r="X6" s="269"/>
      <c r="Y6" s="269"/>
      <c r="Z6" s="269"/>
      <c r="AA6" s="269"/>
      <c r="AB6" s="268">
        <v>7</v>
      </c>
      <c r="AC6" s="270"/>
      <c r="AD6" s="270" t="s">
        <v>411</v>
      </c>
      <c r="AE6" s="270"/>
      <c r="AF6" s="270"/>
      <c r="AG6" s="270"/>
      <c r="AH6" s="270"/>
      <c r="AI6" s="271"/>
    </row>
    <row r="7" spans="1:35" s="265" customFormat="1" ht="26">
      <c r="A7" s="274" t="s">
        <v>903</v>
      </c>
      <c r="B7" s="274" t="s">
        <v>1390</v>
      </c>
      <c r="C7" s="274" t="s">
        <v>1609</v>
      </c>
      <c r="D7" s="274" t="s">
        <v>1154</v>
      </c>
      <c r="E7" s="275"/>
      <c r="F7" s="276"/>
      <c r="G7" s="276"/>
      <c r="H7" s="300" t="s">
        <v>1396</v>
      </c>
      <c r="I7" s="269" t="s">
        <v>952</v>
      </c>
      <c r="J7" s="269"/>
      <c r="K7" s="269"/>
      <c r="L7" s="269"/>
      <c r="M7" s="269"/>
      <c r="N7" s="269"/>
      <c r="O7" s="269"/>
      <c r="P7" s="269"/>
      <c r="Q7" s="269"/>
      <c r="R7" s="269"/>
      <c r="S7" s="269"/>
      <c r="T7" s="269"/>
      <c r="U7" s="269"/>
      <c r="V7" s="269"/>
      <c r="W7" s="269"/>
      <c r="X7" s="269"/>
      <c r="Y7" s="269" t="s">
        <v>1174</v>
      </c>
      <c r="Z7" s="269"/>
      <c r="AA7" s="269"/>
      <c r="AB7" s="273">
        <v>1</v>
      </c>
      <c r="AC7" s="270"/>
      <c r="AD7" s="270"/>
      <c r="AE7" s="270" t="s">
        <v>411</v>
      </c>
      <c r="AF7" s="270"/>
      <c r="AG7" s="270"/>
      <c r="AH7" s="270"/>
      <c r="AI7" s="271"/>
    </row>
    <row r="8" spans="1:35" s="265" customFormat="1" ht="65">
      <c r="A8" s="274" t="s">
        <v>904</v>
      </c>
      <c r="B8" s="274" t="s">
        <v>1391</v>
      </c>
      <c r="C8" s="274" t="s">
        <v>1610</v>
      </c>
      <c r="D8" s="274" t="s">
        <v>1154</v>
      </c>
      <c r="E8" s="275"/>
      <c r="F8" s="276"/>
      <c r="G8" s="276"/>
      <c r="H8" s="300" t="s">
        <v>1396</v>
      </c>
      <c r="I8" s="269" t="s">
        <v>952</v>
      </c>
      <c r="J8" s="269"/>
      <c r="K8" s="269"/>
      <c r="L8" s="269"/>
      <c r="M8" s="269"/>
      <c r="N8" s="269"/>
      <c r="O8" s="269"/>
      <c r="P8" s="269" t="s">
        <v>1174</v>
      </c>
      <c r="Q8" s="269" t="s">
        <v>1174</v>
      </c>
      <c r="R8" s="269" t="s">
        <v>1174</v>
      </c>
      <c r="S8" s="269"/>
      <c r="T8" s="269"/>
      <c r="U8" s="269"/>
      <c r="V8" s="269"/>
      <c r="W8" s="269"/>
      <c r="X8" s="269" t="s">
        <v>1174</v>
      </c>
      <c r="Y8" s="269"/>
      <c r="Z8" s="269" t="s">
        <v>1174</v>
      </c>
      <c r="AA8" s="269"/>
      <c r="AB8" s="273">
        <v>1</v>
      </c>
      <c r="AC8" s="270"/>
      <c r="AD8" s="270"/>
      <c r="AE8" s="270"/>
      <c r="AF8" s="270" t="s">
        <v>411</v>
      </c>
      <c r="AG8" s="270"/>
      <c r="AH8" s="270"/>
      <c r="AI8" s="271"/>
    </row>
    <row r="9" spans="1:35" s="265" customFormat="1" ht="39">
      <c r="A9" s="274" t="s">
        <v>905</v>
      </c>
      <c r="B9" s="274" t="s">
        <v>1392</v>
      </c>
      <c r="C9" s="274" t="s">
        <v>1611</v>
      </c>
      <c r="D9" s="274" t="s">
        <v>1154</v>
      </c>
      <c r="E9" s="275"/>
      <c r="F9" s="276"/>
      <c r="G9" s="276"/>
      <c r="H9" s="300" t="s">
        <v>1396</v>
      </c>
      <c r="I9" s="269" t="s">
        <v>952</v>
      </c>
      <c r="J9" s="269"/>
      <c r="K9" s="269"/>
      <c r="L9" s="269"/>
      <c r="M9" s="269"/>
      <c r="N9" s="269"/>
      <c r="O9" s="269"/>
      <c r="P9" s="269"/>
      <c r="Q9" s="269"/>
      <c r="R9" s="269"/>
      <c r="S9" s="269"/>
      <c r="T9" s="269" t="s">
        <v>1174</v>
      </c>
      <c r="U9" s="269"/>
      <c r="V9" s="269"/>
      <c r="W9" s="269"/>
      <c r="X9" s="269"/>
      <c r="Y9" s="269"/>
      <c r="Z9" s="269"/>
      <c r="AA9" s="269"/>
      <c r="AB9" s="273">
        <v>1</v>
      </c>
      <c r="AC9" s="270"/>
      <c r="AD9" s="270"/>
      <c r="AE9" s="270"/>
      <c r="AF9" s="270"/>
      <c r="AG9" s="270" t="s">
        <v>411</v>
      </c>
      <c r="AH9" s="270"/>
      <c r="AI9" s="271"/>
    </row>
    <row r="10" spans="1:35" s="265" customFormat="1" ht="26">
      <c r="A10" s="274" t="s">
        <v>906</v>
      </c>
      <c r="B10" s="274" t="s">
        <v>1393</v>
      </c>
      <c r="C10" s="274" t="s">
        <v>1612</v>
      </c>
      <c r="D10" s="274" t="s">
        <v>1154</v>
      </c>
      <c r="E10" s="275"/>
      <c r="F10" s="276"/>
      <c r="G10" s="276"/>
      <c r="H10" s="300" t="s">
        <v>1396</v>
      </c>
      <c r="I10" s="269" t="s">
        <v>952</v>
      </c>
      <c r="J10" s="269"/>
      <c r="K10" s="269"/>
      <c r="L10" s="269" t="s">
        <v>1174</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t="s">
        <v>411</v>
      </c>
      <c r="AI10" s="271"/>
    </row>
    <row r="23" spans="3:3">
      <c r="C23" s="421" t="s">
        <v>1681</v>
      </c>
    </row>
    <row r="24" spans="3:3" ht="40.5" customHeight="1">
      <c r="C24" s="117" t="s">
        <v>1679</v>
      </c>
    </row>
    <row r="25" spans="3:3" ht="40.5" customHeight="1">
      <c r="C25" s="117" t="s">
        <v>1678</v>
      </c>
    </row>
    <row r="26" spans="3:3" ht="40.5" customHeight="1">
      <c r="C26" s="117" t="s">
        <v>1677</v>
      </c>
    </row>
    <row r="27" spans="3:3" ht="40.5" customHeight="1">
      <c r="C27" s="117" t="s">
        <v>1680</v>
      </c>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zoomScale="70" zoomScaleNormal="70" workbookViewId="0">
      <selection activeCell="G23" sqref="G23"/>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02" t="s">
        <v>1022</v>
      </c>
      <c r="B1" s="303"/>
      <c r="C1" s="304"/>
      <c r="D1" s="305"/>
      <c r="E1" s="313"/>
      <c r="F1" s="260">
        <f t="shared" ref="F1:Y1" si="0">COUNTIF(F3:F1048576,"=x")</f>
        <v>5</v>
      </c>
      <c r="G1" s="260">
        <f t="shared" si="0"/>
        <v>1</v>
      </c>
      <c r="H1" s="260">
        <f t="shared" si="0"/>
        <v>5</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881</v>
      </c>
      <c r="B2" s="290" t="s">
        <v>907</v>
      </c>
      <c r="C2" s="290" t="s">
        <v>13</v>
      </c>
      <c r="D2" s="290" t="s">
        <v>908</v>
      </c>
      <c r="E2" s="290" t="s">
        <v>909</v>
      </c>
      <c r="F2" s="291" t="s">
        <v>895</v>
      </c>
      <c r="G2" s="291" t="s">
        <v>751</v>
      </c>
      <c r="H2" s="291" t="s">
        <v>896</v>
      </c>
      <c r="I2" s="291" t="s">
        <v>892</v>
      </c>
      <c r="J2" s="291" t="s">
        <v>910</v>
      </c>
      <c r="K2" s="291" t="s">
        <v>911</v>
      </c>
      <c r="L2" s="291" t="s">
        <v>888</v>
      </c>
      <c r="M2" s="291" t="s">
        <v>893</v>
      </c>
      <c r="N2" s="291" t="s">
        <v>753</v>
      </c>
      <c r="O2" s="291" t="s">
        <v>885</v>
      </c>
      <c r="P2" s="291" t="s">
        <v>894</v>
      </c>
      <c r="Q2" s="291" t="s">
        <v>889</v>
      </c>
      <c r="R2" s="291" t="s">
        <v>890</v>
      </c>
      <c r="S2" s="291" t="s">
        <v>836</v>
      </c>
      <c r="T2" s="291" t="s">
        <v>883</v>
      </c>
      <c r="U2" s="291" t="s">
        <v>886</v>
      </c>
      <c r="V2" s="291" t="s">
        <v>891</v>
      </c>
      <c r="W2" s="291" t="s">
        <v>884</v>
      </c>
      <c r="X2" s="291" t="s">
        <v>887</v>
      </c>
      <c r="Y2" s="291" t="s">
        <v>897</v>
      </c>
    </row>
    <row r="3" spans="1:26" s="310" customFormat="1">
      <c r="A3" s="323" t="s">
        <v>898</v>
      </c>
      <c r="B3" s="415" t="str">
        <f t="shared" ref="B3:B26" si="1">VLOOKUP(A3,tbl_projectNames,2,FALSE)</f>
        <v>P1-Falcon9</v>
      </c>
      <c r="C3" s="323" t="s">
        <v>1613</v>
      </c>
      <c r="D3" s="322" t="s">
        <v>912</v>
      </c>
      <c r="E3" s="330" t="str">
        <f t="shared" ref="E3:E26"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3" t="s">
        <v>898</v>
      </c>
      <c r="B4" s="415" t="str">
        <f t="shared" si="1"/>
        <v>P1-Falcon9</v>
      </c>
      <c r="C4" s="323" t="s">
        <v>1614</v>
      </c>
      <c r="D4" s="322" t="s">
        <v>913</v>
      </c>
      <c r="E4" s="330"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3" t="s">
        <v>898</v>
      </c>
      <c r="B5" s="415" t="str">
        <f t="shared" si="1"/>
        <v>P1-Falcon9</v>
      </c>
      <c r="C5" s="323" t="s">
        <v>1615</v>
      </c>
      <c r="D5" s="322" t="s">
        <v>1158</v>
      </c>
      <c r="E5" s="330"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3" t="s">
        <v>898</v>
      </c>
      <c r="B6" s="415" t="str">
        <f t="shared" si="1"/>
        <v>P1-Falcon9</v>
      </c>
      <c r="C6" s="323" t="s">
        <v>1616</v>
      </c>
      <c r="D6" s="322" t="s">
        <v>1312</v>
      </c>
      <c r="E6" s="330"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3" t="s">
        <v>898</v>
      </c>
      <c r="B7" s="415" t="str">
        <f t="shared" si="1"/>
        <v>P1-Falcon9</v>
      </c>
      <c r="C7" s="323" t="s">
        <v>1617</v>
      </c>
      <c r="D7" s="323" t="s">
        <v>1424</v>
      </c>
      <c r="E7" s="330"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3" t="s">
        <v>899</v>
      </c>
      <c r="B8" s="415" t="str">
        <f t="shared" si="1"/>
        <v>P2-Raptor</v>
      </c>
      <c r="C8" s="323" t="s">
        <v>1618</v>
      </c>
      <c r="D8" s="323" t="s">
        <v>912</v>
      </c>
      <c r="E8" s="330"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3" t="s">
        <v>899</v>
      </c>
      <c r="B9" s="415" t="str">
        <f t="shared" si="1"/>
        <v>P2-Raptor</v>
      </c>
      <c r="C9" s="323" t="s">
        <v>1619</v>
      </c>
      <c r="D9" s="323" t="s">
        <v>913</v>
      </c>
      <c r="E9" s="330"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1" t="s">
        <v>899</v>
      </c>
      <c r="B10" s="415" t="str">
        <f t="shared" si="1"/>
        <v>P2-Raptor</v>
      </c>
      <c r="C10" s="323" t="s">
        <v>1620</v>
      </c>
      <c r="D10" s="321" t="s">
        <v>1158</v>
      </c>
      <c r="E10" s="330"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3" t="s">
        <v>899</v>
      </c>
      <c r="B11" s="415" t="str">
        <f t="shared" si="1"/>
        <v>P2-Raptor</v>
      </c>
      <c r="C11" s="323" t="s">
        <v>1621</v>
      </c>
      <c r="D11" s="323" t="s">
        <v>1312</v>
      </c>
      <c r="E11" s="330"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3" t="s">
        <v>899</v>
      </c>
      <c r="B12" s="415" t="str">
        <f t="shared" si="1"/>
        <v>P2-Raptor</v>
      </c>
      <c r="C12" s="323" t="s">
        <v>1622</v>
      </c>
      <c r="D12" s="323" t="s">
        <v>1424</v>
      </c>
      <c r="E12" s="330"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3" t="s">
        <v>900</v>
      </c>
      <c r="B13" s="415" t="str">
        <f t="shared" si="1"/>
        <v>P3-Starship</v>
      </c>
      <c r="C13" s="323" t="s">
        <v>1623</v>
      </c>
      <c r="D13" s="323" t="s">
        <v>912</v>
      </c>
      <c r="E13" s="330"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3" t="s">
        <v>900</v>
      </c>
      <c r="B14" s="415" t="str">
        <f t="shared" si="1"/>
        <v>P3-Starship</v>
      </c>
      <c r="C14" s="323" t="s">
        <v>1624</v>
      </c>
      <c r="D14" s="323" t="s">
        <v>913</v>
      </c>
      <c r="E14" s="330"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3" t="s">
        <v>900</v>
      </c>
      <c r="B15" s="415" t="str">
        <f t="shared" si="1"/>
        <v>P3-Starship</v>
      </c>
      <c r="C15" s="323" t="s">
        <v>1625</v>
      </c>
      <c r="D15" s="323" t="s">
        <v>1158</v>
      </c>
      <c r="E15" s="330"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3" t="s">
        <v>900</v>
      </c>
      <c r="B16" s="415" t="str">
        <f t="shared" si="1"/>
        <v>P3-Starship</v>
      </c>
      <c r="C16" s="323" t="s">
        <v>1626</v>
      </c>
      <c r="D16" s="323" t="s">
        <v>1312</v>
      </c>
      <c r="E16" s="330"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3" t="s">
        <v>900</v>
      </c>
      <c r="B17" s="415" t="str">
        <f t="shared" si="1"/>
        <v>P3-Starship</v>
      </c>
      <c r="C17" s="323" t="s">
        <v>1627</v>
      </c>
      <c r="D17" s="323" t="s">
        <v>1424</v>
      </c>
      <c r="E17" s="330"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1" t="s">
        <v>1388</v>
      </c>
      <c r="B18" s="415" t="str">
        <f t="shared" si="1"/>
        <v>P4-SupperHeavy</v>
      </c>
      <c r="C18" s="323" t="s">
        <v>1628</v>
      </c>
      <c r="D18" s="321" t="s">
        <v>912</v>
      </c>
      <c r="E18" s="330"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1" t="s">
        <v>1388</v>
      </c>
      <c r="B19" s="415" t="str">
        <f t="shared" si="1"/>
        <v>P4-SupperHeavy</v>
      </c>
      <c r="C19" s="323" t="s">
        <v>1629</v>
      </c>
      <c r="D19" s="321" t="s">
        <v>913</v>
      </c>
      <c r="E19" s="330"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1" t="s">
        <v>1388</v>
      </c>
      <c r="B20" s="415" t="str">
        <f t="shared" si="1"/>
        <v>P4-SupperHeavy</v>
      </c>
      <c r="C20" s="323" t="s">
        <v>1630</v>
      </c>
      <c r="D20" s="321" t="s">
        <v>1158</v>
      </c>
      <c r="E20" s="330"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1" t="s">
        <v>1388</v>
      </c>
      <c r="B21" s="415" t="str">
        <f t="shared" si="1"/>
        <v>P4-SupperHeavy</v>
      </c>
      <c r="C21" s="323" t="s">
        <v>1631</v>
      </c>
      <c r="D21" s="321" t="s">
        <v>1312</v>
      </c>
      <c r="E21" s="330"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3" t="s">
        <v>1388</v>
      </c>
      <c r="B22" s="415" t="str">
        <f t="shared" si="1"/>
        <v>P4-SupperHeavy</v>
      </c>
      <c r="C22" s="323" t="s">
        <v>1632</v>
      </c>
      <c r="D22" s="323" t="s">
        <v>1424</v>
      </c>
      <c r="E22" s="330"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3" t="s">
        <v>903</v>
      </c>
      <c r="B23" s="415" t="str">
        <f t="shared" si="1"/>
        <v>S1-CM</v>
      </c>
      <c r="C23" s="323" t="s">
        <v>1633</v>
      </c>
      <c r="D23" s="323" t="s">
        <v>1423</v>
      </c>
      <c r="E23" s="330"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3" t="s">
        <v>904</v>
      </c>
      <c r="B24" s="415" t="str">
        <f t="shared" si="1"/>
        <v>S2-EPG-MA</v>
      </c>
      <c r="C24" s="323" t="s">
        <v>1634</v>
      </c>
      <c r="D24" s="321" t="s">
        <v>1425</v>
      </c>
      <c r="E24" s="330" t="str">
        <f t="shared" si="2"/>
        <v>Process manager function in OU</v>
      </c>
      <c r="F24" s="292" t="s">
        <v>411</v>
      </c>
      <c r="G24" s="292"/>
      <c r="H24" s="292" t="s">
        <v>411</v>
      </c>
      <c r="I24" s="292"/>
      <c r="J24" s="292"/>
      <c r="K24" s="292"/>
      <c r="L24" s="292" t="s">
        <v>411</v>
      </c>
      <c r="M24" s="292"/>
      <c r="N24" s="292"/>
      <c r="O24" s="292"/>
      <c r="P24" s="292"/>
      <c r="Q24" s="292" t="s">
        <v>411</v>
      </c>
      <c r="R24" s="292" t="s">
        <v>411</v>
      </c>
      <c r="S24" s="292"/>
      <c r="T24" s="292"/>
      <c r="U24" s="292"/>
      <c r="V24" s="292"/>
      <c r="W24" s="292"/>
      <c r="X24" s="292"/>
      <c r="Y24" s="292"/>
      <c r="Z24" s="63"/>
    </row>
    <row r="25" spans="1:26" s="310" customFormat="1">
      <c r="A25" s="323" t="s">
        <v>905</v>
      </c>
      <c r="B25" s="415" t="str">
        <f t="shared" si="1"/>
        <v>S3-HR</v>
      </c>
      <c r="C25" s="323" t="s">
        <v>1635</v>
      </c>
      <c r="D25" s="323" t="s">
        <v>1422</v>
      </c>
      <c r="E25" s="330" t="str">
        <f t="shared" si="2"/>
        <v>Training Manager function in OU</v>
      </c>
      <c r="F25" s="292"/>
      <c r="G25" s="292"/>
      <c r="H25" s="292"/>
      <c r="I25" s="292"/>
      <c r="J25" s="292"/>
      <c r="K25" s="292"/>
      <c r="L25" s="292"/>
      <c r="M25" s="292"/>
      <c r="N25" s="292" t="s">
        <v>411</v>
      </c>
      <c r="O25" s="292"/>
      <c r="P25" s="292"/>
      <c r="Q25" s="292"/>
      <c r="R25" s="292"/>
      <c r="S25" s="292"/>
      <c r="T25" s="292"/>
      <c r="U25" s="292"/>
      <c r="V25" s="292"/>
      <c r="W25" s="292"/>
      <c r="X25" s="292"/>
      <c r="Y25" s="292"/>
      <c r="Z25" s="63"/>
    </row>
    <row r="26" spans="1:26" s="310" customFormat="1">
      <c r="A26" s="323" t="s">
        <v>906</v>
      </c>
      <c r="B26" s="415" t="str">
        <f t="shared" si="1"/>
        <v>S4-PPQA</v>
      </c>
      <c r="C26" s="323" t="s">
        <v>1636</v>
      </c>
      <c r="D26" s="323" t="s">
        <v>1257</v>
      </c>
      <c r="E26" s="330" t="str">
        <f t="shared" si="2"/>
        <v>Process Assurance Manager function in OU</v>
      </c>
      <c r="F26" s="292"/>
      <c r="G26" s="292"/>
      <c r="H26" s="292"/>
      <c r="I26" s="292"/>
      <c r="J26" s="292"/>
      <c r="K26" s="292"/>
      <c r="L26" s="292"/>
      <c r="M26" s="292"/>
      <c r="N26" s="292"/>
      <c r="O26" s="292"/>
      <c r="P26" s="292"/>
      <c r="Q26" s="292"/>
      <c r="R26" s="292"/>
      <c r="S26" s="292" t="s">
        <v>411</v>
      </c>
      <c r="T26" s="292"/>
      <c r="U26" s="292"/>
      <c r="V26" s="292"/>
      <c r="W26" s="292"/>
      <c r="X26" s="292"/>
      <c r="Y26" s="292"/>
      <c r="Z26" s="63"/>
    </row>
    <row r="27" spans="1:26" s="310" customFormat="1">
      <c r="A27" s="323"/>
      <c r="B27" s="323"/>
      <c r="C27" s="323"/>
      <c r="D27" s="323"/>
      <c r="E27" s="322"/>
      <c r="F27" s="292"/>
      <c r="G27" s="292"/>
      <c r="H27" s="292"/>
      <c r="I27" s="292"/>
      <c r="J27" s="292"/>
      <c r="K27" s="292"/>
      <c r="L27" s="292"/>
      <c r="M27" s="292"/>
      <c r="N27" s="292"/>
      <c r="O27" s="292"/>
      <c r="P27" s="292"/>
      <c r="Q27" s="292"/>
      <c r="R27" s="292"/>
      <c r="S27" s="292"/>
      <c r="T27" s="292"/>
      <c r="U27" s="292"/>
      <c r="V27" s="292"/>
      <c r="W27" s="292"/>
      <c r="X27" s="292"/>
      <c r="Y27" s="292"/>
      <c r="Z27" s="63"/>
    </row>
    <row r="28" spans="1:26">
      <c r="E28" s="307"/>
      <c r="Z28" s="310"/>
    </row>
    <row r="29" spans="1:26">
      <c r="A29" s="310"/>
      <c r="B29" s="310"/>
      <c r="C29" s="310"/>
      <c r="D29" s="310"/>
      <c r="E29" s="307"/>
      <c r="Z29" s="310"/>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election activeCell="L3" sqref="L3"/>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1199</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908</v>
      </c>
      <c r="B2" s="58" t="s">
        <v>1338</v>
      </c>
      <c r="C2" s="59" t="s">
        <v>895</v>
      </c>
      <c r="D2" s="59" t="s">
        <v>751</v>
      </c>
      <c r="E2" s="59" t="s">
        <v>896</v>
      </c>
      <c r="F2" s="59" t="s">
        <v>892</v>
      </c>
      <c r="G2" s="59" t="s">
        <v>910</v>
      </c>
      <c r="H2" s="59" t="s">
        <v>911</v>
      </c>
      <c r="I2" s="59" t="s">
        <v>888</v>
      </c>
      <c r="J2" s="59" t="s">
        <v>893</v>
      </c>
      <c r="K2" s="59" t="s">
        <v>753</v>
      </c>
      <c r="L2" s="59" t="s">
        <v>885</v>
      </c>
      <c r="M2" s="59" t="s">
        <v>894</v>
      </c>
      <c r="N2" s="59" t="s">
        <v>889</v>
      </c>
      <c r="O2" s="59" t="s">
        <v>890</v>
      </c>
      <c r="P2" s="59" t="s">
        <v>836</v>
      </c>
      <c r="Q2" s="59" t="s">
        <v>883</v>
      </c>
      <c r="R2" s="59" t="s">
        <v>886</v>
      </c>
      <c r="S2" s="59" t="s">
        <v>891</v>
      </c>
      <c r="T2" s="59" t="s">
        <v>884</v>
      </c>
      <c r="U2" s="59" t="s">
        <v>887</v>
      </c>
      <c r="V2" s="59" t="s">
        <v>897</v>
      </c>
    </row>
    <row r="3" spans="1:22">
      <c r="A3" s="62" t="s">
        <v>912</v>
      </c>
      <c r="B3" s="112" t="s">
        <v>993</v>
      </c>
      <c r="C3" s="61"/>
      <c r="D3" s="61"/>
      <c r="E3" s="61"/>
      <c r="F3" s="61"/>
      <c r="G3" s="61"/>
      <c r="H3" s="61"/>
      <c r="I3" s="61"/>
      <c r="J3" s="61"/>
      <c r="K3" s="61"/>
      <c r="L3" s="61" t="s">
        <v>411</v>
      </c>
      <c r="M3" s="61"/>
      <c r="N3" s="61"/>
      <c r="O3" s="61"/>
      <c r="P3" s="61"/>
      <c r="Q3" s="61"/>
      <c r="R3" s="61" t="s">
        <v>411</v>
      </c>
      <c r="S3" s="61"/>
      <c r="T3" s="61"/>
      <c r="U3" s="61"/>
      <c r="V3" s="61"/>
    </row>
    <row r="4" spans="1:22">
      <c r="A4" s="62" t="s">
        <v>1156</v>
      </c>
      <c r="B4" s="112" t="s">
        <v>994</v>
      </c>
      <c r="C4" s="61"/>
      <c r="D4" s="61" t="s">
        <v>411</v>
      </c>
      <c r="E4" s="61"/>
      <c r="F4" s="61"/>
      <c r="G4" s="61"/>
      <c r="H4" s="61"/>
      <c r="I4" s="61"/>
      <c r="J4" s="61"/>
      <c r="K4" s="61"/>
      <c r="L4" s="61"/>
      <c r="M4" s="61"/>
      <c r="N4" s="61"/>
      <c r="O4" s="61"/>
      <c r="P4" s="61"/>
      <c r="Q4" s="61"/>
      <c r="R4" s="61"/>
      <c r="S4" s="61"/>
      <c r="T4" s="61"/>
      <c r="U4" s="61"/>
      <c r="V4" s="61"/>
    </row>
    <row r="5" spans="1:22">
      <c r="A5" s="62" t="s">
        <v>913</v>
      </c>
      <c r="B5" s="112" t="s">
        <v>993</v>
      </c>
      <c r="C5" s="61"/>
      <c r="D5" s="61"/>
      <c r="E5" s="61"/>
      <c r="F5" s="61"/>
      <c r="G5" s="61"/>
      <c r="H5" s="61"/>
      <c r="I5" s="61"/>
      <c r="J5" s="61"/>
      <c r="K5" s="61"/>
      <c r="L5" s="61" t="s">
        <v>411</v>
      </c>
      <c r="M5" s="61"/>
      <c r="N5" s="61"/>
      <c r="O5" s="61"/>
      <c r="P5" s="61"/>
      <c r="Q5" s="61"/>
      <c r="R5" s="61"/>
      <c r="S5" s="61"/>
      <c r="T5" s="61" t="s">
        <v>411</v>
      </c>
      <c r="U5" s="61"/>
      <c r="V5" s="61"/>
    </row>
    <row r="6" spans="1:22">
      <c r="A6" s="62" t="s">
        <v>1158</v>
      </c>
      <c r="B6" s="112" t="s">
        <v>993</v>
      </c>
      <c r="C6" s="61"/>
      <c r="D6" s="61"/>
      <c r="E6" s="61"/>
      <c r="F6" s="61"/>
      <c r="G6" s="61"/>
      <c r="H6" s="61"/>
      <c r="I6" s="61"/>
      <c r="J6" s="61"/>
      <c r="K6" s="61"/>
      <c r="L6" s="61" t="s">
        <v>411</v>
      </c>
      <c r="M6" s="61"/>
      <c r="N6" s="61"/>
      <c r="O6" s="61"/>
      <c r="P6" s="61"/>
      <c r="Q6" s="61" t="s">
        <v>411</v>
      </c>
      <c r="R6" s="61"/>
      <c r="S6" s="61"/>
      <c r="T6" s="61" t="s">
        <v>411</v>
      </c>
      <c r="U6" s="61" t="s">
        <v>411</v>
      </c>
      <c r="V6" s="61"/>
    </row>
    <row r="7" spans="1:22">
      <c r="A7" s="62" t="s">
        <v>1155</v>
      </c>
      <c r="B7" s="62" t="s">
        <v>998</v>
      </c>
      <c r="C7" s="61"/>
      <c r="D7" s="61"/>
      <c r="E7" s="61"/>
      <c r="F7" s="61"/>
      <c r="G7" s="61" t="s">
        <v>411</v>
      </c>
      <c r="H7" s="61" t="s">
        <v>411</v>
      </c>
      <c r="I7" s="61"/>
      <c r="J7" s="61"/>
      <c r="K7" s="61"/>
      <c r="L7" s="61"/>
      <c r="M7" s="61"/>
      <c r="N7" s="61"/>
      <c r="O7" s="61"/>
      <c r="P7" s="61"/>
      <c r="Q7" s="61"/>
      <c r="R7" s="61"/>
      <c r="S7" s="61"/>
      <c r="T7" s="61"/>
      <c r="U7" s="61"/>
      <c r="V7" s="61"/>
    </row>
    <row r="8" spans="1:22">
      <c r="A8" s="62" t="s">
        <v>1425</v>
      </c>
      <c r="B8" s="112" t="s">
        <v>995</v>
      </c>
      <c r="C8" s="61" t="s">
        <v>411</v>
      </c>
      <c r="D8" s="61"/>
      <c r="E8" s="61" t="s">
        <v>411</v>
      </c>
      <c r="F8" s="61"/>
      <c r="G8" s="61"/>
      <c r="H8" s="61"/>
      <c r="I8" s="61" t="s">
        <v>411</v>
      </c>
      <c r="J8" s="61"/>
      <c r="K8" s="61"/>
      <c r="L8" s="61"/>
      <c r="M8" s="61"/>
      <c r="N8" s="61" t="s">
        <v>411</v>
      </c>
      <c r="O8" s="61" t="s">
        <v>411</v>
      </c>
      <c r="P8" s="61"/>
      <c r="Q8" s="61"/>
      <c r="R8" s="61"/>
      <c r="S8" s="61"/>
      <c r="T8" s="61"/>
      <c r="U8" s="61"/>
      <c r="V8" s="61"/>
    </row>
    <row r="9" spans="1:22">
      <c r="A9" s="62" t="s">
        <v>1257</v>
      </c>
      <c r="B9" s="112" t="s">
        <v>1002</v>
      </c>
      <c r="C9" s="61"/>
      <c r="D9" s="61"/>
      <c r="E9" s="61"/>
      <c r="F9" s="61"/>
      <c r="G9" s="61"/>
      <c r="H9" s="61"/>
      <c r="I9" s="61"/>
      <c r="J9" s="61"/>
      <c r="K9" s="61"/>
      <c r="L9" s="61"/>
      <c r="M9" s="61"/>
      <c r="N9" s="61"/>
      <c r="O9" s="61"/>
      <c r="P9" s="61" t="s">
        <v>411</v>
      </c>
      <c r="Q9" s="61"/>
      <c r="R9" s="61"/>
      <c r="S9" s="61"/>
      <c r="T9" s="61"/>
      <c r="U9" s="61"/>
      <c r="V9" s="61"/>
    </row>
    <row r="10" spans="1:22">
      <c r="A10" s="62" t="s">
        <v>1157</v>
      </c>
      <c r="B10" s="112" t="s">
        <v>992</v>
      </c>
      <c r="C10" s="61" t="s">
        <v>411</v>
      </c>
      <c r="D10" s="61"/>
      <c r="E10" s="61" t="s">
        <v>411</v>
      </c>
      <c r="F10" s="61" t="s">
        <v>411</v>
      </c>
      <c r="G10" s="61"/>
      <c r="H10" s="61"/>
      <c r="I10" s="61"/>
      <c r="J10" s="61" t="s">
        <v>411</v>
      </c>
      <c r="K10" s="61"/>
      <c r="L10" s="61" t="s">
        <v>411</v>
      </c>
      <c r="M10" s="61" t="s">
        <v>411</v>
      </c>
      <c r="N10" s="61"/>
      <c r="O10" s="61"/>
      <c r="P10" s="61"/>
      <c r="Q10" s="61"/>
      <c r="R10" s="61"/>
      <c r="S10" s="61" t="s">
        <v>411</v>
      </c>
      <c r="T10" s="61"/>
      <c r="U10" s="61"/>
      <c r="V10" s="61"/>
    </row>
    <row r="11" spans="1:22">
      <c r="A11" s="62" t="s">
        <v>1312</v>
      </c>
      <c r="B11" s="112" t="s">
        <v>993</v>
      </c>
      <c r="C11" s="61"/>
      <c r="D11" s="61"/>
      <c r="E11" s="61"/>
      <c r="F11" s="61"/>
      <c r="G11" s="61"/>
      <c r="H11" s="61"/>
      <c r="I11" s="61"/>
      <c r="J11" s="61"/>
      <c r="K11" s="61"/>
      <c r="L11" s="61" t="s">
        <v>411</v>
      </c>
      <c r="M11" s="61"/>
      <c r="N11" s="61"/>
      <c r="O11" s="61"/>
      <c r="P11" s="61"/>
      <c r="Q11" s="61"/>
      <c r="R11" s="61"/>
      <c r="S11" s="61"/>
      <c r="T11" s="61"/>
      <c r="U11" s="61" t="s">
        <v>411</v>
      </c>
      <c r="V11" s="61"/>
    </row>
    <row r="12" spans="1:22">
      <c r="A12" s="62" t="s">
        <v>1310</v>
      </c>
      <c r="B12" s="112" t="s">
        <v>996</v>
      </c>
      <c r="C12" s="61"/>
      <c r="D12" s="61"/>
      <c r="E12" s="61"/>
      <c r="F12" s="61"/>
      <c r="G12" s="61"/>
      <c r="H12" s="61"/>
      <c r="I12" s="61"/>
      <c r="J12" s="61"/>
      <c r="K12" s="61" t="s">
        <v>411</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2</v>
      </c>
      <c r="U14" s="63">
        <f t="shared" si="0"/>
        <v>2</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11" t="s">
        <v>946</v>
      </c>
      <c r="B3" s="311" t="s">
        <v>916</v>
      </c>
    </row>
    <row r="4" spans="1:12">
      <c r="A4" s="311" t="s">
        <v>917</v>
      </c>
      <c r="B4" s="320" t="s">
        <v>898</v>
      </c>
      <c r="C4" s="320" t="s">
        <v>899</v>
      </c>
      <c r="D4" s="320" t="s">
        <v>900</v>
      </c>
      <c r="E4" s="320" t="s">
        <v>1388</v>
      </c>
      <c r="F4" s="320" t="s">
        <v>903</v>
      </c>
      <c r="G4" s="320" t="s">
        <v>904</v>
      </c>
      <c r="H4" s="320" t="s">
        <v>1324</v>
      </c>
      <c r="I4" s="320" t="s">
        <v>905</v>
      </c>
      <c r="J4" s="320" t="s">
        <v>906</v>
      </c>
      <c r="K4" s="320" t="s">
        <v>918</v>
      </c>
      <c r="L4" s="320" t="s">
        <v>919</v>
      </c>
    </row>
    <row r="5" spans="1:12">
      <c r="A5" s="309" t="s">
        <v>918</v>
      </c>
      <c r="B5" s="312"/>
      <c r="C5" s="312"/>
      <c r="D5" s="312"/>
      <c r="E5" s="312"/>
      <c r="F5" s="312"/>
      <c r="G5" s="312"/>
      <c r="H5" s="312"/>
      <c r="I5" s="312"/>
      <c r="J5" s="312"/>
      <c r="K5" s="312"/>
      <c r="L5" s="312"/>
    </row>
    <row r="6" spans="1:12">
      <c r="A6" s="309" t="s">
        <v>1325</v>
      </c>
      <c r="B6" s="312"/>
      <c r="C6" s="312"/>
      <c r="D6" s="312"/>
      <c r="E6" s="312"/>
      <c r="F6" s="312"/>
      <c r="G6" s="312"/>
      <c r="H6" s="312">
        <v>1</v>
      </c>
      <c r="I6" s="312"/>
      <c r="J6" s="312"/>
      <c r="K6" s="312"/>
      <c r="L6" s="312">
        <v>1</v>
      </c>
    </row>
    <row r="7" spans="1:12">
      <c r="A7" s="309" t="s">
        <v>1385</v>
      </c>
      <c r="B7" s="312">
        <v>5</v>
      </c>
      <c r="C7" s="312"/>
      <c r="D7" s="312"/>
      <c r="E7" s="312"/>
      <c r="F7" s="312"/>
      <c r="G7" s="312"/>
      <c r="H7" s="312"/>
      <c r="I7" s="312"/>
      <c r="J7" s="312"/>
      <c r="K7" s="312"/>
      <c r="L7" s="312">
        <v>5</v>
      </c>
    </row>
    <row r="8" spans="1:12">
      <c r="A8" s="309" t="s">
        <v>1386</v>
      </c>
      <c r="B8" s="312"/>
      <c r="C8" s="312">
        <v>5</v>
      </c>
      <c r="D8" s="312"/>
      <c r="E8" s="312"/>
      <c r="F8" s="312"/>
      <c r="G8" s="312"/>
      <c r="H8" s="312"/>
      <c r="I8" s="312"/>
      <c r="J8" s="312"/>
      <c r="K8" s="312"/>
      <c r="L8" s="312">
        <v>5</v>
      </c>
    </row>
    <row r="9" spans="1:12">
      <c r="A9" s="309" t="s">
        <v>1387</v>
      </c>
      <c r="B9" s="312"/>
      <c r="C9" s="312"/>
      <c r="D9" s="312">
        <v>5</v>
      </c>
      <c r="E9" s="312"/>
      <c r="F9" s="312"/>
      <c r="G9" s="312"/>
      <c r="H9" s="312"/>
      <c r="I9" s="312"/>
      <c r="J9" s="312"/>
      <c r="K9" s="312"/>
      <c r="L9" s="312">
        <v>5</v>
      </c>
    </row>
    <row r="10" spans="1:12">
      <c r="A10" s="309" t="s">
        <v>1389</v>
      </c>
      <c r="B10" s="312"/>
      <c r="C10" s="312"/>
      <c r="D10" s="312"/>
      <c r="E10" s="312">
        <v>5</v>
      </c>
      <c r="F10" s="312"/>
      <c r="G10" s="312"/>
      <c r="H10" s="312"/>
      <c r="I10" s="312"/>
      <c r="J10" s="312"/>
      <c r="K10" s="312"/>
      <c r="L10" s="312">
        <v>5</v>
      </c>
    </row>
    <row r="11" spans="1:12">
      <c r="A11" s="309" t="s">
        <v>1390</v>
      </c>
      <c r="B11" s="312"/>
      <c r="C11" s="312"/>
      <c r="D11" s="312"/>
      <c r="E11" s="312"/>
      <c r="F11" s="312">
        <v>1</v>
      </c>
      <c r="G11" s="312"/>
      <c r="H11" s="312"/>
      <c r="I11" s="312"/>
      <c r="J11" s="312"/>
      <c r="K11" s="312"/>
      <c r="L11" s="312">
        <v>1</v>
      </c>
    </row>
    <row r="12" spans="1:12">
      <c r="A12" s="309" t="s">
        <v>1391</v>
      </c>
      <c r="B12" s="312"/>
      <c r="C12" s="312"/>
      <c r="D12" s="312"/>
      <c r="E12" s="312"/>
      <c r="F12" s="312"/>
      <c r="G12" s="312">
        <v>1</v>
      </c>
      <c r="H12" s="312"/>
      <c r="I12" s="312"/>
      <c r="J12" s="312"/>
      <c r="K12" s="312"/>
      <c r="L12" s="312">
        <v>1</v>
      </c>
    </row>
    <row r="13" spans="1:12">
      <c r="A13" s="309" t="s">
        <v>1392</v>
      </c>
      <c r="B13" s="312"/>
      <c r="C13" s="312"/>
      <c r="D13" s="312"/>
      <c r="E13" s="312"/>
      <c r="F13" s="312"/>
      <c r="G13" s="312"/>
      <c r="H13" s="312"/>
      <c r="I13" s="312">
        <v>1</v>
      </c>
      <c r="J13" s="312"/>
      <c r="K13" s="312"/>
      <c r="L13" s="312">
        <v>1</v>
      </c>
    </row>
    <row r="14" spans="1:12">
      <c r="A14" s="309" t="s">
        <v>1393</v>
      </c>
      <c r="B14" s="312"/>
      <c r="C14" s="312"/>
      <c r="D14" s="312"/>
      <c r="E14" s="312"/>
      <c r="F14" s="312"/>
      <c r="G14" s="312"/>
      <c r="H14" s="312"/>
      <c r="I14" s="312"/>
      <c r="J14" s="312">
        <v>1</v>
      </c>
      <c r="K14" s="312"/>
      <c r="L14" s="312">
        <v>1</v>
      </c>
    </row>
    <row r="15" spans="1:12">
      <c r="A15" s="309" t="s">
        <v>919</v>
      </c>
      <c r="B15" s="312">
        <v>5</v>
      </c>
      <c r="C15" s="312">
        <v>5</v>
      </c>
      <c r="D15" s="312">
        <v>5</v>
      </c>
      <c r="E15" s="312">
        <v>5</v>
      </c>
      <c r="F15" s="312">
        <v>1</v>
      </c>
      <c r="G15" s="312">
        <v>1</v>
      </c>
      <c r="H15" s="312">
        <v>1</v>
      </c>
      <c r="I15" s="312">
        <v>1</v>
      </c>
      <c r="J15" s="312">
        <v>1</v>
      </c>
      <c r="K15" s="312"/>
      <c r="L15"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948</v>
      </c>
    </row>
    <row r="2" spans="1:14">
      <c r="A2" s="106" t="s">
        <v>971</v>
      </c>
      <c r="B2" s="106"/>
      <c r="C2" s="106"/>
      <c r="D2" s="106"/>
      <c r="E2" s="106"/>
      <c r="F2" s="106"/>
      <c r="G2" s="106"/>
      <c r="H2" s="106"/>
      <c r="I2" s="106"/>
      <c r="J2" s="106"/>
      <c r="K2" s="106"/>
      <c r="L2" s="106"/>
      <c r="M2" s="106"/>
      <c r="N2" s="106"/>
    </row>
    <row r="3" spans="1:14" hidden="1">
      <c r="A3" s="311" t="s">
        <v>917</v>
      </c>
      <c r="B3" t="s">
        <v>915</v>
      </c>
    </row>
    <row r="4" spans="1:14" hidden="1">
      <c r="A4" s="309" t="s">
        <v>918</v>
      </c>
      <c r="B4" s="312"/>
    </row>
    <row r="5" spans="1:14">
      <c r="A5" s="309" t="s">
        <v>1397</v>
      </c>
      <c r="B5" s="312">
        <v>1</v>
      </c>
    </row>
    <row r="6" spans="1:14">
      <c r="A6" s="309" t="s">
        <v>1398</v>
      </c>
      <c r="B6" s="312">
        <v>1</v>
      </c>
    </row>
    <row r="7" spans="1:14">
      <c r="A7" s="309" t="s">
        <v>1399</v>
      </c>
      <c r="B7" s="312">
        <v>1</v>
      </c>
    </row>
    <row r="8" spans="1:14">
      <c r="A8" s="309" t="s">
        <v>1400</v>
      </c>
      <c r="B8" s="312">
        <v>1</v>
      </c>
    </row>
    <row r="9" spans="1:14">
      <c r="A9" s="309" t="s">
        <v>1401</v>
      </c>
      <c r="B9" s="312">
        <v>1</v>
      </c>
    </row>
    <row r="10" spans="1:14">
      <c r="A10" s="309" t="s">
        <v>1402</v>
      </c>
      <c r="B10" s="312">
        <v>1</v>
      </c>
    </row>
    <row r="11" spans="1:14">
      <c r="A11" s="309" t="s">
        <v>1403</v>
      </c>
      <c r="B11" s="312">
        <v>1</v>
      </c>
    </row>
    <row r="12" spans="1:14">
      <c r="A12" s="309" t="s">
        <v>1404</v>
      </c>
      <c r="B12" s="312">
        <v>1</v>
      </c>
    </row>
    <row r="13" spans="1:14">
      <c r="A13" s="309" t="s">
        <v>1405</v>
      </c>
      <c r="B13" s="312">
        <v>1</v>
      </c>
    </row>
    <row r="14" spans="1:14">
      <c r="A14" s="309" t="s">
        <v>1406</v>
      </c>
      <c r="B14" s="312">
        <v>1</v>
      </c>
    </row>
    <row r="15" spans="1:14">
      <c r="A15" s="309" t="s">
        <v>1407</v>
      </c>
      <c r="B15" s="312">
        <v>1</v>
      </c>
    </row>
    <row r="16" spans="1:14">
      <c r="A16" s="309" t="s">
        <v>1408</v>
      </c>
      <c r="B16" s="312">
        <v>1</v>
      </c>
    </row>
    <row r="17" spans="1:2">
      <c r="A17" s="309" t="s">
        <v>1409</v>
      </c>
      <c r="B17" s="312">
        <v>1</v>
      </c>
    </row>
    <row r="18" spans="1:2">
      <c r="A18" s="309" t="s">
        <v>1410</v>
      </c>
      <c r="B18" s="312">
        <v>1</v>
      </c>
    </row>
    <row r="19" spans="1:2">
      <c r="A19" s="309" t="s">
        <v>1411</v>
      </c>
      <c r="B19" s="312">
        <v>1</v>
      </c>
    </row>
    <row r="20" spans="1:2">
      <c r="A20" s="309" t="s">
        <v>1412</v>
      </c>
      <c r="B20" s="312">
        <v>1</v>
      </c>
    </row>
    <row r="21" spans="1:2">
      <c r="A21" s="309" t="s">
        <v>1413</v>
      </c>
      <c r="B21" s="312">
        <v>1</v>
      </c>
    </row>
    <row r="22" spans="1:2">
      <c r="A22" s="309" t="s">
        <v>1414</v>
      </c>
      <c r="B22" s="312">
        <v>1</v>
      </c>
    </row>
    <row r="23" spans="1:2">
      <c r="A23" s="309" t="s">
        <v>1415</v>
      </c>
      <c r="B23" s="312">
        <v>1</v>
      </c>
    </row>
    <row r="24" spans="1:2">
      <c r="A24" s="309" t="s">
        <v>1416</v>
      </c>
      <c r="B24" s="312">
        <v>1</v>
      </c>
    </row>
    <row r="25" spans="1:2">
      <c r="A25" s="309" t="s">
        <v>1417</v>
      </c>
      <c r="B25" s="312">
        <v>1</v>
      </c>
    </row>
    <row r="26" spans="1:2">
      <c r="A26" s="309" t="s">
        <v>1418</v>
      </c>
      <c r="B26" s="312">
        <v>1</v>
      </c>
    </row>
    <row r="27" spans="1:2">
      <c r="A27" s="309" t="s">
        <v>1419</v>
      </c>
      <c r="B27" s="312">
        <v>1</v>
      </c>
    </row>
    <row r="28" spans="1:2">
      <c r="A28" s="309" t="s">
        <v>1420</v>
      </c>
      <c r="B28" s="312">
        <v>1</v>
      </c>
    </row>
    <row r="29" spans="1:2">
      <c r="A29" s="309" t="s">
        <v>1421</v>
      </c>
      <c r="B29" s="312">
        <v>1</v>
      </c>
    </row>
    <row r="30" spans="1:2">
      <c r="A30" s="309" t="s">
        <v>919</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6328125" bestFit="1" customWidth="1"/>
    <col min="2" max="2" width="10.90625" bestFit="1" customWidth="1"/>
  </cols>
  <sheetData>
    <row r="3" spans="1:2">
      <c r="A3" s="311" t="s">
        <v>917</v>
      </c>
      <c r="B3" t="s">
        <v>925</v>
      </c>
    </row>
    <row r="4" spans="1:2">
      <c r="A4" s="309" t="s">
        <v>895</v>
      </c>
      <c r="B4" s="312">
        <v>1</v>
      </c>
    </row>
    <row r="5" spans="1:2">
      <c r="A5" s="309" t="s">
        <v>751</v>
      </c>
      <c r="B5" s="312">
        <v>1</v>
      </c>
    </row>
    <row r="6" spans="1:2">
      <c r="A6" s="309" t="s">
        <v>896</v>
      </c>
      <c r="B6" s="312">
        <v>1</v>
      </c>
    </row>
    <row r="7" spans="1:2">
      <c r="A7" s="309" t="s">
        <v>892</v>
      </c>
      <c r="B7" s="312">
        <v>1</v>
      </c>
    </row>
    <row r="8" spans="1:2">
      <c r="A8" s="309" t="s">
        <v>893</v>
      </c>
      <c r="B8" s="312">
        <v>1</v>
      </c>
    </row>
    <row r="9" spans="1:2">
      <c r="A9" s="309" t="s">
        <v>888</v>
      </c>
      <c r="B9" s="312">
        <v>1</v>
      </c>
    </row>
    <row r="10" spans="1:2">
      <c r="A10" s="309" t="s">
        <v>753</v>
      </c>
      <c r="B10" s="312">
        <v>1</v>
      </c>
    </row>
    <row r="11" spans="1:2">
      <c r="A11" s="309" t="s">
        <v>889</v>
      </c>
      <c r="B11" s="312">
        <v>1</v>
      </c>
    </row>
    <row r="12" spans="1:2">
      <c r="A12" s="309" t="s">
        <v>890</v>
      </c>
      <c r="B12" s="312">
        <v>1</v>
      </c>
    </row>
    <row r="13" spans="1:2">
      <c r="A13" s="309" t="s">
        <v>883</v>
      </c>
      <c r="B13" s="312">
        <v>1</v>
      </c>
    </row>
    <row r="14" spans="1:2">
      <c r="A14" s="309" t="s">
        <v>894</v>
      </c>
      <c r="B14" s="312">
        <v>1</v>
      </c>
    </row>
    <row r="15" spans="1:2">
      <c r="A15" s="309" t="s">
        <v>836</v>
      </c>
      <c r="B15" s="312">
        <v>1</v>
      </c>
    </row>
    <row r="16" spans="1:2">
      <c r="A16" s="309" t="s">
        <v>885</v>
      </c>
      <c r="B16" s="312">
        <v>1</v>
      </c>
    </row>
    <row r="17" spans="1:2">
      <c r="A17" s="309" t="s">
        <v>886</v>
      </c>
      <c r="B17" s="312">
        <v>1</v>
      </c>
    </row>
    <row r="18" spans="1:2">
      <c r="A18" s="309" t="s">
        <v>891</v>
      </c>
      <c r="B18" s="312">
        <v>1</v>
      </c>
    </row>
    <row r="19" spans="1:2">
      <c r="A19" s="309" t="s">
        <v>884</v>
      </c>
      <c r="B19" s="312">
        <v>1</v>
      </c>
    </row>
    <row r="20" spans="1:2">
      <c r="A20" s="309" t="s">
        <v>887</v>
      </c>
      <c r="B20" s="312">
        <v>1</v>
      </c>
    </row>
    <row r="21" spans="1:2">
      <c r="A21" s="309" t="s">
        <v>918</v>
      </c>
      <c r="B21" s="312"/>
    </row>
    <row r="22" spans="1:2">
      <c r="A22" s="309" t="s">
        <v>919</v>
      </c>
      <c r="B22" s="312">
        <v>17</v>
      </c>
    </row>
    <row r="26" spans="1:2">
      <c r="A26" t="s">
        <v>1058</v>
      </c>
    </row>
    <row r="27" spans="1:2">
      <c r="A27" t="s">
        <v>911</v>
      </c>
    </row>
    <row r="28" spans="1:2">
      <c r="A28" t="s">
        <v>910</v>
      </c>
    </row>
    <row r="29" spans="1:2">
      <c r="A29" t="s">
        <v>1057</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 workbookViewId="0">
      <selection activeCell="D12" sqref="D12"/>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763</v>
      </c>
      <c r="B1" s="17"/>
    </row>
    <row r="2" spans="1:3">
      <c r="A2" s="28" t="s">
        <v>764</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962</v>
      </c>
    </row>
    <row r="4" spans="1:3">
      <c r="A4" s="11" t="s">
        <v>438</v>
      </c>
      <c r="B4" s="102" t="str">
        <f>Planning!B9</f>
        <v>(UTC+08:00) Beijing, Chongqing, Hong Kong, Urumqi</v>
      </c>
      <c r="C4" s="125" t="s">
        <v>962</v>
      </c>
    </row>
    <row r="5" spans="1:3">
      <c r="A5" s="11" t="s">
        <v>439</v>
      </c>
      <c r="B5" s="20" t="str">
        <f>'Agreement 3'!B45</f>
        <v>Demix (Pty) Ltd</v>
      </c>
      <c r="C5" s="125" t="s">
        <v>1005</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962</v>
      </c>
    </row>
    <row r="7" spans="1:3">
      <c r="A7" s="11" t="s">
        <v>441</v>
      </c>
      <c r="B7" s="11" t="s">
        <v>388</v>
      </c>
    </row>
    <row r="8" spans="1:3">
      <c r="A8" s="11" t="s">
        <v>442</v>
      </c>
      <c r="B8" s="11" t="s">
        <v>621</v>
      </c>
    </row>
    <row r="9" spans="1:3" ht="29">
      <c r="A9" s="11" t="s">
        <v>734</v>
      </c>
      <c r="B9" s="11" t="s">
        <v>621</v>
      </c>
    </row>
    <row r="10" spans="1:3" ht="29">
      <c r="A10" s="11" t="s">
        <v>822</v>
      </c>
      <c r="B10" s="11" t="s">
        <v>388</v>
      </c>
      <c r="C10" s="250" t="s">
        <v>1676</v>
      </c>
    </row>
    <row r="11" spans="1:3">
      <c r="A11" s="11" t="s">
        <v>823</v>
      </c>
    </row>
    <row r="12" spans="1:3" ht="43.5">
      <c r="A12" s="11" t="s">
        <v>821</v>
      </c>
      <c r="B12" s="11" t="s">
        <v>1198</v>
      </c>
      <c r="C12" s="250" t="s">
        <v>1720</v>
      </c>
    </row>
    <row r="14" spans="1:3">
      <c r="A14" s="15" t="s">
        <v>389</v>
      </c>
      <c r="B14" s="17"/>
    </row>
    <row r="15" spans="1:3">
      <c r="A15" s="28" t="s">
        <v>766</v>
      </c>
      <c r="B15" s="29"/>
      <c r="C15" s="30" t="str">
        <f>HYPERLINK(_xlfn.CONCAT("https://cmmiinstitute.com/appraisals-sys/appraisals/",Planning!$B$16,"/organizations"))</f>
        <v>https://cmmiinstitute.com/appraisals-sys/appraisals/53517/organizations</v>
      </c>
    </row>
    <row r="16" spans="1:3">
      <c r="A16" s="11" t="s">
        <v>13</v>
      </c>
      <c r="B16" s="81" t="str">
        <f>'Agreement 3'!B34</f>
        <v>Software for Mars (Pty) Ltd</v>
      </c>
      <c r="C16" s="125" t="s">
        <v>1005</v>
      </c>
    </row>
    <row r="17" spans="1:23">
      <c r="A17" s="11" t="s">
        <v>30</v>
      </c>
      <c r="B17" s="81" t="str">
        <f>StartupInfo!B4</f>
        <v>Mars</v>
      </c>
      <c r="C17" s="125" t="s">
        <v>951</v>
      </c>
    </row>
    <row r="18" spans="1:23">
      <c r="A18" s="11" t="s">
        <v>31</v>
      </c>
      <c r="B18" s="80" t="str">
        <f>StartupInfo!B5</f>
        <v>Room 1, Dome 1</v>
      </c>
      <c r="C18" s="125" t="s">
        <v>951</v>
      </c>
      <c r="D18" s="125" t="s">
        <v>960</v>
      </c>
    </row>
    <row r="19" spans="1:23">
      <c r="A19" s="11" t="s">
        <v>32</v>
      </c>
      <c r="B19" s="80" t="str">
        <f>StartupInfo!B6</f>
        <v>No. 1 First Street</v>
      </c>
      <c r="C19" s="125" t="s">
        <v>951</v>
      </c>
    </row>
    <row r="20" spans="1:23">
      <c r="A20" s="11" t="s">
        <v>33</v>
      </c>
      <c r="B20" s="80" t="str">
        <f>StartupInfo!B7</f>
        <v>Base Alpha City</v>
      </c>
      <c r="C20" s="125" t="s">
        <v>951</v>
      </c>
    </row>
    <row r="21" spans="1:23">
      <c r="A21" s="11" t="s">
        <v>34</v>
      </c>
      <c r="B21" s="81" t="str">
        <f>StartupInfo!B8</f>
        <v>Tharsis</v>
      </c>
      <c r="C21" s="125" t="s">
        <v>951</v>
      </c>
    </row>
    <row r="22" spans="1:23">
      <c r="A22" s="11" t="s">
        <v>35</v>
      </c>
      <c r="B22" s="80" t="str">
        <f>StartupInfo!B9</f>
        <v>Planet04</v>
      </c>
      <c r="C22" s="125" t="s">
        <v>951</v>
      </c>
    </row>
    <row r="23" spans="1:23">
      <c r="A23" s="11" t="s">
        <v>17</v>
      </c>
      <c r="B23" s="80" t="str">
        <f>StartupInfo!B10</f>
        <v>China</v>
      </c>
      <c r="C23" s="125" t="s">
        <v>951</v>
      </c>
    </row>
    <row r="24" spans="1:23">
      <c r="A24" s="11" t="s">
        <v>290</v>
      </c>
      <c r="B24" s="82" t="str">
        <f>StartupInfo!B12</f>
        <v>http://eMars.com</v>
      </c>
      <c r="C24" s="125" t="s">
        <v>951</v>
      </c>
    </row>
    <row r="25" spans="1:23">
      <c r="A25" s="11" t="s">
        <v>291</v>
      </c>
      <c r="B25" s="11" t="s">
        <v>724</v>
      </c>
    </row>
    <row r="26" spans="1:23" ht="29">
      <c r="A26" s="11" t="s">
        <v>292</v>
      </c>
      <c r="B26" s="80" t="str">
        <f>StartupInfo!B24</f>
        <v>(J-62) Information and communication - Computer programming, consultancy and related activities</v>
      </c>
      <c r="C26" s="125" t="s">
        <v>951</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767</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951</v>
      </c>
    </row>
    <row r="32" spans="1:23">
      <c r="A32" s="11" t="s">
        <v>30</v>
      </c>
      <c r="B32" s="102" t="str">
        <f>IF(StartupInfo!B21="","",StartupInfo!B21)</f>
        <v/>
      </c>
      <c r="C32" s="125" t="s">
        <v>951</v>
      </c>
    </row>
    <row r="33" spans="1:23">
      <c r="A33" s="11" t="s">
        <v>382</v>
      </c>
      <c r="B33" s="102" t="str">
        <f>IF(StartupInfo!B22="","",StartupInfo!B22)</f>
        <v>The company provides space exploration services…</v>
      </c>
      <c r="C33" s="125" t="s">
        <v>951</v>
      </c>
    </row>
    <row r="34" spans="1:23" ht="87">
      <c r="A34" s="11" t="s">
        <v>381</v>
      </c>
      <c r="B34" s="102" t="str">
        <f>IF(StartupInfo!B23="","",StartupInfo!B23)</f>
        <v xml:space="preserve">1 General Manager
2  Integrated Management
3  R&amp;D Department
4  Product Department
5  Business Department
</v>
      </c>
      <c r="C34" s="250" t="s">
        <v>951</v>
      </c>
    </row>
    <row r="35" spans="1:23">
      <c r="A35" s="11" t="s">
        <v>383</v>
      </c>
      <c r="B35" s="102" t="str">
        <f>IF(StartupInfo!B4="",StartupInfo!B3,_xlfn.CONCAT(StartupInfo!B3,"(",StartupInfo!B4,")"))</f>
        <v>Software for Mars (Pty) Ltd(Mars)</v>
      </c>
      <c r="C35" s="125" t="s">
        <v>951</v>
      </c>
    </row>
    <row r="36" spans="1:23">
      <c r="A36" s="11" t="s">
        <v>385</v>
      </c>
      <c r="B36" s="26">
        <v>1</v>
      </c>
    </row>
    <row r="37" spans="1:23">
      <c r="A37" s="11" t="s">
        <v>386</v>
      </c>
      <c r="B37" s="26">
        <v>1</v>
      </c>
    </row>
    <row r="38" spans="1:23" ht="29">
      <c r="A38" s="11" t="s">
        <v>387</v>
      </c>
      <c r="B38" s="102" t="str">
        <f>IF(StartupInfo!B25="","No","Yes")</f>
        <v>Yes</v>
      </c>
      <c r="C38" s="125" t="s">
        <v>951</v>
      </c>
    </row>
    <row r="39" spans="1:23">
      <c r="A39" s="11" t="s">
        <v>725</v>
      </c>
      <c r="B39" s="102">
        <f>StartupInfo!B25</f>
        <v>2481632</v>
      </c>
      <c r="C39" s="125" t="s">
        <v>951</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768</v>
      </c>
      <c r="B43" s="17"/>
    </row>
    <row r="44" spans="1:23">
      <c r="A44" s="28" t="s">
        <v>769</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1005</v>
      </c>
    </row>
    <row r="48" spans="1:23">
      <c r="A48" s="11" t="s">
        <v>392</v>
      </c>
      <c r="B48" s="38">
        <f>B63-1</f>
        <v>44295</v>
      </c>
      <c r="C48" s="125" t="s">
        <v>1006</v>
      </c>
    </row>
    <row r="50" spans="1:23">
      <c r="A50" s="32" t="s">
        <v>393</v>
      </c>
      <c r="B50" s="33"/>
      <c r="C50" s="187"/>
      <c r="D50" s="31" t="s">
        <v>824</v>
      </c>
    </row>
    <row r="51" spans="1:23">
      <c r="A51" s="33" t="s">
        <v>394</v>
      </c>
      <c r="B51" s="33" t="s">
        <v>722</v>
      </c>
      <c r="C51" s="187"/>
    </row>
    <row r="52" spans="1:23">
      <c r="A52" s="33" t="s">
        <v>395</v>
      </c>
      <c r="B52" s="34">
        <f>Planning!B21</f>
        <v>44268</v>
      </c>
      <c r="C52" s="187" t="s">
        <v>962</v>
      </c>
    </row>
    <row r="53" spans="1:23">
      <c r="A53" s="33" t="s">
        <v>396</v>
      </c>
      <c r="B53" s="34">
        <f>B52</f>
        <v>44268</v>
      </c>
      <c r="C53" s="187" t="s">
        <v>1006</v>
      </c>
    </row>
    <row r="54" spans="1:23">
      <c r="A54" s="33"/>
      <c r="B54" s="33"/>
      <c r="C54" s="187"/>
    </row>
    <row r="55" spans="1:23">
      <c r="A55" s="33" t="s">
        <v>394</v>
      </c>
      <c r="B55" s="33" t="s">
        <v>723</v>
      </c>
      <c r="C55" s="187"/>
    </row>
    <row r="56" spans="1:23">
      <c r="A56" s="33" t="s">
        <v>395</v>
      </c>
      <c r="B56" s="34">
        <f>Planning!B24</f>
        <v>44282</v>
      </c>
      <c r="C56" s="187" t="s">
        <v>962</v>
      </c>
    </row>
    <row r="57" spans="1:23">
      <c r="A57" s="33" t="s">
        <v>396</v>
      </c>
      <c r="B57" s="34">
        <f>B56</f>
        <v>44282</v>
      </c>
      <c r="C57" s="187" t="s">
        <v>1006</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962</v>
      </c>
    </row>
    <row r="64" spans="1:23">
      <c r="A64" s="21" t="s">
        <v>721</v>
      </c>
      <c r="B64" s="38">
        <f>'Agreement 3'!B25</f>
        <v>44298</v>
      </c>
      <c r="C64" s="125" t="s">
        <v>1005</v>
      </c>
    </row>
    <row r="65" spans="1:22">
      <c r="A65" s="11" t="s">
        <v>399</v>
      </c>
      <c r="B65" s="38">
        <f>Planning!B33</f>
        <v>44302</v>
      </c>
      <c r="C65" s="125" t="s">
        <v>962</v>
      </c>
    </row>
    <row r="66" spans="1:22">
      <c r="A66" s="11" t="s">
        <v>400</v>
      </c>
      <c r="B66" s="39">
        <f>Planning!B34</f>
        <v>7</v>
      </c>
      <c r="C66" s="125" t="s">
        <v>962</v>
      </c>
    </row>
    <row r="68" spans="1:22">
      <c r="A68" s="14" t="s">
        <v>401</v>
      </c>
    </row>
    <row r="69" spans="1:22">
      <c r="A69" s="11" t="s">
        <v>402</v>
      </c>
      <c r="B69" s="38">
        <f>Planning!B36</f>
        <v>44302</v>
      </c>
      <c r="C69" s="125" t="s">
        <v>962</v>
      </c>
    </row>
    <row r="70" spans="1:22">
      <c r="A70" s="11" t="s">
        <v>403</v>
      </c>
      <c r="B70" s="38">
        <f>Planning!B38</f>
        <v>44315</v>
      </c>
      <c r="C70" s="125" t="s">
        <v>962</v>
      </c>
    </row>
    <row r="72" spans="1:22">
      <c r="A72" s="15" t="s">
        <v>770</v>
      </c>
      <c r="B72" s="17"/>
    </row>
    <row r="73" spans="1:22">
      <c r="A73" s="28" t="s">
        <v>771</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962</v>
      </c>
    </row>
    <row r="76" spans="1:22">
      <c r="A76" s="11" t="s">
        <v>413</v>
      </c>
      <c r="B76" s="102" t="str">
        <f>Planning!B11</f>
        <v>CMMI Development V2.0 (CMMI-DEV) without SAM</v>
      </c>
      <c r="C76" s="125" t="s">
        <v>962</v>
      </c>
    </row>
    <row r="77" spans="1:22" ht="43.5">
      <c r="A77" s="11" t="s">
        <v>419</v>
      </c>
      <c r="B77" s="102" t="str">
        <f>IF(Planning!B12="","",Planning!B12)</f>
        <v>SAM since all software is developed inhouse.</v>
      </c>
      <c r="C77" s="125" t="s">
        <v>962</v>
      </c>
    </row>
    <row r="78" spans="1:22">
      <c r="V78" s="30"/>
    </row>
    <row r="79" spans="1:22">
      <c r="A79" s="28" t="s">
        <v>772</v>
      </c>
      <c r="B79" s="29"/>
      <c r="C79" s="30"/>
    </row>
    <row r="80" spans="1:22">
      <c r="A80" s="36" t="s">
        <v>773</v>
      </c>
      <c r="B80" s="35"/>
    </row>
    <row r="82" spans="1:36">
      <c r="A82" s="15" t="s">
        <v>774</v>
      </c>
      <c r="B82" s="17"/>
    </row>
    <row r="83" spans="1:36">
      <c r="A83" s="28" t="s">
        <v>775</v>
      </c>
      <c r="B83" s="29"/>
      <c r="C83" s="30" t="str">
        <f>HYPERLINK(_xlfn.CONCAT("https://cmmiinstitute.com/appraisals-sys/appraisals/",Planning!$B$16,"/appraisal-sponsor"))</f>
        <v>https://cmmiinstitute.com/appraisals-sys/appraisals/53517/appraisal-sponsor</v>
      </c>
    </row>
    <row r="84" spans="1:36" s="125" customFormat="1">
      <c r="A84" s="192" t="s">
        <v>1063</v>
      </c>
      <c r="B84" s="192" t="s">
        <v>420</v>
      </c>
      <c r="C84" s="192" t="s">
        <v>1079</v>
      </c>
      <c r="D84" s="192" t="s">
        <v>1016</v>
      </c>
      <c r="E84" s="192" t="s">
        <v>1017</v>
      </c>
      <c r="F84" s="192" t="s">
        <v>1064</v>
      </c>
      <c r="G84" s="192" t="s">
        <v>1065</v>
      </c>
      <c r="H84" s="192" t="s">
        <v>1066</v>
      </c>
      <c r="I84" s="192" t="s">
        <v>1067</v>
      </c>
      <c r="J84" s="192" t="s">
        <v>1068</v>
      </c>
      <c r="K84" s="192" t="s">
        <v>1069</v>
      </c>
      <c r="L84" s="192" t="s">
        <v>1070</v>
      </c>
      <c r="M84" s="192" t="s">
        <v>1071</v>
      </c>
      <c r="N84" s="192"/>
      <c r="O84" s="192" t="s">
        <v>1072</v>
      </c>
      <c r="P84" s="192" t="s">
        <v>1073</v>
      </c>
      <c r="Q84" s="192" t="s">
        <v>1074</v>
      </c>
      <c r="R84" s="192" t="s">
        <v>1075</v>
      </c>
      <c r="S84" s="192" t="s">
        <v>1076</v>
      </c>
      <c r="T84" s="192" t="s">
        <v>1077</v>
      </c>
      <c r="U84" s="192" t="s">
        <v>1078</v>
      </c>
      <c r="V84" s="192" t="s">
        <v>10</v>
      </c>
      <c r="W84" s="191"/>
      <c r="X84" s="248" t="s">
        <v>1163</v>
      </c>
      <c r="Y84" s="133"/>
      <c r="Z84" s="133"/>
      <c r="AA84" s="188"/>
    </row>
    <row r="85" spans="1:36" s="16" customFormat="1">
      <c r="A85" s="16" t="s">
        <v>593</v>
      </c>
      <c r="B85" s="97" t="str">
        <f>IF('Agreement 3'!B28="","",'Agreement 3'!B28)</f>
        <v>Prof Kessler, Donald</v>
      </c>
      <c r="C85" s="125" t="s">
        <v>1008</v>
      </c>
      <c r="D85" s="87" t="str">
        <f>IF('Agreement 3'!B16="","",'Agreement 3'!B16)</f>
        <v>Software for Mars (Pty) Ltd</v>
      </c>
      <c r="E85" s="97" t="s">
        <v>735</v>
      </c>
      <c r="F85" s="125"/>
      <c r="G85" s="125" t="s">
        <v>730</v>
      </c>
      <c r="H85" s="125" t="s">
        <v>1162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1670</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1008</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1005</v>
      </c>
      <c r="D87" s="97" t="str">
        <f>StartupInfo!B52</f>
        <v>Freelance</v>
      </c>
      <c r="E87" s="97" t="str">
        <f>StartupInfo!B53</f>
        <v>External</v>
      </c>
      <c r="F87" s="87" t="str">
        <f>StartupInfo!B54</f>
        <v>Other</v>
      </c>
      <c r="G87" s="87" t="str">
        <f>StartupInfo!B55</f>
        <v>Reports directly to the ATL</v>
      </c>
      <c r="H87" s="125" t="s">
        <v>1211</v>
      </c>
      <c r="I87" s="97" t="str">
        <f>StartupInfo!B56</f>
        <v>+000 1111 44444</v>
      </c>
      <c r="J87" s="97"/>
      <c r="K87" s="97"/>
      <c r="L87" s="97"/>
      <c r="M87" s="97"/>
      <c r="N87" s="97"/>
      <c r="O87" s="97"/>
      <c r="P87" s="97"/>
      <c r="Q87" s="97"/>
      <c r="R87" s="97"/>
      <c r="S87" s="97"/>
      <c r="T87" s="97"/>
      <c r="U87" s="97"/>
      <c r="V87" s="96" t="str">
        <f>'Agreement 3'!B42</f>
        <v>barbara.land@email.com</v>
      </c>
      <c r="W87" s="11"/>
      <c r="X87" s="429"/>
      <c r="Y87" s="429"/>
      <c r="Z87" s="429"/>
      <c r="AA87" s="429"/>
    </row>
    <row r="88" spans="1:36">
      <c r="Y88" s="16"/>
    </row>
    <row r="89" spans="1:36">
      <c r="A89" s="28" t="s">
        <v>776</v>
      </c>
      <c r="B89" s="29"/>
      <c r="C89" s="30" t="str">
        <f>HYPERLINK(_xlfn.CONCAT("https://cmmiinstitute.com/appraisals-sys/appraisals/",Planning!$B$16,"/appraisal-sponsor"))</f>
        <v>https://cmmiinstitute.com/appraisals-sys/appraisals/53517/appraisal-sponsor</v>
      </c>
      <c r="Y89" s="16"/>
    </row>
    <row r="90" spans="1:36" s="125" customFormat="1">
      <c r="A90" s="192" t="s">
        <v>1063</v>
      </c>
      <c r="B90" s="192" t="s">
        <v>420</v>
      </c>
      <c r="C90" s="192" t="s">
        <v>1079</v>
      </c>
      <c r="D90" s="192" t="s">
        <v>1016</v>
      </c>
      <c r="E90" s="192" t="s">
        <v>1017</v>
      </c>
      <c r="F90" s="192" t="s">
        <v>1064</v>
      </c>
      <c r="G90" s="192" t="s">
        <v>1065</v>
      </c>
      <c r="H90" s="192" t="s">
        <v>1066</v>
      </c>
      <c r="I90" s="192" t="s">
        <v>1067</v>
      </c>
      <c r="J90" s="192" t="s">
        <v>1068</v>
      </c>
      <c r="K90" s="192" t="s">
        <v>1069</v>
      </c>
      <c r="L90" s="192" t="s">
        <v>1070</v>
      </c>
      <c r="M90" s="192" t="s">
        <v>1071</v>
      </c>
      <c r="N90" s="192"/>
      <c r="O90" s="192" t="s">
        <v>1072</v>
      </c>
      <c r="P90" s="192" t="s">
        <v>1073</v>
      </c>
      <c r="Q90" s="192" t="s">
        <v>1074</v>
      </c>
      <c r="R90" s="192" t="s">
        <v>1075</v>
      </c>
      <c r="S90" s="192" t="s">
        <v>1076</v>
      </c>
      <c r="T90" s="192" t="s">
        <v>1077</v>
      </c>
      <c r="U90" s="192" t="s">
        <v>1078</v>
      </c>
      <c r="V90" s="192" t="s">
        <v>10</v>
      </c>
      <c r="W90" s="191"/>
      <c r="X90" s="133"/>
      <c r="Y90" s="133"/>
      <c r="Z90" s="133"/>
      <c r="AA90" s="188"/>
    </row>
    <row r="91" spans="1:36" s="117" customFormat="1">
      <c r="A91" s="117" t="s">
        <v>1114</v>
      </c>
      <c r="B91" s="242" t="s">
        <v>1637</v>
      </c>
      <c r="C91" s="125" t="s">
        <v>1161</v>
      </c>
      <c r="D91" s="125" t="s">
        <v>6</v>
      </c>
      <c r="E91" s="125" t="s">
        <v>1015</v>
      </c>
      <c r="F91" s="125" t="s">
        <v>1146</v>
      </c>
      <c r="G91" s="125"/>
      <c r="H91" s="125" t="s">
        <v>974</v>
      </c>
      <c r="I91" s="125" t="s">
        <v>1641</v>
      </c>
      <c r="J91" s="125" t="s">
        <v>1080</v>
      </c>
      <c r="K91" s="125"/>
      <c r="L91" s="125">
        <v>8</v>
      </c>
      <c r="M91" s="193">
        <v>44186</v>
      </c>
      <c r="N91" s="125"/>
      <c r="O91" s="125">
        <v>7</v>
      </c>
      <c r="P91" s="125" t="s">
        <v>426</v>
      </c>
      <c r="Q91" s="125" t="s">
        <v>1060</v>
      </c>
      <c r="R91" s="125">
        <v>3</v>
      </c>
      <c r="S91" s="125">
        <v>0</v>
      </c>
      <c r="T91" s="125" t="s">
        <v>1061</v>
      </c>
      <c r="U91" s="125" t="s">
        <v>1430</v>
      </c>
      <c r="V91" s="30" t="s">
        <v>1645</v>
      </c>
      <c r="W91" s="125"/>
      <c r="AA91" s="293"/>
    </row>
    <row r="92" spans="1:36" s="117" customFormat="1">
      <c r="A92" s="117" t="s">
        <v>1114</v>
      </c>
      <c r="B92" s="242" t="s">
        <v>1638</v>
      </c>
      <c r="C92" s="125" t="s">
        <v>1161</v>
      </c>
      <c r="D92" s="125" t="s">
        <v>6</v>
      </c>
      <c r="E92" s="125" t="s">
        <v>1015</v>
      </c>
      <c r="F92" s="125" t="s">
        <v>1146</v>
      </c>
      <c r="G92" s="125"/>
      <c r="H92" s="125" t="s">
        <v>974</v>
      </c>
      <c r="I92" s="125" t="s">
        <v>1642</v>
      </c>
      <c r="J92" s="125" t="s">
        <v>1080</v>
      </c>
      <c r="K92" s="125"/>
      <c r="L92" s="125">
        <v>8</v>
      </c>
      <c r="M92" s="193">
        <v>44186</v>
      </c>
      <c r="N92" s="125"/>
      <c r="O92" s="125">
        <v>18</v>
      </c>
      <c r="P92" s="125" t="s">
        <v>426</v>
      </c>
      <c r="Q92" s="125" t="s">
        <v>1060</v>
      </c>
      <c r="R92" s="125">
        <v>14</v>
      </c>
      <c r="S92" s="125">
        <v>0</v>
      </c>
      <c r="T92" s="125" t="s">
        <v>1061</v>
      </c>
      <c r="U92" s="125" t="s">
        <v>1430</v>
      </c>
      <c r="V92" s="30" t="s">
        <v>1646</v>
      </c>
      <c r="W92" s="125"/>
      <c r="AA92" s="293"/>
    </row>
    <row r="93" spans="1:36" s="117" customFormat="1">
      <c r="A93" s="117" t="s">
        <v>1114</v>
      </c>
      <c r="B93" s="242" t="s">
        <v>1639</v>
      </c>
      <c r="C93" s="125" t="s">
        <v>1161</v>
      </c>
      <c r="D93" s="125" t="s">
        <v>6</v>
      </c>
      <c r="E93" s="125" t="s">
        <v>1015</v>
      </c>
      <c r="F93" s="125" t="s">
        <v>1146</v>
      </c>
      <c r="G93" s="125"/>
      <c r="H93" s="125" t="s">
        <v>974</v>
      </c>
      <c r="I93" s="125" t="s">
        <v>1643</v>
      </c>
      <c r="J93" s="125" t="s">
        <v>1059</v>
      </c>
      <c r="K93" s="125"/>
      <c r="L93" s="125">
        <v>8</v>
      </c>
      <c r="M93" s="193">
        <v>44186</v>
      </c>
      <c r="N93" s="125"/>
      <c r="O93" s="125">
        <v>20</v>
      </c>
      <c r="P93" s="125" t="s">
        <v>426</v>
      </c>
      <c r="Q93" s="125" t="s">
        <v>1060</v>
      </c>
      <c r="R93" s="125">
        <v>30</v>
      </c>
      <c r="S93" s="125">
        <v>5</v>
      </c>
      <c r="T93" s="125" t="s">
        <v>1061</v>
      </c>
      <c r="U93" s="125" t="s">
        <v>1431</v>
      </c>
      <c r="V93" s="30" t="s">
        <v>1647</v>
      </c>
      <c r="W93" s="125"/>
      <c r="AA93" s="293"/>
    </row>
    <row r="94" spans="1:36" s="117" customFormat="1">
      <c r="A94" s="117" t="s">
        <v>1114</v>
      </c>
      <c r="B94" s="242" t="s">
        <v>1640</v>
      </c>
      <c r="C94" s="125" t="s">
        <v>1161</v>
      </c>
      <c r="D94" s="125" t="s">
        <v>6</v>
      </c>
      <c r="E94" s="125" t="s">
        <v>1015</v>
      </c>
      <c r="F94" s="125" t="s">
        <v>1146</v>
      </c>
      <c r="G94" s="125"/>
      <c r="H94" s="125" t="s">
        <v>974</v>
      </c>
      <c r="I94" s="125" t="s">
        <v>1644</v>
      </c>
      <c r="J94" s="125" t="s">
        <v>1080</v>
      </c>
      <c r="K94" s="125"/>
      <c r="L94" s="125">
        <v>8</v>
      </c>
      <c r="M94" s="193">
        <v>44186</v>
      </c>
      <c r="N94" s="125"/>
      <c r="O94" s="125">
        <v>12</v>
      </c>
      <c r="P94" s="125" t="s">
        <v>426</v>
      </c>
      <c r="Q94" s="125" t="s">
        <v>1060</v>
      </c>
      <c r="R94" s="125">
        <v>10</v>
      </c>
      <c r="S94" s="125">
        <v>9</v>
      </c>
      <c r="T94" s="125" t="s">
        <v>1061</v>
      </c>
      <c r="U94" s="125" t="s">
        <v>1431</v>
      </c>
      <c r="V94" s="30" t="s">
        <v>1648</v>
      </c>
      <c r="W94" s="125"/>
      <c r="AA94" s="293"/>
    </row>
    <row r="95" spans="1:36" s="117" customFormat="1">
      <c r="A95" s="117" t="s">
        <v>1114</v>
      </c>
      <c r="B95" s="242" t="s">
        <v>1258</v>
      </c>
      <c r="C95" s="125" t="s">
        <v>1161</v>
      </c>
      <c r="D95" s="125" t="s">
        <v>6</v>
      </c>
      <c r="E95" s="125" t="s">
        <v>1015</v>
      </c>
      <c r="F95" s="125" t="s">
        <v>1146</v>
      </c>
      <c r="G95" s="125"/>
      <c r="H95" s="125" t="s">
        <v>974</v>
      </c>
      <c r="I95" s="125" t="s">
        <v>1259</v>
      </c>
      <c r="J95" s="125" t="s">
        <v>1080</v>
      </c>
      <c r="K95" s="125" t="s">
        <v>1081</v>
      </c>
      <c r="L95" s="125">
        <v>8</v>
      </c>
      <c r="M95" s="193">
        <v>44137</v>
      </c>
      <c r="N95" s="125"/>
      <c r="O95" s="125">
        <v>16</v>
      </c>
      <c r="P95" s="125" t="s">
        <v>426</v>
      </c>
      <c r="Q95" s="125" t="s">
        <v>1060</v>
      </c>
      <c r="R95" s="125">
        <v>17</v>
      </c>
      <c r="S95" s="125">
        <v>2</v>
      </c>
      <c r="T95" s="125" t="s">
        <v>1061</v>
      </c>
      <c r="U95" s="125" t="s">
        <v>1062</v>
      </c>
      <c r="V95" s="30" t="s">
        <v>1260</v>
      </c>
      <c r="W95" s="125"/>
      <c r="AA95" s="293"/>
    </row>
    <row r="96" spans="1:36" s="117" customFormat="1">
      <c r="A96" s="117" t="s">
        <v>1114</v>
      </c>
      <c r="B96" s="242" t="s">
        <v>1261</v>
      </c>
      <c r="C96" s="125" t="s">
        <v>1161</v>
      </c>
      <c r="D96" s="125" t="s">
        <v>6</v>
      </c>
      <c r="E96" s="125" t="s">
        <v>1015</v>
      </c>
      <c r="F96" s="125" t="s">
        <v>1146</v>
      </c>
      <c r="G96" s="125"/>
      <c r="H96" s="125" t="s">
        <v>974</v>
      </c>
      <c r="I96" s="125" t="s">
        <v>1262</v>
      </c>
      <c r="J96" s="125" t="s">
        <v>1080</v>
      </c>
      <c r="K96" s="125"/>
      <c r="L96" s="125">
        <v>8</v>
      </c>
      <c r="M96" s="193">
        <v>44202</v>
      </c>
      <c r="N96" s="125"/>
      <c r="O96" s="125">
        <v>18</v>
      </c>
      <c r="P96" s="125" t="s">
        <v>426</v>
      </c>
      <c r="Q96" s="125" t="s">
        <v>1060</v>
      </c>
      <c r="R96" s="125">
        <v>15</v>
      </c>
      <c r="S96" s="125">
        <v>1</v>
      </c>
      <c r="T96" s="125" t="s">
        <v>1061</v>
      </c>
      <c r="U96" s="125" t="s">
        <v>1062</v>
      </c>
      <c r="V96" s="30" t="s">
        <v>1263</v>
      </c>
      <c r="W96" s="125"/>
      <c r="AA96" s="293"/>
    </row>
    <row r="97" spans="1:27" s="117" customFormat="1">
      <c r="A97" s="117" t="s">
        <v>1114</v>
      </c>
      <c r="B97" s="242" t="s">
        <v>1264</v>
      </c>
      <c r="C97" s="125" t="s">
        <v>1161</v>
      </c>
      <c r="D97" s="125" t="s">
        <v>6</v>
      </c>
      <c r="E97" s="125" t="s">
        <v>735</v>
      </c>
      <c r="F97" s="125" t="s">
        <v>730</v>
      </c>
      <c r="G97" s="125"/>
      <c r="H97" s="125" t="s">
        <v>1255</v>
      </c>
      <c r="I97" s="125" t="s">
        <v>1265</v>
      </c>
      <c r="J97" s="125" t="s">
        <v>1059</v>
      </c>
      <c r="K97" s="125" t="s">
        <v>1081</v>
      </c>
      <c r="L97" s="125">
        <v>8</v>
      </c>
      <c r="M97" s="193">
        <v>44144</v>
      </c>
      <c r="N97" s="125"/>
      <c r="O97" s="125">
        <v>20</v>
      </c>
      <c r="P97" s="125" t="s">
        <v>426</v>
      </c>
      <c r="Q97" s="125" t="s">
        <v>1060</v>
      </c>
      <c r="R97" s="125">
        <v>14</v>
      </c>
      <c r="S97" s="125">
        <v>2</v>
      </c>
      <c r="T97" s="125" t="s">
        <v>1061</v>
      </c>
      <c r="U97" s="125" t="s">
        <v>1062</v>
      </c>
      <c r="V97" s="30" t="s">
        <v>1266</v>
      </c>
      <c r="W97" s="125"/>
      <c r="AA97" s="293"/>
    </row>
    <row r="98" spans="1:27" s="117" customFormat="1">
      <c r="A98" s="117" t="s">
        <v>1114</v>
      </c>
      <c r="B98" s="242" t="s">
        <v>1267</v>
      </c>
      <c r="C98" s="125" t="s">
        <v>1161</v>
      </c>
      <c r="D98" s="125" t="s">
        <v>6</v>
      </c>
      <c r="E98" s="125" t="s">
        <v>735</v>
      </c>
      <c r="F98" s="125" t="s">
        <v>730</v>
      </c>
      <c r="G98" s="125"/>
      <c r="H98" s="125" t="s">
        <v>1255</v>
      </c>
      <c r="I98" s="125" t="s">
        <v>1268</v>
      </c>
      <c r="J98" s="125" t="s">
        <v>1080</v>
      </c>
      <c r="K98" s="125" t="s">
        <v>1081</v>
      </c>
      <c r="L98" s="125">
        <v>8</v>
      </c>
      <c r="M98" s="193">
        <v>44144</v>
      </c>
      <c r="N98" s="125"/>
      <c r="O98" s="125">
        <v>5</v>
      </c>
      <c r="P98" s="125" t="s">
        <v>426</v>
      </c>
      <c r="Q98" s="125" t="s">
        <v>1060</v>
      </c>
      <c r="R98" s="125">
        <v>14</v>
      </c>
      <c r="S98" s="125">
        <v>3</v>
      </c>
      <c r="T98" s="125" t="s">
        <v>1061</v>
      </c>
      <c r="U98" s="125" t="s">
        <v>1062</v>
      </c>
      <c r="V98" s="30" t="s">
        <v>1269</v>
      </c>
      <c r="W98" s="125"/>
      <c r="AA98" s="293"/>
    </row>
    <row r="99" spans="1:27" s="117" customFormat="1">
      <c r="A99" s="117" t="s">
        <v>1114</v>
      </c>
      <c r="B99" s="242" t="s">
        <v>1270</v>
      </c>
      <c r="C99" s="125" t="s">
        <v>1161</v>
      </c>
      <c r="D99" s="125" t="s">
        <v>6</v>
      </c>
      <c r="E99" s="125" t="s">
        <v>1015</v>
      </c>
      <c r="F99" s="125" t="s">
        <v>1146</v>
      </c>
      <c r="G99" s="125"/>
      <c r="H99" s="125" t="s">
        <v>974</v>
      </c>
      <c r="I99" s="125" t="s">
        <v>1271</v>
      </c>
      <c r="J99" s="125" t="s">
        <v>1080</v>
      </c>
      <c r="K99" s="125" t="s">
        <v>1081</v>
      </c>
      <c r="L99" s="125">
        <v>8</v>
      </c>
      <c r="M99" s="193">
        <v>44202</v>
      </c>
      <c r="N99" s="125"/>
      <c r="O99" s="125">
        <v>17</v>
      </c>
      <c r="P99" s="125" t="s">
        <v>426</v>
      </c>
      <c r="Q99" s="125" t="s">
        <v>1060</v>
      </c>
      <c r="R99" s="125">
        <v>17</v>
      </c>
      <c r="S99" s="125">
        <v>1</v>
      </c>
      <c r="T99" s="125" t="s">
        <v>1061</v>
      </c>
      <c r="U99" s="125" t="s">
        <v>1062</v>
      </c>
      <c r="V99" s="30" t="s">
        <v>1272</v>
      </c>
      <c r="W99" s="125"/>
      <c r="AA99" s="293"/>
    </row>
    <row r="100" spans="1:27" s="117" customFormat="1">
      <c r="B100" s="242"/>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3"/>
    </row>
    <row r="101" spans="1:27" s="117" customFormat="1">
      <c r="A101" s="242" t="s">
        <v>975</v>
      </c>
      <c r="B101" s="242" t="s">
        <v>1672</v>
      </c>
      <c r="C101" s="125" t="s">
        <v>1161</v>
      </c>
      <c r="D101" s="125"/>
      <c r="E101" s="125"/>
      <c r="F101" s="125"/>
      <c r="G101" s="125"/>
      <c r="H101" s="125"/>
      <c r="I101" s="125"/>
      <c r="J101" s="125"/>
      <c r="K101" s="125"/>
      <c r="L101" s="125"/>
      <c r="M101" s="125"/>
      <c r="N101" s="125"/>
      <c r="O101" s="125"/>
      <c r="P101" s="125"/>
      <c r="Q101" s="125"/>
      <c r="R101" s="125"/>
      <c r="S101" s="125"/>
      <c r="T101" s="125"/>
      <c r="U101" s="125"/>
      <c r="V101" s="30" t="s">
        <v>1671</v>
      </c>
      <c r="W101" s="125"/>
      <c r="AA101" s="293"/>
    </row>
    <row r="102" spans="1:27" s="117" customFormat="1">
      <c r="A102" s="117" t="s">
        <v>974</v>
      </c>
      <c r="B102" s="242"/>
      <c r="C102" s="125" t="s">
        <v>1161</v>
      </c>
      <c r="D102" s="125"/>
      <c r="E102" s="125"/>
      <c r="F102" s="125"/>
      <c r="G102" s="125"/>
      <c r="H102" s="125"/>
      <c r="I102" s="125"/>
      <c r="J102" s="125"/>
      <c r="K102" s="125"/>
      <c r="L102" s="125"/>
      <c r="M102" s="125"/>
      <c r="N102" s="125"/>
      <c r="O102" s="125"/>
      <c r="P102" s="125"/>
      <c r="Q102" s="125"/>
      <c r="R102" s="125"/>
      <c r="S102" s="125"/>
      <c r="T102" s="125"/>
      <c r="U102" s="125"/>
      <c r="V102" s="30"/>
      <c r="W102" s="125"/>
      <c r="AA102" s="293"/>
    </row>
    <row r="103" spans="1:27" s="117" customFormat="1">
      <c r="A103" s="117" t="s">
        <v>952</v>
      </c>
      <c r="B103" s="242" t="s">
        <v>1432</v>
      </c>
      <c r="C103" s="125"/>
      <c r="D103" s="125" t="s">
        <v>6</v>
      </c>
      <c r="E103" s="125" t="s">
        <v>1015</v>
      </c>
      <c r="F103" s="125" t="s">
        <v>1146</v>
      </c>
      <c r="G103" s="125"/>
      <c r="H103" s="125" t="s">
        <v>974</v>
      </c>
      <c r="I103" s="125" t="s">
        <v>1433</v>
      </c>
      <c r="J103" s="125" t="s">
        <v>1080</v>
      </c>
      <c r="K103" s="125" t="s">
        <v>1081</v>
      </c>
      <c r="L103" s="125">
        <v>8</v>
      </c>
      <c r="M103" s="125">
        <v>44186</v>
      </c>
      <c r="N103" s="125"/>
      <c r="O103" s="125">
        <v>12</v>
      </c>
      <c r="P103" s="125" t="s">
        <v>426</v>
      </c>
      <c r="Q103" s="125" t="s">
        <v>1060</v>
      </c>
      <c r="R103" s="125">
        <v>10</v>
      </c>
      <c r="S103" s="125">
        <v>9</v>
      </c>
      <c r="T103" s="125" t="s">
        <v>1061</v>
      </c>
      <c r="U103" s="125" t="s">
        <v>1062</v>
      </c>
      <c r="V103" s="30" t="s">
        <v>1434</v>
      </c>
      <c r="W103" s="125"/>
      <c r="AA103" s="293"/>
    </row>
    <row r="105" spans="1:27">
      <c r="A105" s="28" t="s">
        <v>777</v>
      </c>
      <c r="B105" s="29"/>
      <c r="C105" s="30" t="str">
        <f>HYPERLINK(_xlfn.CONCAT("https://cmmiinstitute.com/appraisals-sys/appraisals/",Planning!$B$16,"/training-schedule"))</f>
        <v>https://cmmiinstitute.com/appraisals-sys/appraisals/53517/training-schedule</v>
      </c>
    </row>
    <row r="106" spans="1:27">
      <c r="A106" s="40" t="s">
        <v>779</v>
      </c>
      <c r="B106" s="41"/>
    </row>
    <row r="108" spans="1:27">
      <c r="A108" s="28" t="s">
        <v>778</v>
      </c>
      <c r="B108" s="29"/>
      <c r="C108" s="30" t="str">
        <f>HYPERLINK(_xlfn.CONCAT("https://cmmiinstitute.com/appraisals-sys/appraisals/",Planning!$B$16,"/team-member-experience"))</f>
        <v>https://cmmiinstitute.com/appraisals-sys/appraisals/53517/team-member-experience</v>
      </c>
    </row>
    <row r="109" spans="1:27">
      <c r="A109" s="40" t="s">
        <v>779</v>
      </c>
      <c r="B109" s="41"/>
    </row>
    <row r="111" spans="1:27">
      <c r="A111" s="28" t="s">
        <v>780</v>
      </c>
      <c r="B111" s="29"/>
      <c r="C111" s="30" t="str">
        <f>HYPERLINK(_xlfn.CONCAT("https://cmmiinstitute.com/appraisals-sys/appraisals/",Planning!$B$16,"/roles-responsibilities"))</f>
        <v>https://cmmiinstitute.com/appraisals-sys/appraisals/53517/roles-responsibilities</v>
      </c>
    </row>
    <row r="112" spans="1:27" s="117" customFormat="1">
      <c r="A112" s="40" t="s">
        <v>1206</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781</v>
      </c>
      <c r="B114" s="29"/>
      <c r="C114" s="30" t="str">
        <f>HYPERLINK(_xlfn.CONCAT("https://cmmiinstitute.com/appraisals-sys/appraisals/",Planning!$B$16,"/appraisal-participants"))</f>
        <v>https://cmmiinstitute.com/appraisals-sys/appraisals/53517/appraisal-participants</v>
      </c>
    </row>
    <row r="115" spans="1:23" s="122" customFormat="1">
      <c r="A115" s="123" t="s">
        <v>1426</v>
      </c>
      <c r="B115" s="116"/>
      <c r="C115" s="194" t="s">
        <v>1085</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782</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1427</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783</v>
      </c>
      <c r="B120" s="17"/>
    </row>
    <row r="121" spans="1:23">
      <c r="A121" s="28" t="s">
        <v>427</v>
      </c>
      <c r="B121" s="29"/>
      <c r="C121" s="30"/>
    </row>
    <row r="122" spans="1:23" s="122" customFormat="1">
      <c r="A122" s="123" t="s">
        <v>1428</v>
      </c>
      <c r="B122" s="116"/>
      <c r="C122" s="194" t="s">
        <v>1084</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784</v>
      </c>
      <c r="B124" s="29"/>
      <c r="C124" s="30"/>
    </row>
    <row r="125" spans="1:23">
      <c r="A125" s="430" t="s">
        <v>1429</v>
      </c>
      <c r="B125" s="430"/>
    </row>
    <row r="127" spans="1:23">
      <c r="A127" s="28" t="s">
        <v>785</v>
      </c>
      <c r="B127" s="29"/>
      <c r="C127" s="30"/>
    </row>
    <row r="128" spans="1:23">
      <c r="A128" s="11" t="s">
        <v>435</v>
      </c>
      <c r="B128" s="13" t="s">
        <v>433</v>
      </c>
      <c r="C128" s="125" t="s">
        <v>384</v>
      </c>
    </row>
    <row r="129" spans="1:3">
      <c r="A129" s="11" t="s">
        <v>436</v>
      </c>
    </row>
    <row r="130" spans="1:3">
      <c r="A130" s="11" t="s">
        <v>437</v>
      </c>
      <c r="B130" s="11" t="s">
        <v>825</v>
      </c>
    </row>
    <row r="132" spans="1:3">
      <c r="A132" s="28" t="s">
        <v>717</v>
      </c>
      <c r="B132" s="29"/>
      <c r="C132" s="30"/>
    </row>
    <row r="133" spans="1:3">
      <c r="A133" s="11" t="s">
        <v>428</v>
      </c>
      <c r="B133" s="12" t="str">
        <f>B128</f>
        <v>Type of Work</v>
      </c>
    </row>
    <row r="134" spans="1:3">
      <c r="A134" s="11" t="s">
        <v>826</v>
      </c>
      <c r="B134" s="11" t="s">
        <v>827</v>
      </c>
    </row>
    <row r="135" spans="1:3">
      <c r="A135" s="11" t="s">
        <v>382</v>
      </c>
      <c r="B135" s="11" t="s">
        <v>825</v>
      </c>
    </row>
    <row r="137" spans="1:3">
      <c r="A137" s="28" t="s">
        <v>786</v>
      </c>
      <c r="B137" s="29"/>
      <c r="C137" s="30"/>
    </row>
    <row r="138" spans="1:3">
      <c r="A138" s="11" t="s">
        <v>13</v>
      </c>
      <c r="B138" s="11" t="s">
        <v>827</v>
      </c>
    </row>
    <row r="139" spans="1:3">
      <c r="A139" s="11" t="s">
        <v>828</v>
      </c>
      <c r="B139" s="11" t="s">
        <v>829</v>
      </c>
    </row>
    <row r="140" spans="1:3">
      <c r="A140" s="11" t="s">
        <v>830</v>
      </c>
      <c r="B140" s="11" t="s">
        <v>831</v>
      </c>
    </row>
    <row r="142" spans="1:3">
      <c r="A142" s="28" t="s">
        <v>787</v>
      </c>
      <c r="B142" s="29"/>
      <c r="C142" s="30"/>
    </row>
    <row r="143" spans="1:3">
      <c r="A143" s="431" t="s">
        <v>832</v>
      </c>
      <c r="B143" s="431"/>
    </row>
    <row r="145" spans="1:3">
      <c r="A145" s="251" t="s">
        <v>788</v>
      </c>
      <c r="B145" s="252"/>
      <c r="C145" s="253"/>
    </row>
    <row r="146" spans="1:3">
      <c r="A146" s="432" t="s">
        <v>789</v>
      </c>
      <c r="B146" s="434"/>
      <c r="C146" s="254" t="s">
        <v>1166</v>
      </c>
    </row>
    <row r="147" spans="1:3" ht="15" thickBot="1">
      <c r="A147" s="433"/>
      <c r="B147" s="435"/>
      <c r="C147" s="254" t="s">
        <v>1169</v>
      </c>
    </row>
    <row r="148" spans="1:3">
      <c r="A148" s="255" t="s">
        <v>751</v>
      </c>
      <c r="B148" s="255" t="s">
        <v>1167</v>
      </c>
      <c r="C148" s="253"/>
    </row>
    <row r="149" spans="1:3" ht="15" thickBot="1">
      <c r="A149" s="256" t="s">
        <v>833</v>
      </c>
      <c r="B149" s="256" t="s">
        <v>834</v>
      </c>
      <c r="C149" s="253"/>
    </row>
    <row r="150" spans="1:3">
      <c r="A150" s="257" t="s">
        <v>750</v>
      </c>
      <c r="B150" s="257" t="s">
        <v>1170</v>
      </c>
      <c r="C150" s="253"/>
    </row>
    <row r="151" spans="1:3" ht="15" thickBot="1">
      <c r="A151" s="256" t="s">
        <v>833</v>
      </c>
      <c r="B151" s="256" t="s">
        <v>834</v>
      </c>
      <c r="C151" s="253"/>
    </row>
    <row r="152" spans="1:3">
      <c r="A152" s="257" t="s">
        <v>835</v>
      </c>
      <c r="B152" s="257" t="s">
        <v>1171</v>
      </c>
      <c r="C152" s="253"/>
    </row>
    <row r="153" spans="1:3" ht="15" thickBot="1">
      <c r="A153" s="256" t="s">
        <v>833</v>
      </c>
      <c r="B153" s="256" t="s">
        <v>834</v>
      </c>
      <c r="C153" s="253"/>
    </row>
    <row r="154" spans="1:3">
      <c r="A154" s="257" t="s">
        <v>752</v>
      </c>
      <c r="B154" s="257" t="s">
        <v>1168</v>
      </c>
      <c r="C154" s="258" t="s">
        <v>1436</v>
      </c>
    </row>
    <row r="156" spans="1:3">
      <c r="A156" s="28" t="s">
        <v>790</v>
      </c>
      <c r="B156" s="29"/>
      <c r="C156" s="30"/>
    </row>
    <row r="157" spans="1:3" ht="29">
      <c r="A157" s="11" t="s">
        <v>837</v>
      </c>
      <c r="B157" s="11" t="s">
        <v>1435</v>
      </c>
      <c r="C157" s="258" t="s">
        <v>1436</v>
      </c>
    </row>
    <row r="158" spans="1:3">
      <c r="A158" s="42" t="s">
        <v>833</v>
      </c>
      <c r="B158" s="42" t="s">
        <v>834</v>
      </c>
    </row>
    <row r="160" spans="1:3">
      <c r="A160" s="28" t="s">
        <v>791</v>
      </c>
      <c r="B160" s="29"/>
      <c r="C160" s="30"/>
    </row>
    <row r="161" spans="1:2">
      <c r="A161" s="11" t="s">
        <v>838</v>
      </c>
      <c r="B161" s="11" t="s">
        <v>1173</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839</v>
      </c>
      <c r="B2" s="29"/>
      <c r="C2" s="53"/>
    </row>
    <row r="3" spans="1:3" s="117" customFormat="1">
      <c r="A3" s="117" t="s">
        <v>1437</v>
      </c>
    </row>
    <row r="4" spans="1:3" s="117" customFormat="1"/>
    <row r="5" spans="1:3" s="117" customFormat="1">
      <c r="A5" s="29" t="s">
        <v>840</v>
      </c>
      <c r="B5" s="29"/>
      <c r="C5" s="53"/>
    </row>
    <row r="6" spans="1:3" s="117" customFormat="1">
      <c r="A6" s="117" t="s">
        <v>1437</v>
      </c>
    </row>
    <row r="7" spans="1:3" s="117" customFormat="1"/>
    <row r="8" spans="1:3" s="117" customFormat="1" ht="29">
      <c r="A8" s="29" t="s">
        <v>841</v>
      </c>
      <c r="B8" s="29"/>
      <c r="C8" s="53"/>
    </row>
    <row r="9" spans="1:3" s="117" customFormat="1">
      <c r="A9" s="117" t="s">
        <v>1437</v>
      </c>
      <c r="B9" s="117" t="s">
        <v>1439</v>
      </c>
    </row>
    <row r="10" spans="1:3" s="117" customFormat="1"/>
    <row r="11" spans="1:3" s="117" customFormat="1">
      <c r="A11" s="29" t="s">
        <v>842</v>
      </c>
      <c r="B11" s="29"/>
      <c r="C11" s="53"/>
    </row>
    <row r="12" spans="1:3" s="117" customFormat="1"/>
    <row r="13" spans="1:3" s="117" customFormat="1"/>
    <row r="14" spans="1:3" s="117" customFormat="1">
      <c r="A14" s="29" t="s">
        <v>843</v>
      </c>
      <c r="B14" s="29"/>
      <c r="C14" s="53"/>
    </row>
    <row r="15" spans="1:3" s="117" customFormat="1" ht="29">
      <c r="A15" s="117" t="s">
        <v>1437</v>
      </c>
      <c r="B15" s="117" t="s">
        <v>1438</v>
      </c>
    </row>
    <row r="16" spans="1:3" s="117" customFormat="1"/>
    <row r="17" spans="1:3" s="117" customFormat="1">
      <c r="A17" s="29" t="s">
        <v>844</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topLeftCell="A234" workbookViewId="0">
      <selection activeCell="A239" sqref="A239"/>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792</v>
      </c>
      <c r="B1" s="100"/>
    </row>
    <row r="2" spans="1:3">
      <c r="A2" s="28" t="s">
        <v>793</v>
      </c>
      <c r="B2" s="29"/>
      <c r="C2" s="30"/>
    </row>
    <row r="3" spans="1:3" s="125" customFormat="1">
      <c r="A3" s="24" t="s">
        <v>795</v>
      </c>
      <c r="B3" s="117"/>
    </row>
    <row r="4" spans="1:3" s="125" customFormat="1" ht="43.5">
      <c r="A4" s="125" t="s">
        <v>588</v>
      </c>
      <c r="B4" s="117" t="s">
        <v>1440</v>
      </c>
    </row>
    <row r="5" spans="1:3" s="125" customFormat="1">
      <c r="A5" s="125" t="s">
        <v>589</v>
      </c>
      <c r="B5" s="117" t="s">
        <v>590</v>
      </c>
    </row>
    <row r="6" spans="1:3" s="125" customFormat="1">
      <c r="A6" s="125" t="s">
        <v>591</v>
      </c>
      <c r="B6" s="117" t="s">
        <v>590</v>
      </c>
    </row>
    <row r="7" spans="1:3" s="125" customFormat="1">
      <c r="B7" s="117"/>
    </row>
    <row r="8" spans="1:3" s="125" customFormat="1">
      <c r="A8" s="24" t="s">
        <v>796</v>
      </c>
      <c r="B8" s="117"/>
    </row>
    <row r="9" spans="1:3" s="125" customFormat="1" ht="29">
      <c r="A9" s="125" t="s">
        <v>588</v>
      </c>
      <c r="B9" s="117" t="s">
        <v>1441</v>
      </c>
    </row>
    <row r="10" spans="1:3" s="125" customFormat="1" ht="29">
      <c r="A10" s="125" t="s">
        <v>589</v>
      </c>
      <c r="B10" s="117" t="s">
        <v>736</v>
      </c>
    </row>
    <row r="11" spans="1:3" s="125" customFormat="1">
      <c r="A11" s="125" t="s">
        <v>591</v>
      </c>
      <c r="B11" s="117" t="s">
        <v>592</v>
      </c>
    </row>
    <row r="12" spans="1:3" s="125" customFormat="1">
      <c r="B12" s="117"/>
    </row>
    <row r="13" spans="1:3" s="125" customFormat="1">
      <c r="A13" s="24" t="s">
        <v>797</v>
      </c>
      <c r="B13" s="117"/>
    </row>
    <row r="14" spans="1:3" s="125" customFormat="1" ht="29">
      <c r="A14" s="125" t="s">
        <v>588</v>
      </c>
      <c r="B14" s="117" t="s">
        <v>1442</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1443</v>
      </c>
    </row>
    <row r="20" spans="1:3" s="125" customFormat="1">
      <c r="A20" s="125" t="s">
        <v>589</v>
      </c>
      <c r="B20" s="117" t="s">
        <v>593</v>
      </c>
    </row>
    <row r="21" spans="1:3" s="125" customFormat="1">
      <c r="A21" s="125" t="s">
        <v>591</v>
      </c>
      <c r="B21" s="117" t="s">
        <v>738</v>
      </c>
    </row>
    <row r="22" spans="1:3" s="125" customFormat="1">
      <c r="B22" s="117"/>
    </row>
    <row r="23" spans="1:3">
      <c r="A23" s="28" t="s">
        <v>794</v>
      </c>
      <c r="B23" s="29"/>
      <c r="C23" s="195"/>
    </row>
    <row r="24" spans="1:3" s="125" customFormat="1" ht="43.5">
      <c r="A24" s="125" t="s">
        <v>588</v>
      </c>
      <c r="B24" s="117" t="s">
        <v>1444</v>
      </c>
      <c r="C24" s="250"/>
    </row>
    <row r="25" spans="1:3" s="125" customFormat="1">
      <c r="B25" s="117"/>
      <c r="C25" s="250"/>
    </row>
    <row r="26" spans="1:3">
      <c r="A26" s="28" t="s">
        <v>800</v>
      </c>
      <c r="B26" s="29"/>
      <c r="C26" s="30"/>
    </row>
    <row r="27" spans="1:3" s="120" customFormat="1">
      <c r="A27" s="120" t="s">
        <v>604</v>
      </c>
      <c r="B27" s="121" t="s">
        <v>434</v>
      </c>
      <c r="C27" s="120" t="s">
        <v>384</v>
      </c>
    </row>
    <row r="28" spans="1:3" s="120" customFormat="1">
      <c r="A28" s="120" t="s">
        <v>605</v>
      </c>
      <c r="B28" s="117" t="s">
        <v>798</v>
      </c>
    </row>
    <row r="29" spans="1:3" s="120" customFormat="1">
      <c r="A29" s="120" t="s">
        <v>588</v>
      </c>
      <c r="B29" s="117" t="s">
        <v>799</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801</v>
      </c>
      <c r="B36" s="100"/>
    </row>
    <row r="37" spans="1:3">
      <c r="A37" s="28" t="s">
        <v>802</v>
      </c>
      <c r="B37" s="29"/>
      <c r="C37" s="30"/>
    </row>
    <row r="38" spans="1:3">
      <c r="A38" s="117" t="s">
        <v>606</v>
      </c>
      <c r="B38" s="121" t="s">
        <v>608</v>
      </c>
      <c r="C38" s="117" t="s">
        <v>384</v>
      </c>
    </row>
    <row r="39" spans="1:3" ht="43.5">
      <c r="A39" s="117" t="s">
        <v>382</v>
      </c>
      <c r="B39" s="117" t="s">
        <v>803</v>
      </c>
    </row>
    <row r="41" spans="1:3">
      <c r="A41" s="28" t="s">
        <v>804</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805</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806</v>
      </c>
      <c r="B54" s="29"/>
    </row>
    <row r="55" spans="1:3">
      <c r="A55" s="117" t="s">
        <v>606</v>
      </c>
      <c r="B55" s="121" t="s">
        <v>625</v>
      </c>
      <c r="C55" s="117" t="s">
        <v>384</v>
      </c>
    </row>
    <row r="56" spans="1:3">
      <c r="A56" s="117" t="s">
        <v>629</v>
      </c>
      <c r="B56" s="117" t="s">
        <v>426</v>
      </c>
    </row>
    <row r="57" spans="1:3">
      <c r="A57" s="117" t="s">
        <v>382</v>
      </c>
      <c r="B57" s="117" t="s">
        <v>1207</v>
      </c>
    </row>
    <row r="59" spans="1:3">
      <c r="A59" s="28" t="s">
        <v>807</v>
      </c>
      <c r="B59" s="29"/>
      <c r="C59" s="30"/>
    </row>
    <row r="60" spans="1:3">
      <c r="A60" s="117" t="s">
        <v>630</v>
      </c>
      <c r="B60" s="117" t="s">
        <v>29</v>
      </c>
    </row>
    <row r="62" spans="1:3">
      <c r="A62" s="28" t="s">
        <v>808</v>
      </c>
      <c r="B62" s="29"/>
      <c r="C62" s="30"/>
    </row>
    <row r="63" spans="1:3">
      <c r="A63" s="117" t="s">
        <v>631</v>
      </c>
      <c r="B63" s="117" t="s">
        <v>740</v>
      </c>
    </row>
    <row r="64" spans="1:3">
      <c r="A64" s="117" t="s">
        <v>632</v>
      </c>
      <c r="B64" s="37">
        <f>Planning!B20</f>
        <v>44267</v>
      </c>
      <c r="C64" s="117" t="s">
        <v>962</v>
      </c>
    </row>
    <row r="65" spans="1:3">
      <c r="A65" s="117" t="s">
        <v>633</v>
      </c>
      <c r="B65" s="117" t="s">
        <v>741</v>
      </c>
    </row>
    <row r="67" spans="1:3">
      <c r="A67" s="117" t="s">
        <v>631</v>
      </c>
      <c r="B67" s="117" t="s">
        <v>742</v>
      </c>
    </row>
    <row r="68" spans="1:3">
      <c r="A68" s="117" t="s">
        <v>632</v>
      </c>
      <c r="B68" s="37">
        <f>Planning!B23</f>
        <v>44281</v>
      </c>
      <c r="C68" s="117" t="s">
        <v>962</v>
      </c>
    </row>
    <row r="69" spans="1:3" ht="29">
      <c r="A69" s="117" t="s">
        <v>633</v>
      </c>
      <c r="B69" s="117" t="s">
        <v>972</v>
      </c>
    </row>
    <row r="71" spans="1:3" s="120" customFormat="1">
      <c r="A71" s="124" t="s">
        <v>603</v>
      </c>
      <c r="B71" s="117"/>
    </row>
    <row r="73" spans="1:3">
      <c r="A73" s="28" t="s">
        <v>587</v>
      </c>
      <c r="B73" s="29"/>
      <c r="C73" s="30"/>
    </row>
    <row r="74" spans="1:3">
      <c r="A74" s="117" t="s">
        <v>587</v>
      </c>
      <c r="B74" s="117" t="s">
        <v>743</v>
      </c>
    </row>
    <row r="76" spans="1:3">
      <c r="A76" s="100" t="s">
        <v>809</v>
      </c>
      <c r="B76" s="100"/>
    </row>
    <row r="77" spans="1:3">
      <c r="A77" s="28" t="s">
        <v>809</v>
      </c>
      <c r="B77" s="29"/>
      <c r="C77" s="30"/>
    </row>
    <row r="78" spans="1:3">
      <c r="A78" s="117" t="s">
        <v>394</v>
      </c>
      <c r="B78" s="102" t="str">
        <f>_xlfn.CONCAT("Readiness review for ",B63)</f>
        <v>Readiness review for Version 1 of OE database</v>
      </c>
      <c r="C78" s="117" t="s">
        <v>1006</v>
      </c>
    </row>
    <row r="79" spans="1:3">
      <c r="A79" s="117" t="s">
        <v>395</v>
      </c>
      <c r="B79" s="37">
        <f>Planning!B21</f>
        <v>44268</v>
      </c>
      <c r="C79" s="117" t="s">
        <v>962</v>
      </c>
    </row>
    <row r="80" spans="1:3">
      <c r="A80" s="117" t="s">
        <v>396</v>
      </c>
      <c r="B80" s="37">
        <f>B79</f>
        <v>44268</v>
      </c>
      <c r="C80" s="117" t="s">
        <v>1006</v>
      </c>
    </row>
    <row r="81" spans="1:3" ht="43.5">
      <c r="A81" s="117" t="s">
        <v>744</v>
      </c>
      <c r="B81" s="117" t="s">
        <v>1445</v>
      </c>
    </row>
    <row r="82" spans="1:3" ht="43.5">
      <c r="A82" s="117" t="s">
        <v>745</v>
      </c>
      <c r="B82" s="117" t="s">
        <v>1446</v>
      </c>
    </row>
    <row r="83" spans="1:3">
      <c r="A83" s="117" t="s">
        <v>746</v>
      </c>
      <c r="B83" s="117" t="s">
        <v>1447</v>
      </c>
    </row>
    <row r="84" spans="1:3">
      <c r="A84" s="117" t="s">
        <v>747</v>
      </c>
      <c r="B84" s="117" t="s">
        <v>1448</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1006</v>
      </c>
    </row>
    <row r="89" spans="1:3">
      <c r="A89" s="117" t="s">
        <v>395</v>
      </c>
      <c r="B89" s="37">
        <f>Planning!B24</f>
        <v>44282</v>
      </c>
      <c r="C89" s="117" t="s">
        <v>962</v>
      </c>
    </row>
    <row r="90" spans="1:3">
      <c r="A90" s="117" t="s">
        <v>396</v>
      </c>
      <c r="B90" s="37">
        <f>B89</f>
        <v>44282</v>
      </c>
      <c r="C90" s="117" t="s">
        <v>1006</v>
      </c>
    </row>
    <row r="91" spans="1:3" ht="43.5">
      <c r="A91" s="117" t="s">
        <v>744</v>
      </c>
      <c r="B91" s="117" t="s">
        <v>1445</v>
      </c>
    </row>
    <row r="92" spans="1:3" ht="58">
      <c r="A92" s="117" t="s">
        <v>745</v>
      </c>
      <c r="B92" s="119" t="s">
        <v>973</v>
      </c>
    </row>
    <row r="93" spans="1:3">
      <c r="A93" s="117" t="s">
        <v>746</v>
      </c>
      <c r="B93" s="117" t="s">
        <v>1447</v>
      </c>
    </row>
    <row r="94" spans="1:3" ht="87">
      <c r="A94" s="117" t="s">
        <v>747</v>
      </c>
      <c r="B94" s="117" t="s">
        <v>1147</v>
      </c>
    </row>
    <row r="95" spans="1:3">
      <c r="A95" s="117" t="s">
        <v>748</v>
      </c>
      <c r="B95" s="117" t="s">
        <v>743</v>
      </c>
    </row>
    <row r="96" spans="1:3">
      <c r="A96" s="117" t="s">
        <v>749</v>
      </c>
      <c r="B96" s="117" t="s">
        <v>388</v>
      </c>
    </row>
    <row r="98" spans="1:23" s="120" customFormat="1">
      <c r="A98" s="124" t="s">
        <v>603</v>
      </c>
      <c r="B98" s="117"/>
    </row>
    <row r="100" spans="1:23">
      <c r="A100" s="100" t="s">
        <v>810</v>
      </c>
      <c r="B100" s="100"/>
    </row>
    <row r="101" spans="1:23">
      <c r="A101" s="28" t="s">
        <v>811</v>
      </c>
      <c r="B101" s="29"/>
      <c r="C101" s="30"/>
    </row>
    <row r="102" spans="1:23" ht="36.5" customHeight="1">
      <c r="A102" s="430" t="s">
        <v>1492</v>
      </c>
      <c r="B102" s="430"/>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812</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758</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9">
      <c r="A130" s="117" t="s">
        <v>640</v>
      </c>
      <c r="B130" s="121" t="s">
        <v>646</v>
      </c>
      <c r="C130" s="117" t="s">
        <v>384</v>
      </c>
    </row>
    <row r="131" spans="1:3">
      <c r="A131" s="117" t="s">
        <v>654</v>
      </c>
      <c r="B131" s="117" t="s">
        <v>1493</v>
      </c>
    </row>
    <row r="132" spans="1:3" ht="101.5">
      <c r="A132" s="117" t="s">
        <v>655</v>
      </c>
      <c r="B132" s="117" t="s">
        <v>1494</v>
      </c>
    </row>
    <row r="133" spans="1:3">
      <c r="A133" s="117" t="s">
        <v>656</v>
      </c>
      <c r="B133" s="117" t="s">
        <v>1495</v>
      </c>
    </row>
    <row r="135" spans="1:3">
      <c r="A135" s="19" t="s">
        <v>603</v>
      </c>
    </row>
    <row r="137" spans="1:3">
      <c r="A137" s="28" t="s">
        <v>813</v>
      </c>
      <c r="B137" s="29"/>
      <c r="C137" s="30"/>
    </row>
    <row r="138" spans="1:3">
      <c r="A138" s="117" t="s">
        <v>659</v>
      </c>
      <c r="B138" s="121" t="s">
        <v>662</v>
      </c>
      <c r="C138" s="117" t="s">
        <v>384</v>
      </c>
    </row>
    <row r="139" spans="1:3">
      <c r="A139" s="117" t="s">
        <v>667</v>
      </c>
      <c r="B139" s="121"/>
      <c r="C139" s="117" t="s">
        <v>384</v>
      </c>
    </row>
    <row r="140" spans="1:3">
      <c r="A140" s="117" t="s">
        <v>668</v>
      </c>
      <c r="B140" s="117" t="s">
        <v>761</v>
      </c>
    </row>
    <row r="142" spans="1:3">
      <c r="A142" s="19" t="s">
        <v>603</v>
      </c>
    </row>
    <row r="144" spans="1:3">
      <c r="A144" s="28" t="s">
        <v>814</v>
      </c>
      <c r="B144" s="29"/>
      <c r="C144" s="30"/>
    </row>
    <row r="145" spans="1:3">
      <c r="A145" s="14" t="s">
        <v>1496</v>
      </c>
      <c r="B145" s="14" t="s">
        <v>1682</v>
      </c>
    </row>
    <row r="146" spans="1:3">
      <c r="A146" s="117" t="s">
        <v>669</v>
      </c>
      <c r="B146" s="121" t="s">
        <v>420</v>
      </c>
      <c r="C146" s="117" t="s">
        <v>384</v>
      </c>
    </row>
    <row r="147" spans="1:3">
      <c r="A147" s="117" t="s">
        <v>675</v>
      </c>
    </row>
    <row r="148" spans="1:3" ht="29">
      <c r="A148" s="117" t="s">
        <v>676</v>
      </c>
      <c r="B148" s="117" t="s">
        <v>680</v>
      </c>
    </row>
    <row r="149" spans="1:3">
      <c r="A149" s="117" t="s">
        <v>677</v>
      </c>
      <c r="B149" s="121" t="s">
        <v>681</v>
      </c>
      <c r="C149" s="117" t="s">
        <v>384</v>
      </c>
    </row>
    <row r="150" spans="1:3" ht="58">
      <c r="A150" s="117" t="s">
        <v>678</v>
      </c>
      <c r="B150" s="117" t="s">
        <v>682</v>
      </c>
    </row>
    <row r="151" spans="1:3">
      <c r="A151" s="117" t="s">
        <v>679</v>
      </c>
      <c r="B151" s="121" t="s">
        <v>683</v>
      </c>
      <c r="C151" s="117" t="s">
        <v>384</v>
      </c>
    </row>
    <row r="153" spans="1:3">
      <c r="A153" s="14" t="s">
        <v>1497</v>
      </c>
      <c r="B153" s="14" t="s">
        <v>1683</v>
      </c>
    </row>
    <row r="154" spans="1:3">
      <c r="A154" s="117" t="s">
        <v>669</v>
      </c>
      <c r="B154" s="121" t="s">
        <v>434</v>
      </c>
      <c r="C154" s="117" t="s">
        <v>384</v>
      </c>
    </row>
    <row r="155" spans="1:3">
      <c r="A155" s="117" t="s">
        <v>675</v>
      </c>
      <c r="B155" s="117" t="s">
        <v>1684</v>
      </c>
    </row>
    <row r="156" spans="1:3" ht="29">
      <c r="A156" s="117" t="s">
        <v>676</v>
      </c>
      <c r="B156" s="117" t="s">
        <v>1685</v>
      </c>
    </row>
    <row r="157" spans="1:3">
      <c r="A157" s="117" t="s">
        <v>677</v>
      </c>
      <c r="B157" s="121" t="s">
        <v>684</v>
      </c>
      <c r="C157" s="117" t="s">
        <v>384</v>
      </c>
    </row>
    <row r="158" spans="1:3" ht="101.5">
      <c r="A158" s="117" t="s">
        <v>678</v>
      </c>
      <c r="B158" s="117" t="s">
        <v>1686</v>
      </c>
    </row>
    <row r="159" spans="1:3">
      <c r="A159" s="117" t="s">
        <v>679</v>
      </c>
      <c r="B159" s="121" t="s">
        <v>683</v>
      </c>
      <c r="C159" s="117" t="s">
        <v>384</v>
      </c>
    </row>
    <row r="161" spans="1:3">
      <c r="A161" s="14" t="s">
        <v>1498</v>
      </c>
      <c r="B161" s="14" t="s">
        <v>1687</v>
      </c>
    </row>
    <row r="162" spans="1:3">
      <c r="A162" s="117" t="s">
        <v>669</v>
      </c>
      <c r="B162" s="121" t="s">
        <v>434</v>
      </c>
      <c r="C162" s="117" t="s">
        <v>384</v>
      </c>
    </row>
    <row r="163" spans="1:3">
      <c r="A163" s="117" t="s">
        <v>675</v>
      </c>
      <c r="B163" s="117" t="s">
        <v>1499</v>
      </c>
    </row>
    <row r="164" spans="1:3" ht="43.5">
      <c r="A164" s="117" t="s">
        <v>676</v>
      </c>
      <c r="B164" s="117" t="s">
        <v>1500</v>
      </c>
    </row>
    <row r="165" spans="1:3">
      <c r="A165" s="117" t="s">
        <v>677</v>
      </c>
      <c r="B165" s="121" t="s">
        <v>684</v>
      </c>
      <c r="C165" s="117" t="s">
        <v>384</v>
      </c>
    </row>
    <row r="166" spans="1:3" ht="130.5">
      <c r="A166" s="117" t="s">
        <v>678</v>
      </c>
      <c r="B166" s="117" t="s">
        <v>1501</v>
      </c>
    </row>
    <row r="167" spans="1:3">
      <c r="A167" s="117" t="s">
        <v>679</v>
      </c>
      <c r="B167" s="121" t="s">
        <v>1502</v>
      </c>
      <c r="C167" s="117" t="s">
        <v>384</v>
      </c>
    </row>
    <row r="169" spans="1:3">
      <c r="A169" s="14" t="s">
        <v>1503</v>
      </c>
      <c r="B169" s="14" t="s">
        <v>1688</v>
      </c>
    </row>
    <row r="170" spans="1:3">
      <c r="A170" s="117" t="s">
        <v>669</v>
      </c>
      <c r="B170" s="121" t="s">
        <v>434</v>
      </c>
      <c r="C170" s="117" t="s">
        <v>384</v>
      </c>
    </row>
    <row r="171" spans="1:3">
      <c r="A171" s="117" t="s">
        <v>675</v>
      </c>
      <c r="B171" s="117" t="s">
        <v>1499</v>
      </c>
    </row>
    <row r="172" spans="1:3" ht="29">
      <c r="A172" s="117" t="s">
        <v>676</v>
      </c>
      <c r="B172" s="117" t="s">
        <v>1504</v>
      </c>
    </row>
    <row r="173" spans="1:3">
      <c r="A173" s="117" t="s">
        <v>677</v>
      </c>
      <c r="B173" s="121" t="s">
        <v>1505</v>
      </c>
      <c r="C173" s="117" t="s">
        <v>384</v>
      </c>
    </row>
    <row r="174" spans="1:3" ht="135.65" customHeight="1">
      <c r="A174" s="117" t="s">
        <v>678</v>
      </c>
      <c r="B174" s="117" t="s">
        <v>1506</v>
      </c>
    </row>
    <row r="175" spans="1:3">
      <c r="A175" s="117" t="s">
        <v>679</v>
      </c>
      <c r="B175" s="121" t="s">
        <v>1502</v>
      </c>
      <c r="C175" s="117" t="s">
        <v>384</v>
      </c>
    </row>
    <row r="177" spans="1:3">
      <c r="A177" s="14" t="s">
        <v>1507</v>
      </c>
      <c r="B177" s="14" t="s">
        <v>1689</v>
      </c>
    </row>
    <row r="178" spans="1:3">
      <c r="A178" s="117" t="s">
        <v>669</v>
      </c>
      <c r="B178" s="121" t="s">
        <v>672</v>
      </c>
      <c r="C178" s="117" t="s">
        <v>384</v>
      </c>
    </row>
    <row r="179" spans="1:3">
      <c r="A179" s="117" t="s">
        <v>675</v>
      </c>
    </row>
    <row r="180" spans="1:3" ht="43.5">
      <c r="A180" s="117" t="s">
        <v>676</v>
      </c>
      <c r="B180" s="117" t="s">
        <v>1508</v>
      </c>
    </row>
    <row r="181" spans="1:3">
      <c r="A181" s="117" t="s">
        <v>677</v>
      </c>
      <c r="B181" s="121" t="s">
        <v>1505</v>
      </c>
      <c r="C181" s="117" t="s">
        <v>384</v>
      </c>
    </row>
    <row r="182" spans="1:3" ht="159.5">
      <c r="A182" s="117" t="s">
        <v>678</v>
      </c>
      <c r="B182" s="117" t="s">
        <v>1509</v>
      </c>
    </row>
    <row r="183" spans="1:3">
      <c r="A183" s="117" t="s">
        <v>679</v>
      </c>
      <c r="B183" s="121" t="s">
        <v>1502</v>
      </c>
      <c r="C183" s="117" t="s">
        <v>384</v>
      </c>
    </row>
    <row r="185" spans="1:3" ht="29">
      <c r="A185" s="14" t="s">
        <v>1690</v>
      </c>
      <c r="B185" s="14" t="s">
        <v>1691</v>
      </c>
    </row>
    <row r="186" spans="1:3">
      <c r="A186" s="117" t="s">
        <v>669</v>
      </c>
      <c r="B186" s="121" t="s">
        <v>434</v>
      </c>
      <c r="C186" s="117" t="s">
        <v>384</v>
      </c>
    </row>
    <row r="187" spans="1:3">
      <c r="A187" s="117" t="s">
        <v>675</v>
      </c>
      <c r="B187" s="117" t="s">
        <v>1684</v>
      </c>
    </row>
    <row r="188" spans="1:3" ht="43.5">
      <c r="A188" s="117" t="s">
        <v>676</v>
      </c>
      <c r="B188" s="117" t="s">
        <v>1692</v>
      </c>
    </row>
    <row r="189" spans="1:3">
      <c r="A189" s="117" t="s">
        <v>677</v>
      </c>
      <c r="B189" s="121" t="s">
        <v>684</v>
      </c>
      <c r="C189" s="117" t="s">
        <v>384</v>
      </c>
    </row>
    <row r="190" spans="1:3" ht="130.5">
      <c r="A190" s="117" t="s">
        <v>678</v>
      </c>
      <c r="B190" s="117" t="s">
        <v>1693</v>
      </c>
    </row>
    <row r="191" spans="1:3">
      <c r="A191" s="117" t="s">
        <v>679</v>
      </c>
      <c r="B191" s="121" t="s">
        <v>1502</v>
      </c>
      <c r="C191" s="117" t="s">
        <v>384</v>
      </c>
    </row>
    <row r="194" spans="1:3">
      <c r="A194" s="14" t="s">
        <v>1694</v>
      </c>
      <c r="B194" s="14" t="s">
        <v>1695</v>
      </c>
    </row>
    <row r="195" spans="1:3">
      <c r="A195" s="117" t="s">
        <v>669</v>
      </c>
      <c r="B195" s="121" t="s">
        <v>434</v>
      </c>
      <c r="C195" s="117" t="s">
        <v>384</v>
      </c>
    </row>
    <row r="196" spans="1:3">
      <c r="A196" s="117" t="s">
        <v>675</v>
      </c>
      <c r="B196" s="117" t="s">
        <v>1684</v>
      </c>
    </row>
    <row r="197" spans="1:3" ht="29">
      <c r="A197" s="117" t="s">
        <v>676</v>
      </c>
      <c r="B197" s="117" t="s">
        <v>1696</v>
      </c>
    </row>
    <row r="198" spans="1:3">
      <c r="A198" s="117" t="s">
        <v>677</v>
      </c>
      <c r="B198" s="121" t="s">
        <v>1505</v>
      </c>
      <c r="C198" s="117" t="s">
        <v>384</v>
      </c>
    </row>
    <row r="199" spans="1:3" ht="43.5">
      <c r="A199" s="117" t="s">
        <v>678</v>
      </c>
      <c r="B199" s="117" t="s">
        <v>1697</v>
      </c>
    </row>
    <row r="200" spans="1:3">
      <c r="A200" s="117" t="s">
        <v>679</v>
      </c>
      <c r="B200" s="121" t="s">
        <v>1502</v>
      </c>
      <c r="C200" s="117" t="s">
        <v>384</v>
      </c>
    </row>
    <row r="202" spans="1:3">
      <c r="A202" s="14" t="s">
        <v>1698</v>
      </c>
      <c r="B202" s="14" t="s">
        <v>1699</v>
      </c>
    </row>
    <row r="203" spans="1:3">
      <c r="A203" s="117" t="s">
        <v>669</v>
      </c>
      <c r="B203" s="121" t="s">
        <v>434</v>
      </c>
      <c r="C203" s="117" t="s">
        <v>384</v>
      </c>
    </row>
    <row r="204" spans="1:3">
      <c r="A204" s="117" t="s">
        <v>675</v>
      </c>
      <c r="B204" s="117" t="s">
        <v>1684</v>
      </c>
    </row>
    <row r="205" spans="1:3" ht="29">
      <c r="A205" s="117" t="s">
        <v>676</v>
      </c>
      <c r="B205" s="117" t="s">
        <v>1700</v>
      </c>
    </row>
    <row r="206" spans="1:3">
      <c r="A206" s="117" t="s">
        <v>677</v>
      </c>
      <c r="B206" s="121" t="s">
        <v>684</v>
      </c>
      <c r="C206" s="117" t="s">
        <v>384</v>
      </c>
    </row>
    <row r="207" spans="1:3" ht="58">
      <c r="A207" s="117" t="s">
        <v>678</v>
      </c>
      <c r="B207" s="117" t="s">
        <v>1701</v>
      </c>
    </row>
    <row r="208" spans="1:3">
      <c r="A208" s="117" t="s">
        <v>679</v>
      </c>
      <c r="B208" s="121" t="s">
        <v>1502</v>
      </c>
      <c r="C208" s="117" t="s">
        <v>384</v>
      </c>
    </row>
    <row r="210" spans="1:3">
      <c r="A210" s="14" t="s">
        <v>1702</v>
      </c>
      <c r="B210" s="14" t="s">
        <v>1703</v>
      </c>
    </row>
    <row r="211" spans="1:3">
      <c r="A211" s="117" t="s">
        <v>669</v>
      </c>
      <c r="B211" s="121" t="s">
        <v>434</v>
      </c>
      <c r="C211" s="117" t="s">
        <v>384</v>
      </c>
    </row>
    <row r="212" spans="1:3">
      <c r="A212" s="117" t="s">
        <v>675</v>
      </c>
      <c r="B212" s="117" t="s">
        <v>1684</v>
      </c>
    </row>
    <row r="213" spans="1:3" ht="29">
      <c r="A213" s="117" t="s">
        <v>676</v>
      </c>
      <c r="B213" s="117" t="s">
        <v>1685</v>
      </c>
    </row>
    <row r="214" spans="1:3">
      <c r="A214" s="117" t="s">
        <v>677</v>
      </c>
      <c r="B214" s="121" t="s">
        <v>684</v>
      </c>
      <c r="C214" s="117" t="s">
        <v>384</v>
      </c>
    </row>
    <row r="215" spans="1:3" ht="101.5">
      <c r="A215" s="117" t="s">
        <v>678</v>
      </c>
      <c r="B215" s="117" t="s">
        <v>1686</v>
      </c>
    </row>
    <row r="216" spans="1:3">
      <c r="A216" s="117" t="s">
        <v>679</v>
      </c>
      <c r="B216" s="121" t="s">
        <v>683</v>
      </c>
      <c r="C216" s="117" t="s">
        <v>384</v>
      </c>
    </row>
    <row r="218" spans="1:3">
      <c r="A218" s="14" t="s">
        <v>1704</v>
      </c>
      <c r="B218" s="14" t="s">
        <v>1705</v>
      </c>
    </row>
    <row r="219" spans="1:3">
      <c r="A219" s="117" t="s">
        <v>669</v>
      </c>
      <c r="B219" s="121" t="s">
        <v>434</v>
      </c>
      <c r="C219" s="117" t="s">
        <v>384</v>
      </c>
    </row>
    <row r="220" spans="1:3">
      <c r="A220" s="117" t="s">
        <v>675</v>
      </c>
      <c r="B220" s="117" t="s">
        <v>1684</v>
      </c>
    </row>
    <row r="221" spans="1:3" ht="29">
      <c r="A221" s="117" t="s">
        <v>676</v>
      </c>
      <c r="B221" s="117" t="s">
        <v>1706</v>
      </c>
    </row>
    <row r="222" spans="1:3">
      <c r="A222" s="117" t="s">
        <v>677</v>
      </c>
      <c r="B222" s="121" t="s">
        <v>684</v>
      </c>
      <c r="C222" s="117" t="s">
        <v>384</v>
      </c>
    </row>
    <row r="223" spans="1:3" ht="130.5">
      <c r="A223" s="117" t="s">
        <v>678</v>
      </c>
      <c r="B223" s="117" t="s">
        <v>1707</v>
      </c>
    </row>
    <row r="224" spans="1:3">
      <c r="A224" s="117" t="s">
        <v>679</v>
      </c>
      <c r="B224" s="121" t="s">
        <v>1502</v>
      </c>
      <c r="C224" s="117" t="s">
        <v>384</v>
      </c>
    </row>
    <row r="226" spans="1:3">
      <c r="A226" s="14" t="s">
        <v>1708</v>
      </c>
      <c r="B226" s="14" t="s">
        <v>1709</v>
      </c>
    </row>
    <row r="227" spans="1:3">
      <c r="A227" s="117" t="s">
        <v>669</v>
      </c>
      <c r="B227" s="121" t="s">
        <v>434</v>
      </c>
      <c r="C227" s="117" t="s">
        <v>384</v>
      </c>
    </row>
    <row r="228" spans="1:3">
      <c r="A228" s="117" t="s">
        <v>675</v>
      </c>
      <c r="B228" s="117" t="s">
        <v>1684</v>
      </c>
    </row>
    <row r="229" spans="1:3">
      <c r="A229" s="117" t="s">
        <v>676</v>
      </c>
      <c r="B229" s="117" t="s">
        <v>1710</v>
      </c>
    </row>
    <row r="230" spans="1:3">
      <c r="A230" s="117" t="s">
        <v>677</v>
      </c>
      <c r="B230" s="121" t="s">
        <v>684</v>
      </c>
      <c r="C230" s="117" t="s">
        <v>384</v>
      </c>
    </row>
    <row r="231" spans="1:3" ht="43.5">
      <c r="A231" s="117" t="s">
        <v>678</v>
      </c>
      <c r="B231" s="117" t="s">
        <v>1711</v>
      </c>
    </row>
    <row r="232" spans="1:3">
      <c r="A232" s="117" t="s">
        <v>679</v>
      </c>
      <c r="B232" s="121" t="s">
        <v>683</v>
      </c>
      <c r="C232" s="117" t="s">
        <v>384</v>
      </c>
    </row>
    <row r="234" spans="1:3">
      <c r="A234" s="14" t="s">
        <v>1712</v>
      </c>
      <c r="B234" s="14" t="s">
        <v>1713</v>
      </c>
    </row>
    <row r="235" spans="1:3">
      <c r="A235" s="117" t="s">
        <v>669</v>
      </c>
      <c r="B235" s="121" t="s">
        <v>434</v>
      </c>
      <c r="C235" s="117" t="s">
        <v>384</v>
      </c>
    </row>
    <row r="236" spans="1:3">
      <c r="A236" s="117" t="s">
        <v>675</v>
      </c>
      <c r="B236" s="117" t="s">
        <v>1684</v>
      </c>
    </row>
    <row r="237" spans="1:3">
      <c r="A237" s="117" t="s">
        <v>676</v>
      </c>
      <c r="B237" s="117" t="s">
        <v>1714</v>
      </c>
    </row>
    <row r="238" spans="1:3">
      <c r="A238" s="117" t="s">
        <v>677</v>
      </c>
      <c r="B238" s="121" t="s">
        <v>684</v>
      </c>
      <c r="C238" s="117" t="s">
        <v>384</v>
      </c>
    </row>
    <row r="239" spans="1:3" ht="101.5">
      <c r="A239" s="117" t="s">
        <v>678</v>
      </c>
      <c r="B239" s="117" t="s">
        <v>1715</v>
      </c>
    </row>
    <row r="240" spans="1:3">
      <c r="A240" s="117" t="s">
        <v>679</v>
      </c>
      <c r="B240" s="121" t="s">
        <v>1502</v>
      </c>
      <c r="C240" s="117" t="s">
        <v>384</v>
      </c>
    </row>
    <row r="241" spans="1:3">
      <c r="C241" s="89"/>
    </row>
    <row r="242" spans="1:3">
      <c r="A242" s="19" t="s">
        <v>603</v>
      </c>
      <c r="C242" s="89"/>
    </row>
    <row r="244" spans="1:3">
      <c r="A244" s="28" t="s">
        <v>815</v>
      </c>
      <c r="B244" s="29"/>
      <c r="C244" s="30"/>
    </row>
    <row r="245" spans="1:3">
      <c r="A245" s="117" t="s">
        <v>685</v>
      </c>
      <c r="B245" s="121" t="s">
        <v>434</v>
      </c>
      <c r="C245" s="117" t="s">
        <v>384</v>
      </c>
    </row>
    <row r="246" spans="1:3">
      <c r="A246" s="117" t="s">
        <v>701</v>
      </c>
      <c r="B246" s="117" t="s">
        <v>29</v>
      </c>
    </row>
    <row r="247" spans="1:3">
      <c r="A247" s="117" t="s">
        <v>382</v>
      </c>
      <c r="B247" s="117" t="s">
        <v>1148</v>
      </c>
    </row>
    <row r="248" spans="1:3">
      <c r="A248" s="117" t="s">
        <v>702</v>
      </c>
      <c r="B248" s="121" t="s">
        <v>681</v>
      </c>
      <c r="C248" s="117" t="s">
        <v>384</v>
      </c>
    </row>
    <row r="249" spans="1:3">
      <c r="A249" s="117" t="s">
        <v>703</v>
      </c>
      <c r="B249" s="117" t="s">
        <v>1149</v>
      </c>
    </row>
    <row r="250" spans="1:3">
      <c r="A250" s="117" t="s">
        <v>704</v>
      </c>
      <c r="B250" s="121" t="s">
        <v>683</v>
      </c>
      <c r="C250" s="117" t="s">
        <v>384</v>
      </c>
    </row>
    <row r="252" spans="1:3">
      <c r="A252" s="19" t="s">
        <v>603</v>
      </c>
    </row>
    <row r="254" spans="1:3">
      <c r="A254" s="28" t="s">
        <v>816</v>
      </c>
      <c r="B254" s="29"/>
      <c r="C254" s="30"/>
    </row>
    <row r="255" spans="1:3">
      <c r="A255" s="117" t="s">
        <v>705</v>
      </c>
      <c r="B255" s="121" t="s">
        <v>707</v>
      </c>
      <c r="C255" s="117" t="s">
        <v>384</v>
      </c>
    </row>
    <row r="256" spans="1:3">
      <c r="A256" s="117" t="s">
        <v>710</v>
      </c>
    </row>
    <row r="257" spans="1:3" ht="29">
      <c r="A257" s="117" t="s">
        <v>711</v>
      </c>
      <c r="B257" s="117" t="s">
        <v>712</v>
      </c>
    </row>
    <row r="259" spans="1:3">
      <c r="A259" s="19" t="s">
        <v>603</v>
      </c>
    </row>
    <row r="261" spans="1:3">
      <c r="A261" s="28" t="s">
        <v>817</v>
      </c>
      <c r="B261" s="29"/>
      <c r="C261" s="30"/>
    </row>
    <row r="262" spans="1:3" ht="58">
      <c r="A262" s="259" t="s">
        <v>1186</v>
      </c>
      <c r="B262" s="121" t="s">
        <v>1185</v>
      </c>
      <c r="C262" s="117" t="s">
        <v>384</v>
      </c>
    </row>
    <row r="264" spans="1:3">
      <c r="A264" s="100" t="s">
        <v>818</v>
      </c>
      <c r="B264" s="100"/>
    </row>
    <row r="265" spans="1:3">
      <c r="A265" s="28" t="s">
        <v>819</v>
      </c>
      <c r="B265" s="29"/>
      <c r="C265" s="30"/>
    </row>
    <row r="266" spans="1:3" ht="87">
      <c r="A266" s="259" t="s">
        <v>1208</v>
      </c>
      <c r="B266" s="121" t="s">
        <v>1185</v>
      </c>
      <c r="C266" s="117" t="s">
        <v>384</v>
      </c>
    </row>
    <row r="269" spans="1:3">
      <c r="A269" s="28" t="s">
        <v>820</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1239</v>
      </c>
      <c r="B1" s="100"/>
    </row>
    <row r="2" spans="1:3">
      <c r="A2" s="28" t="s">
        <v>1240</v>
      </c>
      <c r="B2" s="29"/>
      <c r="C2" s="30"/>
    </row>
    <row r="3" spans="1:3" s="125" customFormat="1">
      <c r="A3" s="124" t="s">
        <v>1242</v>
      </c>
      <c r="B3" s="117"/>
    </row>
    <row r="4" spans="1:3" s="125" customFormat="1">
      <c r="B4" s="117"/>
    </row>
    <row r="5" spans="1:3">
      <c r="A5" s="28" t="s">
        <v>1241</v>
      </c>
      <c r="B5" s="29"/>
      <c r="C5" s="30"/>
    </row>
    <row r="6" spans="1:3" s="125" customFormat="1">
      <c r="A6" s="124" t="s">
        <v>1243</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1177</v>
      </c>
      <c r="B1" s="100"/>
    </row>
    <row r="2" spans="1:3">
      <c r="A2" s="28" t="s">
        <v>1178</v>
      </c>
      <c r="B2" s="29"/>
      <c r="C2" s="30"/>
    </row>
    <row r="3" spans="1:3" s="125" customFormat="1">
      <c r="A3" s="124" t="s">
        <v>1179</v>
      </c>
      <c r="B3" s="117"/>
    </row>
    <row r="4" spans="1:3" s="125" customFormat="1">
      <c r="B4" s="117"/>
    </row>
    <row r="5" spans="1:3">
      <c r="A5" s="28" t="s">
        <v>1175</v>
      </c>
      <c r="B5" s="29"/>
      <c r="C5" s="30"/>
    </row>
    <row r="6" spans="1:3" s="125" customFormat="1">
      <c r="A6" s="124" t="s">
        <v>1180</v>
      </c>
      <c r="B6" s="121" t="s">
        <v>795</v>
      </c>
    </row>
    <row r="7" spans="1:3" s="125" customFormat="1">
      <c r="A7" s="124" t="s">
        <v>1181</v>
      </c>
      <c r="B7" s="121" t="s">
        <v>796</v>
      </c>
    </row>
    <row r="8" spans="1:3" s="125" customFormat="1">
      <c r="A8" s="124" t="s">
        <v>1182</v>
      </c>
      <c r="B8" s="121" t="s">
        <v>797</v>
      </c>
    </row>
    <row r="9" spans="1:3" s="125" customFormat="1">
      <c r="A9" s="124" t="s">
        <v>1183</v>
      </c>
      <c r="B9" s="121" t="s">
        <v>672</v>
      </c>
    </row>
    <row r="10" spans="1:3" s="125" customFormat="1">
      <c r="A10" s="124" t="s">
        <v>1244</v>
      </c>
      <c r="B10" s="121" t="s">
        <v>434</v>
      </c>
    </row>
    <row r="11" spans="1:3" s="125" customFormat="1">
      <c r="A11" s="124" t="s">
        <v>1184</v>
      </c>
      <c r="B11" s="121" t="s">
        <v>1176</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A2" sqref="A2:F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881</v>
      </c>
      <c r="B1" t="s">
        <v>907</v>
      </c>
      <c r="C1" t="s">
        <v>921</v>
      </c>
      <c r="D1" t="s">
        <v>922</v>
      </c>
      <c r="E1" t="s">
        <v>908</v>
      </c>
      <c r="F1" t="s">
        <v>923</v>
      </c>
      <c r="G1" t="s">
        <v>924</v>
      </c>
    </row>
    <row r="2" spans="1:7">
      <c r="A2" t="s">
        <v>898</v>
      </c>
      <c r="B2" t="s">
        <v>1602</v>
      </c>
      <c r="C2" t="s">
        <v>883</v>
      </c>
      <c r="D2" t="s">
        <v>1615</v>
      </c>
      <c r="E2" t="s">
        <v>1158</v>
      </c>
      <c r="F2" t="s">
        <v>898</v>
      </c>
      <c r="G2" t="s">
        <v>411</v>
      </c>
    </row>
    <row r="3" spans="1:7">
      <c r="A3" t="s">
        <v>898</v>
      </c>
      <c r="B3" t="s">
        <v>1602</v>
      </c>
      <c r="C3" t="s">
        <v>884</v>
      </c>
      <c r="D3" t="s">
        <v>1614</v>
      </c>
      <c r="E3" t="s">
        <v>913</v>
      </c>
      <c r="F3" t="s">
        <v>898</v>
      </c>
      <c r="G3" t="s">
        <v>411</v>
      </c>
    </row>
    <row r="4" spans="1:7">
      <c r="A4" t="s">
        <v>899</v>
      </c>
      <c r="B4" t="s">
        <v>1603</v>
      </c>
      <c r="C4" t="s">
        <v>885</v>
      </c>
      <c r="D4" t="s">
        <v>1618</v>
      </c>
      <c r="E4" t="s">
        <v>912</v>
      </c>
      <c r="F4" t="s">
        <v>899</v>
      </c>
      <c r="G4" t="s">
        <v>411</v>
      </c>
    </row>
    <row r="5" spans="1:7">
      <c r="A5" t="s">
        <v>899</v>
      </c>
      <c r="B5" t="s">
        <v>1603</v>
      </c>
      <c r="C5" t="s">
        <v>886</v>
      </c>
      <c r="D5" t="s">
        <v>1618</v>
      </c>
      <c r="E5" t="s">
        <v>912</v>
      </c>
      <c r="F5" t="s">
        <v>899</v>
      </c>
      <c r="G5" t="s">
        <v>411</v>
      </c>
    </row>
    <row r="6" spans="1:7">
      <c r="A6" t="s">
        <v>899</v>
      </c>
      <c r="B6" t="s">
        <v>1603</v>
      </c>
      <c r="C6" t="s">
        <v>887</v>
      </c>
      <c r="D6" t="s">
        <v>1620</v>
      </c>
      <c r="E6" t="s">
        <v>1158</v>
      </c>
      <c r="F6" t="s">
        <v>899</v>
      </c>
      <c r="G6" t="s">
        <v>411</v>
      </c>
    </row>
    <row r="7" spans="1:7">
      <c r="A7" t="s">
        <v>900</v>
      </c>
      <c r="B7" t="s">
        <v>1605</v>
      </c>
      <c r="C7" t="s">
        <v>892</v>
      </c>
      <c r="D7" t="s">
        <v>1627</v>
      </c>
      <c r="E7" t="s">
        <v>1424</v>
      </c>
      <c r="F7" t="s">
        <v>900</v>
      </c>
      <c r="G7" t="s">
        <v>411</v>
      </c>
    </row>
    <row r="8" spans="1:7">
      <c r="A8" t="s">
        <v>900</v>
      </c>
      <c r="B8" t="s">
        <v>1605</v>
      </c>
      <c r="C8" t="s">
        <v>893</v>
      </c>
      <c r="D8" t="s">
        <v>1627</v>
      </c>
      <c r="E8" t="s">
        <v>1424</v>
      </c>
      <c r="F8" t="s">
        <v>900</v>
      </c>
      <c r="G8" t="s">
        <v>411</v>
      </c>
    </row>
    <row r="9" spans="1:7">
      <c r="A9" t="s">
        <v>900</v>
      </c>
      <c r="B9" t="s">
        <v>1605</v>
      </c>
      <c r="C9" t="s">
        <v>894</v>
      </c>
      <c r="D9" t="s">
        <v>1627</v>
      </c>
      <c r="E9" t="s">
        <v>1424</v>
      </c>
      <c r="F9" t="s">
        <v>900</v>
      </c>
      <c r="G9" t="s">
        <v>411</v>
      </c>
    </row>
    <row r="10" spans="1:7">
      <c r="A10" t="s">
        <v>901</v>
      </c>
      <c r="B10" t="s">
        <v>1607</v>
      </c>
      <c r="C10" t="s">
        <v>891</v>
      </c>
      <c r="D10" t="s">
        <v>1632</v>
      </c>
      <c r="E10" t="s">
        <v>1424</v>
      </c>
      <c r="F10" t="s">
        <v>901</v>
      </c>
      <c r="G10" t="s">
        <v>411</v>
      </c>
    </row>
    <row r="11" spans="1:7">
      <c r="A11" t="s">
        <v>903</v>
      </c>
      <c r="B11" t="s">
        <v>1390</v>
      </c>
      <c r="C11" t="s">
        <v>751</v>
      </c>
      <c r="D11" t="s">
        <v>1633</v>
      </c>
      <c r="E11" t="s">
        <v>1423</v>
      </c>
      <c r="F11" t="s">
        <v>903</v>
      </c>
      <c r="G11" t="s">
        <v>411</v>
      </c>
    </row>
    <row r="12" spans="1:7">
      <c r="A12" t="s">
        <v>904</v>
      </c>
      <c r="B12" t="s">
        <v>1391</v>
      </c>
      <c r="C12" t="s">
        <v>895</v>
      </c>
      <c r="D12" t="s">
        <v>1634</v>
      </c>
      <c r="E12" t="s">
        <v>1425</v>
      </c>
      <c r="F12" t="s">
        <v>904</v>
      </c>
      <c r="G12" t="s">
        <v>411</v>
      </c>
    </row>
    <row r="13" spans="1:7">
      <c r="A13" t="s">
        <v>904</v>
      </c>
      <c r="B13" t="s">
        <v>1391</v>
      </c>
      <c r="C13" t="s">
        <v>896</v>
      </c>
      <c r="D13" t="s">
        <v>1634</v>
      </c>
      <c r="E13" t="s">
        <v>1425</v>
      </c>
      <c r="F13" t="s">
        <v>904</v>
      </c>
      <c r="G13" t="s">
        <v>411</v>
      </c>
    </row>
    <row r="14" spans="1:7">
      <c r="A14" t="s">
        <v>904</v>
      </c>
      <c r="B14" t="s">
        <v>1391</v>
      </c>
      <c r="C14" t="s">
        <v>888</v>
      </c>
      <c r="D14" t="s">
        <v>1634</v>
      </c>
      <c r="E14" t="s">
        <v>1425</v>
      </c>
      <c r="F14" t="s">
        <v>904</v>
      </c>
      <c r="G14" t="s">
        <v>411</v>
      </c>
    </row>
    <row r="15" spans="1:7">
      <c r="A15" t="s">
        <v>904</v>
      </c>
      <c r="B15" t="s">
        <v>1391</v>
      </c>
      <c r="C15" t="s">
        <v>889</v>
      </c>
      <c r="D15" t="s">
        <v>1634</v>
      </c>
      <c r="E15" t="s">
        <v>1425</v>
      </c>
      <c r="F15" t="s">
        <v>904</v>
      </c>
      <c r="G15" t="s">
        <v>411</v>
      </c>
    </row>
    <row r="16" spans="1:7">
      <c r="A16" t="s">
        <v>904</v>
      </c>
      <c r="B16" t="s">
        <v>1391</v>
      </c>
      <c r="C16" t="s">
        <v>890</v>
      </c>
      <c r="D16" t="s">
        <v>1634</v>
      </c>
      <c r="E16" t="s">
        <v>1425</v>
      </c>
      <c r="F16" t="s">
        <v>904</v>
      </c>
      <c r="G16" t="s">
        <v>411</v>
      </c>
    </row>
    <row r="17" spans="1:7">
      <c r="A17" t="s">
        <v>905</v>
      </c>
      <c r="B17" t="s">
        <v>1392</v>
      </c>
      <c r="C17" t="s">
        <v>753</v>
      </c>
      <c r="D17" t="s">
        <v>1635</v>
      </c>
      <c r="E17" t="s">
        <v>1422</v>
      </c>
      <c r="F17" t="s">
        <v>905</v>
      </c>
      <c r="G17" t="s">
        <v>411</v>
      </c>
    </row>
    <row r="18" spans="1:7">
      <c r="A18" t="s">
        <v>906</v>
      </c>
      <c r="B18" t="s">
        <v>1393</v>
      </c>
      <c r="C18" t="s">
        <v>836</v>
      </c>
      <c r="D18" t="s">
        <v>1636</v>
      </c>
      <c r="E18" t="s">
        <v>1257</v>
      </c>
      <c r="F18" t="s">
        <v>906</v>
      </c>
      <c r="G18" t="s">
        <v>411</v>
      </c>
    </row>
    <row r="19" spans="1:7">
      <c r="A19" t="s">
        <v>898</v>
      </c>
      <c r="B19" t="s">
        <v>1602</v>
      </c>
      <c r="C19" t="s">
        <v>884</v>
      </c>
      <c r="D19" t="s">
        <v>1615</v>
      </c>
      <c r="E19" t="s">
        <v>1158</v>
      </c>
      <c r="F19" t="s">
        <v>898</v>
      </c>
    </row>
    <row r="20" spans="1:7">
      <c r="A20" t="s">
        <v>899</v>
      </c>
      <c r="B20" t="s">
        <v>1603</v>
      </c>
      <c r="C20" t="s">
        <v>885</v>
      </c>
      <c r="D20" t="s">
        <v>1619</v>
      </c>
      <c r="E20" t="s">
        <v>913</v>
      </c>
      <c r="F20" t="s">
        <v>899</v>
      </c>
    </row>
    <row r="21" spans="1:7">
      <c r="A21" t="s">
        <v>899</v>
      </c>
      <c r="B21" t="s">
        <v>1603</v>
      </c>
      <c r="C21" t="s">
        <v>885</v>
      </c>
      <c r="D21" t="s">
        <v>1620</v>
      </c>
      <c r="E21" t="s">
        <v>1158</v>
      </c>
      <c r="F21" t="s">
        <v>899</v>
      </c>
    </row>
    <row r="22" spans="1:7">
      <c r="A22" t="s">
        <v>899</v>
      </c>
      <c r="B22" t="s">
        <v>1603</v>
      </c>
      <c r="C22" t="s">
        <v>885</v>
      </c>
      <c r="D22" t="s">
        <v>1622</v>
      </c>
      <c r="E22" t="s">
        <v>1424</v>
      </c>
      <c r="F22" t="s">
        <v>899</v>
      </c>
    </row>
    <row r="23" spans="1:7">
      <c r="A23" t="s">
        <v>899</v>
      </c>
      <c r="B23" t="s">
        <v>1603</v>
      </c>
      <c r="C23" t="s">
        <v>885</v>
      </c>
      <c r="D23" t="s">
        <v>1621</v>
      </c>
      <c r="E23" t="s">
        <v>1312</v>
      </c>
      <c r="F23" t="s">
        <v>899</v>
      </c>
    </row>
    <row r="24" spans="1:7">
      <c r="A24" t="s">
        <v>899</v>
      </c>
      <c r="B24" t="s">
        <v>1603</v>
      </c>
      <c r="C24" t="s">
        <v>887</v>
      </c>
      <c r="D24" t="s">
        <v>1621</v>
      </c>
      <c r="E24" t="s">
        <v>1312</v>
      </c>
      <c r="F24" t="s">
        <v>899</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A5" sqref="A5:A22"/>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11" t="s">
        <v>915</v>
      </c>
      <c r="B3" s="311" t="s">
        <v>916</v>
      </c>
    </row>
    <row r="4" spans="1:13">
      <c r="A4" s="311" t="s">
        <v>917</v>
      </c>
      <c r="B4" s="320" t="s">
        <v>898</v>
      </c>
      <c r="C4" s="320" t="s">
        <v>899</v>
      </c>
      <c r="D4" s="320" t="s">
        <v>901</v>
      </c>
      <c r="E4" s="320" t="s">
        <v>903</v>
      </c>
      <c r="F4" s="320" t="s">
        <v>904</v>
      </c>
      <c r="G4" s="320" t="s">
        <v>918</v>
      </c>
      <c r="H4" s="320" t="s">
        <v>900</v>
      </c>
      <c r="I4" s="320" t="s">
        <v>905</v>
      </c>
      <c r="J4" s="320" t="s">
        <v>906</v>
      </c>
      <c r="K4" s="320" t="s">
        <v>919</v>
      </c>
    </row>
    <row r="5" spans="1:13">
      <c r="A5" s="309" t="s">
        <v>895</v>
      </c>
      <c r="B5" s="312"/>
      <c r="C5" s="312"/>
      <c r="D5" s="312"/>
      <c r="E5" s="312"/>
      <c r="F5" s="312">
        <v>1</v>
      </c>
      <c r="G5" s="312"/>
      <c r="H5" s="312"/>
      <c r="I5" s="312"/>
      <c r="J5" s="312"/>
      <c r="K5" s="312">
        <v>1</v>
      </c>
      <c r="M5" t="s">
        <v>895</v>
      </c>
    </row>
    <row r="6" spans="1:13">
      <c r="A6" s="309" t="s">
        <v>751</v>
      </c>
      <c r="B6" s="312"/>
      <c r="C6" s="312"/>
      <c r="D6" s="312"/>
      <c r="E6" s="312">
        <v>1</v>
      </c>
      <c r="F6" s="312"/>
      <c r="G6" s="312"/>
      <c r="H6" s="312"/>
      <c r="I6" s="312"/>
      <c r="J6" s="312"/>
      <c r="K6" s="312">
        <v>1</v>
      </c>
      <c r="M6" t="s">
        <v>751</v>
      </c>
    </row>
    <row r="7" spans="1:13">
      <c r="A7" s="309" t="s">
        <v>892</v>
      </c>
      <c r="B7" s="312"/>
      <c r="C7" s="312"/>
      <c r="D7" s="312"/>
      <c r="E7" s="312"/>
      <c r="F7" s="312"/>
      <c r="G7" s="312"/>
      <c r="H7" s="312">
        <v>1</v>
      </c>
      <c r="I7" s="312"/>
      <c r="J7" s="312"/>
      <c r="K7" s="312">
        <v>1</v>
      </c>
      <c r="M7" t="s">
        <v>892</v>
      </c>
    </row>
    <row r="8" spans="1:13">
      <c r="A8" s="309" t="s">
        <v>893</v>
      </c>
      <c r="B8" s="312"/>
      <c r="C8" s="312"/>
      <c r="D8" s="312"/>
      <c r="E8" s="312"/>
      <c r="F8" s="312"/>
      <c r="G8" s="312"/>
      <c r="H8" s="312">
        <v>1</v>
      </c>
      <c r="I8" s="312"/>
      <c r="J8" s="312"/>
      <c r="K8" s="312">
        <v>1</v>
      </c>
      <c r="M8" t="s">
        <v>893</v>
      </c>
    </row>
    <row r="9" spans="1:13">
      <c r="A9" s="309" t="s">
        <v>883</v>
      </c>
      <c r="B9" s="312">
        <v>1</v>
      </c>
      <c r="C9" s="312"/>
      <c r="D9" s="312"/>
      <c r="E9" s="312"/>
      <c r="F9" s="312"/>
      <c r="G9" s="312"/>
      <c r="H9" s="312"/>
      <c r="I9" s="312"/>
      <c r="J9" s="312"/>
      <c r="K9" s="312">
        <v>1</v>
      </c>
      <c r="M9" t="s">
        <v>883</v>
      </c>
    </row>
    <row r="10" spans="1:13">
      <c r="A10" s="309" t="s">
        <v>894</v>
      </c>
      <c r="B10" s="312"/>
      <c r="C10" s="312"/>
      <c r="D10" s="312"/>
      <c r="E10" s="312"/>
      <c r="F10" s="312"/>
      <c r="G10" s="312"/>
      <c r="H10" s="312">
        <v>1</v>
      </c>
      <c r="I10" s="312"/>
      <c r="J10" s="312"/>
      <c r="K10" s="312">
        <v>1</v>
      </c>
      <c r="M10" t="s">
        <v>894</v>
      </c>
    </row>
    <row r="11" spans="1:13">
      <c r="A11" s="309" t="s">
        <v>885</v>
      </c>
      <c r="B11" s="312"/>
      <c r="C11" s="312">
        <v>5</v>
      </c>
      <c r="D11" s="312"/>
      <c r="E11" s="312"/>
      <c r="F11" s="312"/>
      <c r="G11" s="312"/>
      <c r="H11" s="312"/>
      <c r="I11" s="312"/>
      <c r="J11" s="312"/>
      <c r="K11" s="312">
        <v>5</v>
      </c>
      <c r="M11" t="s">
        <v>885</v>
      </c>
    </row>
    <row r="12" spans="1:13">
      <c r="A12" s="309" t="s">
        <v>886</v>
      </c>
      <c r="B12" s="312"/>
      <c r="C12" s="312">
        <v>1</v>
      </c>
      <c r="D12" s="312"/>
      <c r="E12" s="312"/>
      <c r="F12" s="312"/>
      <c r="G12" s="312"/>
      <c r="H12" s="312"/>
      <c r="I12" s="312"/>
      <c r="J12" s="312"/>
      <c r="K12" s="312">
        <v>1</v>
      </c>
      <c r="M12" t="s">
        <v>886</v>
      </c>
    </row>
    <row r="13" spans="1:13">
      <c r="A13" s="309" t="s">
        <v>891</v>
      </c>
      <c r="B13" s="312"/>
      <c r="C13" s="312"/>
      <c r="D13" s="312">
        <v>1</v>
      </c>
      <c r="E13" s="312"/>
      <c r="F13" s="312"/>
      <c r="G13" s="312"/>
      <c r="H13" s="312"/>
      <c r="I13" s="312"/>
      <c r="J13" s="312"/>
      <c r="K13" s="312">
        <v>1</v>
      </c>
      <c r="M13" t="s">
        <v>891</v>
      </c>
    </row>
    <row r="14" spans="1:13">
      <c r="A14" s="309" t="s">
        <v>884</v>
      </c>
      <c r="B14" s="312">
        <v>2</v>
      </c>
      <c r="C14" s="312"/>
      <c r="D14" s="312"/>
      <c r="E14" s="312"/>
      <c r="F14" s="312"/>
      <c r="G14" s="312"/>
      <c r="H14" s="312"/>
      <c r="I14" s="312"/>
      <c r="J14" s="312"/>
      <c r="K14" s="312">
        <v>2</v>
      </c>
      <c r="M14" t="s">
        <v>884</v>
      </c>
    </row>
    <row r="15" spans="1:13">
      <c r="A15" s="309" t="s">
        <v>887</v>
      </c>
      <c r="B15" s="312"/>
      <c r="C15" s="312">
        <v>2</v>
      </c>
      <c r="D15" s="312"/>
      <c r="E15" s="312"/>
      <c r="F15" s="312"/>
      <c r="G15" s="312"/>
      <c r="H15" s="312"/>
      <c r="I15" s="312"/>
      <c r="J15" s="312"/>
      <c r="K15" s="312">
        <v>2</v>
      </c>
      <c r="M15" t="s">
        <v>887</v>
      </c>
    </row>
    <row r="16" spans="1:13">
      <c r="A16" s="309" t="s">
        <v>918</v>
      </c>
      <c r="B16" s="312"/>
      <c r="C16" s="312"/>
      <c r="D16" s="312"/>
      <c r="E16" s="312"/>
      <c r="F16" s="312"/>
      <c r="G16" s="312"/>
      <c r="H16" s="312"/>
      <c r="I16" s="312"/>
      <c r="J16" s="312"/>
      <c r="K16" s="312"/>
    </row>
    <row r="17" spans="1:14">
      <c r="A17" s="309" t="s">
        <v>888</v>
      </c>
      <c r="B17" s="312"/>
      <c r="C17" s="312"/>
      <c r="D17" s="312"/>
      <c r="E17" s="312"/>
      <c r="F17" s="312">
        <v>1</v>
      </c>
      <c r="G17" s="312"/>
      <c r="H17" s="312"/>
      <c r="I17" s="312"/>
      <c r="J17" s="312"/>
      <c r="K17" s="312">
        <v>1</v>
      </c>
      <c r="M17" t="s">
        <v>888</v>
      </c>
    </row>
    <row r="18" spans="1:14">
      <c r="A18" s="309" t="s">
        <v>889</v>
      </c>
      <c r="B18" s="312"/>
      <c r="C18" s="312"/>
      <c r="D18" s="312"/>
      <c r="E18" s="312"/>
      <c r="F18" s="312">
        <v>1</v>
      </c>
      <c r="G18" s="312"/>
      <c r="H18" s="312"/>
      <c r="I18" s="312"/>
      <c r="J18" s="312"/>
      <c r="K18" s="312">
        <v>1</v>
      </c>
      <c r="M18" t="s">
        <v>889</v>
      </c>
    </row>
    <row r="19" spans="1:14">
      <c r="A19" s="309" t="s">
        <v>890</v>
      </c>
      <c r="B19" s="312"/>
      <c r="C19" s="312"/>
      <c r="D19" s="312"/>
      <c r="E19" s="312"/>
      <c r="F19" s="312">
        <v>1</v>
      </c>
      <c r="G19" s="312"/>
      <c r="H19" s="312"/>
      <c r="I19" s="312"/>
      <c r="J19" s="312"/>
      <c r="K19" s="312">
        <v>1</v>
      </c>
      <c r="M19" t="s">
        <v>890</v>
      </c>
    </row>
    <row r="20" spans="1:14">
      <c r="A20" s="309" t="s">
        <v>753</v>
      </c>
      <c r="B20" s="312"/>
      <c r="C20" s="312"/>
      <c r="D20" s="312"/>
      <c r="E20" s="312"/>
      <c r="F20" s="312"/>
      <c r="G20" s="312"/>
      <c r="H20" s="312"/>
      <c r="I20" s="312">
        <v>1</v>
      </c>
      <c r="J20" s="312"/>
      <c r="K20" s="312">
        <v>1</v>
      </c>
      <c r="M20" t="s">
        <v>753</v>
      </c>
    </row>
    <row r="21" spans="1:14">
      <c r="A21" s="309" t="s">
        <v>836</v>
      </c>
      <c r="B21" s="312"/>
      <c r="C21" s="312"/>
      <c r="D21" s="312"/>
      <c r="E21" s="312"/>
      <c r="F21" s="312"/>
      <c r="G21" s="312"/>
      <c r="H21" s="312"/>
      <c r="I21" s="312"/>
      <c r="J21" s="312">
        <v>1</v>
      </c>
      <c r="K21" s="312">
        <v>1</v>
      </c>
      <c r="M21" t="s">
        <v>836</v>
      </c>
      <c r="N21" t="s">
        <v>896</v>
      </c>
    </row>
    <row r="22" spans="1:14">
      <c r="A22" s="309" t="s">
        <v>896</v>
      </c>
      <c r="B22" s="312"/>
      <c r="C22" s="312"/>
      <c r="D22" s="312"/>
      <c r="E22" s="312"/>
      <c r="F22" s="312">
        <v>1</v>
      </c>
      <c r="G22" s="312"/>
      <c r="H22" s="312"/>
      <c r="I22" s="312"/>
      <c r="J22" s="312"/>
      <c r="K22" s="312">
        <v>1</v>
      </c>
      <c r="N22" t="s">
        <v>897</v>
      </c>
    </row>
    <row r="23" spans="1:14">
      <c r="A23" s="309" t="s">
        <v>919</v>
      </c>
      <c r="B23" s="312">
        <v>3</v>
      </c>
      <c r="C23" s="312">
        <v>8</v>
      </c>
      <c r="D23" s="312">
        <v>1</v>
      </c>
      <c r="E23" s="312">
        <v>1</v>
      </c>
      <c r="F23" s="312">
        <v>5</v>
      </c>
      <c r="G23" s="312"/>
      <c r="H23" s="312">
        <v>3</v>
      </c>
      <c r="I23" s="312">
        <v>1</v>
      </c>
      <c r="J23" s="312">
        <v>1</v>
      </c>
      <c r="K23" s="31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D4" sqref="D4"/>
    </sheetView>
  </sheetViews>
  <sheetFormatPr defaultColWidth="8.7265625" defaultRowHeight="14.5"/>
  <cols>
    <col min="1" max="1" width="7.1796875" style="125" customWidth="1"/>
    <col min="2" max="2" width="37" style="125" customWidth="1"/>
    <col min="3" max="3" width="5.453125" style="128" bestFit="1" customWidth="1"/>
    <col min="4" max="4" width="30.6328125" style="125"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3" s="11" customFormat="1">
      <c r="A1" s="110" t="s">
        <v>881</v>
      </c>
      <c r="B1" s="147" t="s">
        <v>907</v>
      </c>
      <c r="C1" s="111" t="s">
        <v>921</v>
      </c>
      <c r="D1" s="110" t="s">
        <v>922</v>
      </c>
      <c r="E1" s="110" t="s">
        <v>908</v>
      </c>
      <c r="F1" s="111" t="s">
        <v>923</v>
      </c>
      <c r="G1" s="109" t="s">
        <v>924</v>
      </c>
      <c r="H1" s="110" t="s">
        <v>615</v>
      </c>
      <c r="I1" s="110" t="s">
        <v>926</v>
      </c>
      <c r="K1" s="316" t="s">
        <v>1330</v>
      </c>
      <c r="L1" s="316">
        <f>VALUE(RIGHT(Planning!B10,1))</f>
        <v>5</v>
      </c>
      <c r="M1" s="125" t="s">
        <v>1331</v>
      </c>
    </row>
    <row r="2" spans="1:13" s="125" customFormat="1">
      <c r="A2" s="320" t="s">
        <v>898</v>
      </c>
      <c r="B2" s="320" t="s">
        <v>1602</v>
      </c>
      <c r="C2" s="320" t="s">
        <v>883</v>
      </c>
      <c r="D2" s="320" t="s">
        <v>1615</v>
      </c>
      <c r="E2" s="320" t="s">
        <v>1158</v>
      </c>
      <c r="F2" s="320" t="s">
        <v>898</v>
      </c>
      <c r="G2" s="320" t="s">
        <v>411</v>
      </c>
      <c r="H2" s="317" t="str">
        <f t="shared" ref="H2" si="0">VLOOKUP(E2,tbl_RolePAlookup,2,FALSE)</f>
        <v>[4] Engineering</v>
      </c>
      <c r="I2" s="318">
        <f t="shared" ref="I2" si="1">VLOOKUP(C2,tbl_PAcount,L$1+1,FALSE)</f>
        <v>10</v>
      </c>
    </row>
    <row r="3" spans="1:13" s="125" customFormat="1">
      <c r="A3" s="320" t="s">
        <v>898</v>
      </c>
      <c r="B3" s="320" t="s">
        <v>1602</v>
      </c>
      <c r="C3" s="320" t="s">
        <v>884</v>
      </c>
      <c r="D3" s="320" t="s">
        <v>1614</v>
      </c>
      <c r="E3" s="320" t="s">
        <v>913</v>
      </c>
      <c r="F3" s="320" t="s">
        <v>898</v>
      </c>
      <c r="G3" s="320" t="s">
        <v>411</v>
      </c>
      <c r="H3" s="317" t="str">
        <f t="shared" ref="H3:H18" si="2">VLOOKUP(E3,tbl_RolePAlookup,2,FALSE)</f>
        <v>[4] Engineering</v>
      </c>
      <c r="I3" s="318">
        <f t="shared" ref="I3:I18" si="3">VLOOKUP(C3,tbl_PAcount,L$1+1,FALSE)</f>
        <v>10</v>
      </c>
    </row>
    <row r="4" spans="1:13" s="125" customFormat="1">
      <c r="A4" s="320" t="s">
        <v>899</v>
      </c>
      <c r="B4" s="320" t="s">
        <v>1603</v>
      </c>
      <c r="C4" s="320" t="s">
        <v>885</v>
      </c>
      <c r="D4" s="320" t="s">
        <v>1618</v>
      </c>
      <c r="E4" s="320" t="s">
        <v>912</v>
      </c>
      <c r="F4" s="320" t="s">
        <v>899</v>
      </c>
      <c r="G4" s="320" t="s">
        <v>411</v>
      </c>
      <c r="H4" s="317" t="str">
        <f t="shared" si="2"/>
        <v>[4] Engineering</v>
      </c>
      <c r="I4" s="318">
        <f t="shared" si="3"/>
        <v>6</v>
      </c>
    </row>
    <row r="5" spans="1:13" s="125" customFormat="1">
      <c r="A5" s="320" t="s">
        <v>899</v>
      </c>
      <c r="B5" s="320" t="s">
        <v>1603</v>
      </c>
      <c r="C5" s="320" t="s">
        <v>886</v>
      </c>
      <c r="D5" s="320" t="s">
        <v>1618</v>
      </c>
      <c r="E5" s="320" t="s">
        <v>912</v>
      </c>
      <c r="F5" s="320" t="s">
        <v>899</v>
      </c>
      <c r="G5" s="320" t="s">
        <v>411</v>
      </c>
      <c r="H5" s="317" t="str">
        <f t="shared" si="2"/>
        <v>[4] Engineering</v>
      </c>
      <c r="I5" s="318">
        <f t="shared" si="3"/>
        <v>14</v>
      </c>
    </row>
    <row r="6" spans="1:13" s="125" customFormat="1">
      <c r="A6" s="320" t="s">
        <v>899</v>
      </c>
      <c r="B6" s="320" t="s">
        <v>1603</v>
      </c>
      <c r="C6" s="320" t="s">
        <v>887</v>
      </c>
      <c r="D6" s="320" t="s">
        <v>1620</v>
      </c>
      <c r="E6" s="320" t="s">
        <v>1158</v>
      </c>
      <c r="F6" s="320" t="s">
        <v>899</v>
      </c>
      <c r="G6" s="320" t="s">
        <v>411</v>
      </c>
      <c r="H6" s="317" t="str">
        <f t="shared" si="2"/>
        <v>[4] Engineering</v>
      </c>
      <c r="I6" s="318">
        <f t="shared" si="3"/>
        <v>7</v>
      </c>
    </row>
    <row r="7" spans="1:13" s="125" customFormat="1">
      <c r="A7" s="320" t="s">
        <v>900</v>
      </c>
      <c r="B7" s="320" t="s">
        <v>1605</v>
      </c>
      <c r="C7" s="320" t="s">
        <v>892</v>
      </c>
      <c r="D7" s="320" t="s">
        <v>1627</v>
      </c>
      <c r="E7" s="320" t="s">
        <v>1424</v>
      </c>
      <c r="F7" s="320" t="s">
        <v>900</v>
      </c>
      <c r="G7" s="320" t="s">
        <v>411</v>
      </c>
      <c r="H7" s="317" t="str">
        <f t="shared" si="2"/>
        <v>[3] Project Management</v>
      </c>
      <c r="I7" s="318">
        <f t="shared" si="3"/>
        <v>6</v>
      </c>
    </row>
    <row r="8" spans="1:13" s="125" customFormat="1">
      <c r="A8" s="320" t="s">
        <v>900</v>
      </c>
      <c r="B8" s="320" t="s">
        <v>1605</v>
      </c>
      <c r="C8" s="320" t="s">
        <v>893</v>
      </c>
      <c r="D8" s="320" t="s">
        <v>1627</v>
      </c>
      <c r="E8" s="320" t="s">
        <v>1424</v>
      </c>
      <c r="F8" s="320" t="s">
        <v>900</v>
      </c>
      <c r="G8" s="320" t="s">
        <v>411</v>
      </c>
      <c r="H8" s="317" t="str">
        <f t="shared" si="2"/>
        <v>[3] Project Management</v>
      </c>
      <c r="I8" s="318">
        <f t="shared" si="3"/>
        <v>10</v>
      </c>
    </row>
    <row r="9" spans="1:13" s="125" customFormat="1">
      <c r="A9" s="320" t="s">
        <v>900</v>
      </c>
      <c r="B9" s="320" t="s">
        <v>1605</v>
      </c>
      <c r="C9" s="320" t="s">
        <v>894</v>
      </c>
      <c r="D9" s="320" t="s">
        <v>1627</v>
      </c>
      <c r="E9" s="320" t="s">
        <v>1424</v>
      </c>
      <c r="F9" s="320" t="s">
        <v>900</v>
      </c>
      <c r="G9" s="320" t="s">
        <v>411</v>
      </c>
      <c r="H9" s="317" t="str">
        <f t="shared" si="2"/>
        <v>[3] Project Management</v>
      </c>
      <c r="I9" s="318">
        <f t="shared" si="3"/>
        <v>15</v>
      </c>
    </row>
    <row r="10" spans="1:13" s="125" customFormat="1">
      <c r="A10" s="320" t="s">
        <v>901</v>
      </c>
      <c r="B10" s="320" t="s">
        <v>1607</v>
      </c>
      <c r="C10" s="320" t="s">
        <v>891</v>
      </c>
      <c r="D10" s="320" t="s">
        <v>1632</v>
      </c>
      <c r="E10" s="320" t="s">
        <v>1424</v>
      </c>
      <c r="F10" s="320" t="s">
        <v>901</v>
      </c>
      <c r="G10" s="320" t="s">
        <v>411</v>
      </c>
      <c r="H10" s="317" t="str">
        <f t="shared" si="2"/>
        <v>[3] Project Management</v>
      </c>
      <c r="I10" s="318">
        <f t="shared" si="3"/>
        <v>8</v>
      </c>
    </row>
    <row r="11" spans="1:13" s="125" customFormat="1">
      <c r="A11" s="320" t="s">
        <v>903</v>
      </c>
      <c r="B11" s="320" t="s">
        <v>1390</v>
      </c>
      <c r="C11" s="320" t="s">
        <v>751</v>
      </c>
      <c r="D11" s="320" t="s">
        <v>1633</v>
      </c>
      <c r="E11" s="320" t="s">
        <v>1423</v>
      </c>
      <c r="F11" s="320" t="s">
        <v>903</v>
      </c>
      <c r="G11" s="320" t="s">
        <v>411</v>
      </c>
      <c r="H11" s="317" t="str">
        <f t="shared" si="2"/>
        <v>[5] Configuration Management</v>
      </c>
      <c r="I11" s="318">
        <f t="shared" si="3"/>
        <v>7</v>
      </c>
    </row>
    <row r="12" spans="1:13" s="125" customFormat="1">
      <c r="A12" s="320" t="s">
        <v>904</v>
      </c>
      <c r="B12" s="320" t="s">
        <v>1391</v>
      </c>
      <c r="C12" s="320" t="s">
        <v>895</v>
      </c>
      <c r="D12" s="320" t="s">
        <v>1634</v>
      </c>
      <c r="E12" s="320" t="s">
        <v>1425</v>
      </c>
      <c r="F12" s="320" t="s">
        <v>904</v>
      </c>
      <c r="G12" s="320" t="s">
        <v>411</v>
      </c>
      <c r="H12" s="317" t="str">
        <f t="shared" si="2"/>
        <v>[6] Process Management</v>
      </c>
      <c r="I12" s="318">
        <f t="shared" si="3"/>
        <v>11</v>
      </c>
    </row>
    <row r="13" spans="1:13">
      <c r="A13" s="320" t="s">
        <v>904</v>
      </c>
      <c r="B13" s="320" t="s">
        <v>1391</v>
      </c>
      <c r="C13" s="320" t="s">
        <v>896</v>
      </c>
      <c r="D13" s="320" t="s">
        <v>1634</v>
      </c>
      <c r="E13" s="320" t="s">
        <v>1425</v>
      </c>
      <c r="F13" s="320" t="s">
        <v>904</v>
      </c>
      <c r="G13" s="320" t="s">
        <v>411</v>
      </c>
      <c r="H13" s="317" t="str">
        <f t="shared" si="2"/>
        <v>[6] Process Management</v>
      </c>
      <c r="I13" s="318">
        <f t="shared" si="3"/>
        <v>8</v>
      </c>
    </row>
    <row r="14" spans="1:13">
      <c r="A14" s="320" t="s">
        <v>904</v>
      </c>
      <c r="B14" s="320" t="s">
        <v>1391</v>
      </c>
      <c r="C14" s="320" t="s">
        <v>888</v>
      </c>
      <c r="D14" s="320" t="s">
        <v>1634</v>
      </c>
      <c r="E14" s="320" t="s">
        <v>1425</v>
      </c>
      <c r="F14" s="320" t="s">
        <v>904</v>
      </c>
      <c r="G14" s="320" t="s">
        <v>411</v>
      </c>
      <c r="H14" s="317" t="str">
        <f t="shared" si="2"/>
        <v>[6] Process Management</v>
      </c>
      <c r="I14" s="318">
        <f t="shared" si="3"/>
        <v>22</v>
      </c>
    </row>
    <row r="15" spans="1:13">
      <c r="A15" s="320" t="s">
        <v>904</v>
      </c>
      <c r="B15" s="320" t="s">
        <v>1391</v>
      </c>
      <c r="C15" s="320" t="s">
        <v>889</v>
      </c>
      <c r="D15" s="320" t="s">
        <v>1634</v>
      </c>
      <c r="E15" s="320" t="s">
        <v>1425</v>
      </c>
      <c r="F15" s="320" t="s">
        <v>904</v>
      </c>
      <c r="G15" s="320" t="s">
        <v>411</v>
      </c>
      <c r="H15" s="317" t="str">
        <f t="shared" si="2"/>
        <v>[6] Process Management</v>
      </c>
      <c r="I15" s="318">
        <f t="shared" si="3"/>
        <v>11</v>
      </c>
    </row>
    <row r="16" spans="1:13">
      <c r="A16" s="320" t="s">
        <v>904</v>
      </c>
      <c r="B16" s="320" t="s">
        <v>1391</v>
      </c>
      <c r="C16" s="320" t="s">
        <v>890</v>
      </c>
      <c r="D16" s="320" t="s">
        <v>1634</v>
      </c>
      <c r="E16" s="320" t="s">
        <v>1425</v>
      </c>
      <c r="F16" s="320" t="s">
        <v>904</v>
      </c>
      <c r="G16" s="320" t="s">
        <v>411</v>
      </c>
      <c r="H16" s="317" t="str">
        <f t="shared" si="2"/>
        <v>[6] Process Management</v>
      </c>
      <c r="I16" s="318">
        <f t="shared" si="3"/>
        <v>11</v>
      </c>
    </row>
    <row r="17" spans="1:9">
      <c r="A17" s="320" t="s">
        <v>905</v>
      </c>
      <c r="B17" s="320" t="s">
        <v>1392</v>
      </c>
      <c r="C17" s="320" t="s">
        <v>753</v>
      </c>
      <c r="D17" s="320" t="s">
        <v>1635</v>
      </c>
      <c r="E17" s="320" t="s">
        <v>1422</v>
      </c>
      <c r="F17" s="320" t="s">
        <v>905</v>
      </c>
      <c r="G17" s="320" t="s">
        <v>411</v>
      </c>
      <c r="H17" s="317" t="str">
        <f t="shared" si="2"/>
        <v>[7] Organisational Training</v>
      </c>
      <c r="I17" s="318">
        <f t="shared" si="3"/>
        <v>9</v>
      </c>
    </row>
    <row r="18" spans="1:9">
      <c r="A18" s="320" t="s">
        <v>906</v>
      </c>
      <c r="B18" s="320" t="s">
        <v>1393</v>
      </c>
      <c r="C18" s="320" t="s">
        <v>836</v>
      </c>
      <c r="D18" s="320" t="s">
        <v>1636</v>
      </c>
      <c r="E18" s="320" t="s">
        <v>1257</v>
      </c>
      <c r="F18" s="320" t="s">
        <v>906</v>
      </c>
      <c r="G18" s="320" t="s">
        <v>411</v>
      </c>
      <c r="H18" s="317" t="str">
        <f t="shared" si="2"/>
        <v>[8] Process Quality Assurance</v>
      </c>
      <c r="I18" s="318">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16" t="s">
        <v>1330</v>
      </c>
      <c r="E1" s="316">
        <f>VALUE(RIGHT(Planning!B10,1))</f>
        <v>5</v>
      </c>
      <c r="F1" s="125" t="s">
        <v>1331</v>
      </c>
    </row>
    <row r="3" spans="1:10" ht="29">
      <c r="A3" s="311" t="s">
        <v>917</v>
      </c>
      <c r="B3" t="s">
        <v>1329</v>
      </c>
      <c r="D3" s="418" t="s">
        <v>1339</v>
      </c>
      <c r="E3" s="418" t="s">
        <v>926</v>
      </c>
      <c r="F3" s="419" t="s">
        <v>911</v>
      </c>
      <c r="G3" s="418" t="s">
        <v>1332</v>
      </c>
      <c r="H3" s="418" t="s">
        <v>1333</v>
      </c>
      <c r="I3" s="418" t="s">
        <v>1334</v>
      </c>
      <c r="J3" s="418" t="s">
        <v>1335</v>
      </c>
    </row>
    <row r="4" spans="1:10">
      <c r="A4" s="309" t="s">
        <v>992</v>
      </c>
      <c r="B4" s="312">
        <v>39</v>
      </c>
      <c r="D4" t="s">
        <v>992</v>
      </c>
      <c r="E4" s="312">
        <v>45</v>
      </c>
      <c r="F4">
        <f t="shared" ref="F4:F9" si="0">VLOOKUP($F$3,tbl_PAcount,$E$1+1,FALSE)</f>
        <v>6</v>
      </c>
      <c r="G4" s="319">
        <f>F4+E4</f>
        <v>51</v>
      </c>
      <c r="H4">
        <v>3</v>
      </c>
      <c r="I4" s="319">
        <f>H4*G4</f>
        <v>153</v>
      </c>
      <c r="J4" s="319">
        <f>I4/60</f>
        <v>2.5499999999999998</v>
      </c>
    </row>
    <row r="5" spans="1:10">
      <c r="A5" s="309" t="s">
        <v>993</v>
      </c>
      <c r="B5" s="312">
        <v>47</v>
      </c>
      <c r="D5" t="s">
        <v>993</v>
      </c>
      <c r="E5" s="312">
        <v>41</v>
      </c>
      <c r="F5" s="308">
        <f t="shared" si="0"/>
        <v>6</v>
      </c>
      <c r="G5" s="319">
        <f t="shared" ref="G5:G9" si="1">F5+E5</f>
        <v>47</v>
      </c>
      <c r="H5" s="308">
        <v>3</v>
      </c>
      <c r="I5" s="319">
        <f t="shared" ref="I5:I9" si="2">H5*G5</f>
        <v>141</v>
      </c>
      <c r="J5" s="319">
        <f t="shared" ref="J5:J9" si="3">I5/60</f>
        <v>2.35</v>
      </c>
    </row>
    <row r="6" spans="1:10">
      <c r="A6" s="309" t="s">
        <v>994</v>
      </c>
      <c r="B6" s="312">
        <v>7</v>
      </c>
      <c r="D6" t="s">
        <v>994</v>
      </c>
      <c r="E6" s="312">
        <v>7</v>
      </c>
      <c r="F6" s="308">
        <f t="shared" si="0"/>
        <v>6</v>
      </c>
      <c r="G6" s="319">
        <f t="shared" si="1"/>
        <v>13</v>
      </c>
      <c r="H6" s="308">
        <v>3</v>
      </c>
      <c r="I6" s="319">
        <f t="shared" si="2"/>
        <v>39</v>
      </c>
      <c r="J6" s="319">
        <f t="shared" si="3"/>
        <v>0.65</v>
      </c>
    </row>
    <row r="7" spans="1:10">
      <c r="A7" s="309" t="s">
        <v>995</v>
      </c>
      <c r="B7" s="312">
        <v>63</v>
      </c>
      <c r="D7" t="s">
        <v>995</v>
      </c>
      <c r="E7" s="312">
        <v>63</v>
      </c>
      <c r="F7" s="308">
        <f t="shared" si="0"/>
        <v>6</v>
      </c>
      <c r="G7" s="319">
        <f t="shared" si="1"/>
        <v>69</v>
      </c>
      <c r="H7" s="308">
        <v>3</v>
      </c>
      <c r="I7" s="319">
        <f t="shared" si="2"/>
        <v>207</v>
      </c>
      <c r="J7" s="319">
        <f t="shared" si="3"/>
        <v>3.45</v>
      </c>
    </row>
    <row r="8" spans="1:10">
      <c r="A8" s="309" t="s">
        <v>996</v>
      </c>
      <c r="B8" s="312">
        <v>9</v>
      </c>
      <c r="D8" t="s">
        <v>996</v>
      </c>
      <c r="E8" s="312">
        <v>9</v>
      </c>
      <c r="F8" s="308">
        <f t="shared" si="0"/>
        <v>6</v>
      </c>
      <c r="G8" s="319">
        <f t="shared" si="1"/>
        <v>15</v>
      </c>
      <c r="H8" s="308">
        <v>3</v>
      </c>
      <c r="I8" s="319">
        <f t="shared" si="2"/>
        <v>45</v>
      </c>
      <c r="J8" s="319">
        <f t="shared" si="3"/>
        <v>0.75</v>
      </c>
    </row>
    <row r="9" spans="1:10">
      <c r="A9" s="309" t="s">
        <v>1002</v>
      </c>
      <c r="B9" s="312">
        <v>6</v>
      </c>
      <c r="D9" t="s">
        <v>1002</v>
      </c>
      <c r="E9" s="312">
        <v>6</v>
      </c>
      <c r="F9" s="308">
        <f t="shared" si="0"/>
        <v>6</v>
      </c>
      <c r="G9" s="319">
        <f t="shared" si="1"/>
        <v>12</v>
      </c>
      <c r="H9" s="308">
        <v>3</v>
      </c>
      <c r="I9" s="319">
        <f t="shared" si="2"/>
        <v>36</v>
      </c>
      <c r="J9" s="319">
        <f t="shared" si="3"/>
        <v>0.6</v>
      </c>
    </row>
    <row r="10" spans="1:10">
      <c r="A10" s="309" t="s">
        <v>918</v>
      </c>
      <c r="B10" s="312"/>
    </row>
    <row r="11" spans="1:10">
      <c r="A11" s="309" t="s">
        <v>919</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79" workbookViewId="0">
      <selection activeCell="C94" sqref="C94:E110"/>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37" t="s">
        <v>1212</v>
      </c>
      <c r="B1" s="437"/>
      <c r="C1" s="437"/>
      <c r="D1" s="437"/>
      <c r="E1" s="437"/>
      <c r="F1" s="437"/>
      <c r="G1" s="437"/>
      <c r="H1" s="65"/>
      <c r="I1" s="140" t="s">
        <v>927</v>
      </c>
      <c r="J1" s="141" t="s">
        <v>928</v>
      </c>
      <c r="K1" s="135" t="s">
        <v>929</v>
      </c>
      <c r="L1" s="135" t="s">
        <v>930</v>
      </c>
      <c r="M1" s="136"/>
      <c r="N1" s="67"/>
      <c r="O1" s="67"/>
      <c r="P1" s="67"/>
    </row>
    <row r="2" spans="1:16" ht="14.5" customHeight="1">
      <c r="A2" s="438" t="str">
        <f>CONCATENATE(TEXT(Planning!B26,"[$-x-sysdate]dddd, mmmm dd, yyyy")," (Technology test)")</f>
        <v>Thursday, 08 April 2021 (Technology test)</v>
      </c>
      <c r="B2" s="438"/>
      <c r="C2" s="438"/>
      <c r="D2" s="438"/>
      <c r="E2" s="438"/>
      <c r="F2" s="438"/>
      <c r="G2" s="438"/>
      <c r="H2" s="65"/>
      <c r="I2" s="135"/>
      <c r="J2" s="135"/>
      <c r="K2" s="135"/>
      <c r="L2" s="136"/>
      <c r="M2" s="136"/>
      <c r="N2" s="67"/>
      <c r="O2" s="67"/>
      <c r="P2" s="67"/>
    </row>
    <row r="3" spans="1:16">
      <c r="A3" s="436" t="str">
        <f>J3</f>
        <v>Day 1-2</v>
      </c>
      <c r="B3" s="436"/>
      <c r="C3" s="439" t="str">
        <f>CONCATENATE(TEXT(I3,"[$-x-sysdate]dddd, mmmm dd, yyyy")," to ",TEXT(K3,"[$-x-sysdate]dddd, mmmm dd, yyyy"))</f>
        <v>Saturday, 10 April 2021 to Sunday, 11 April 2021</v>
      </c>
      <c r="D3" s="439"/>
      <c r="E3" s="439"/>
      <c r="F3" s="436" t="str">
        <f>A3</f>
        <v>Day 1-2</v>
      </c>
      <c r="G3" s="436"/>
      <c r="H3" s="65"/>
      <c r="I3" s="142">
        <f>Planning!B27</f>
        <v>44296</v>
      </c>
      <c r="J3" s="143" t="str">
        <f>_xlfn.CONCAT("Day 1-",L3)</f>
        <v>Day 1-2</v>
      </c>
      <c r="K3" s="144">
        <f>Planning!B27+Planning!B29-1</f>
        <v>44297</v>
      </c>
      <c r="L3" s="135">
        <f>K3-I3+1</f>
        <v>2</v>
      </c>
      <c r="M3" s="136"/>
      <c r="N3" s="67"/>
      <c r="O3" s="67"/>
      <c r="P3" s="67"/>
    </row>
    <row r="4" spans="1:16" ht="29">
      <c r="A4" s="436" t="s">
        <v>931</v>
      </c>
      <c r="B4" s="436"/>
      <c r="C4" s="68" t="str">
        <f>J11</f>
        <v>Mini team 1:ATM-5 / ATM-6 / ATM-7</v>
      </c>
      <c r="D4" s="68" t="str">
        <f>M11</f>
        <v>Mini team 2: ATM-1 / ATM-2 / ATM-3 / ATM-4</v>
      </c>
      <c r="E4" s="68" t="str">
        <f>CONCATENATE("LA team: ",'Agreement 3'!B7," and ATMs if applicable")</f>
        <v>LA team: van Zyl, Pieter and ATMs if applicable</v>
      </c>
      <c r="F4" s="436" t="s">
        <v>932</v>
      </c>
      <c r="G4" s="436"/>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1" t="s">
        <v>933</v>
      </c>
      <c r="D5" s="441" t="s">
        <v>933</v>
      </c>
      <c r="E5" s="441"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1"/>
      <c r="D6" s="441"/>
      <c r="E6" s="441"/>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1"/>
      <c r="D7" s="441"/>
      <c r="E7" s="441"/>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1"/>
      <c r="D8" s="441"/>
      <c r="E8" s="441"/>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1"/>
      <c r="D9" s="441"/>
      <c r="E9" s="441"/>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1"/>
      <c r="D10" s="441"/>
      <c r="E10" s="441"/>
      <c r="F10" s="70">
        <v>0.375</v>
      </c>
      <c r="G10" s="70">
        <v>0.41666666666666669</v>
      </c>
      <c r="H10" s="65"/>
      <c r="I10" s="144"/>
      <c r="J10" s="136"/>
      <c r="K10" s="136"/>
      <c r="L10" s="136"/>
      <c r="M10" s="136"/>
      <c r="N10" s="67"/>
      <c r="O10" s="67"/>
      <c r="P10" s="67"/>
    </row>
    <row r="11" spans="1:16" ht="18" customHeight="1">
      <c r="A11" s="70">
        <v>0.66666666666666696</v>
      </c>
      <c r="B11" s="70">
        <v>0.70833333333333337</v>
      </c>
      <c r="C11" s="441"/>
      <c r="D11" s="441"/>
      <c r="E11" s="441"/>
      <c r="F11" s="70">
        <v>0.41666666666666669</v>
      </c>
      <c r="G11" s="70">
        <v>0.45833333333333337</v>
      </c>
      <c r="H11" s="65"/>
      <c r="I11" s="135" t="s">
        <v>935</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41"/>
      <c r="D12" s="441"/>
      <c r="E12" s="441"/>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1"/>
      <c r="D13" s="441"/>
      <c r="E13" s="441"/>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2" t="str">
        <f>CONCATENATE("Schedule above includes ",Planning!B28," non-working day(s).")</f>
        <v>Schedule above includes 0 non-working day(s).</v>
      </c>
      <c r="B15" s="442"/>
      <c r="C15" s="442"/>
      <c r="D15" s="442"/>
      <c r="E15" s="442"/>
      <c r="F15" s="442"/>
      <c r="G15" s="442"/>
      <c r="H15" s="65"/>
      <c r="I15" s="135"/>
      <c r="K15" s="139"/>
      <c r="L15" s="135"/>
      <c r="M15" s="136"/>
      <c r="N15" s="67"/>
      <c r="O15" s="67"/>
      <c r="P15" s="67"/>
    </row>
    <row r="16" spans="1:16">
      <c r="A16" s="443" t="str">
        <f>J4</f>
        <v>Day 3</v>
      </c>
      <c r="B16" s="443"/>
      <c r="C16" s="444">
        <f>I4</f>
        <v>44298</v>
      </c>
      <c r="D16" s="444"/>
      <c r="E16" s="444"/>
      <c r="F16" s="443" t="str">
        <f>A16</f>
        <v>Day 3</v>
      </c>
      <c r="G16" s="443"/>
      <c r="H16" s="65"/>
      <c r="I16" s="135"/>
      <c r="K16" s="139"/>
      <c r="L16" s="136"/>
      <c r="M16" s="136"/>
      <c r="N16" s="67"/>
      <c r="O16" s="67"/>
      <c r="P16" s="67"/>
    </row>
    <row r="17" spans="1:18" ht="29">
      <c r="A17" s="443" t="s">
        <v>931</v>
      </c>
      <c r="B17" s="443"/>
      <c r="C17" s="71" t="str">
        <f>C4</f>
        <v>Mini team 1:ATM-5 / ATM-6 / ATM-7</v>
      </c>
      <c r="D17" s="71" t="str">
        <f>D4</f>
        <v>Mini team 2: ATM-1 / ATM-2 / ATM-3 / ATM-4</v>
      </c>
      <c r="E17" s="71" t="str">
        <f>E4</f>
        <v>LA team: van Zyl, Pieter and ATMs if applicable</v>
      </c>
      <c r="F17" s="443" t="s">
        <v>932</v>
      </c>
      <c r="G17" s="443"/>
      <c r="H17" s="65"/>
      <c r="K17" s="139"/>
      <c r="L17" s="135"/>
      <c r="M17" s="135"/>
      <c r="N17" s="67"/>
      <c r="O17" s="66"/>
      <c r="P17" s="67"/>
    </row>
    <row r="18" spans="1:18" ht="18.649999999999999" customHeight="1">
      <c r="A18" s="70">
        <v>0.41666666666666669</v>
      </c>
      <c r="B18" s="70">
        <v>0.4375</v>
      </c>
      <c r="C18" s="72" t="s">
        <v>936</v>
      </c>
      <c r="D18" s="72" t="s">
        <v>936</v>
      </c>
      <c r="E18" s="7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5" t="s">
        <v>990</v>
      </c>
      <c r="D19" s="446"/>
      <c r="E19" s="447"/>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8" t="s">
        <v>991</v>
      </c>
      <c r="D20" s="448"/>
      <c r="E20" s="448"/>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8"/>
      <c r="D21" s="448"/>
      <c r="E21" s="448"/>
      <c r="F21" s="70">
        <v>0.22916666666666666</v>
      </c>
      <c r="G21" s="70">
        <v>0.25</v>
      </c>
      <c r="H21" s="65"/>
      <c r="I21" s="136"/>
      <c r="J21" s="136"/>
      <c r="K21" s="136"/>
      <c r="L21" s="136"/>
      <c r="M21" s="136"/>
      <c r="N21" s="67"/>
      <c r="O21" s="67"/>
      <c r="P21" s="67"/>
    </row>
    <row r="22" spans="1:18" ht="18.649999999999999" customHeight="1">
      <c r="A22" s="70">
        <v>0.5</v>
      </c>
      <c r="B22" s="70">
        <v>0.52083333333333337</v>
      </c>
      <c r="C22" s="441" t="s">
        <v>938</v>
      </c>
      <c r="D22" s="441"/>
      <c r="E22" s="441"/>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1"/>
      <c r="D23" s="441"/>
      <c r="E23" s="441"/>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0" t="s">
        <v>992</v>
      </c>
      <c r="D24" s="440"/>
      <c r="E24" s="440"/>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0"/>
      <c r="D25" s="440"/>
      <c r="E25" s="440"/>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0"/>
      <c r="D26" s="440"/>
      <c r="E26" s="440"/>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0"/>
      <c r="D27" s="440"/>
      <c r="E27" s="440"/>
      <c r="F27" s="70">
        <v>0.35416666666666669</v>
      </c>
      <c r="G27" s="70">
        <v>0.375</v>
      </c>
      <c r="H27" s="65"/>
      <c r="I27" s="136"/>
      <c r="J27" s="136"/>
      <c r="K27" s="136"/>
      <c r="L27" s="136"/>
      <c r="M27" s="136"/>
      <c r="N27" s="67"/>
      <c r="O27" s="67"/>
      <c r="P27" s="67"/>
    </row>
    <row r="28" spans="1:18" ht="18.649999999999999" customHeight="1">
      <c r="A28" s="70">
        <v>0.625</v>
      </c>
      <c r="B28" s="70">
        <v>0.64583333333333337</v>
      </c>
      <c r="C28" s="441" t="s">
        <v>939</v>
      </c>
      <c r="D28" s="441"/>
      <c r="E28" s="441"/>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0" t="s">
        <v>992</v>
      </c>
      <c r="D29" s="440"/>
      <c r="E29" s="440"/>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0"/>
      <c r="D30" s="440"/>
      <c r="E30" s="440"/>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0"/>
      <c r="D31" s="440"/>
      <c r="E31" s="440"/>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0"/>
      <c r="D32" s="440"/>
      <c r="E32" s="440"/>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1" t="s">
        <v>939</v>
      </c>
      <c r="D33" s="441"/>
      <c r="E33" s="441"/>
      <c r="F33" s="70">
        <v>0.47916666666666669</v>
      </c>
      <c r="G33" s="70">
        <v>0.5</v>
      </c>
      <c r="H33" s="65"/>
      <c r="I33" s="136"/>
      <c r="J33" s="136"/>
      <c r="K33" s="136"/>
      <c r="L33" s="136"/>
      <c r="M33" s="136"/>
      <c r="N33" s="67"/>
      <c r="O33" s="67"/>
      <c r="P33" s="67"/>
    </row>
    <row r="34" spans="1:16" ht="18.649999999999999" customHeight="1">
      <c r="A34" s="70">
        <v>0.75</v>
      </c>
      <c r="B34" s="70">
        <v>0.83333333333333337</v>
      </c>
      <c r="C34" s="441" t="s">
        <v>940</v>
      </c>
      <c r="D34" s="441"/>
      <c r="E34" s="441"/>
      <c r="F34" s="70">
        <v>0.5</v>
      </c>
      <c r="G34" s="70">
        <v>0.58333333333333337</v>
      </c>
      <c r="H34" s="65"/>
      <c r="I34" s="136"/>
      <c r="J34" s="136"/>
      <c r="K34" s="136"/>
      <c r="L34" s="136"/>
      <c r="M34" s="136"/>
      <c r="N34" s="67"/>
      <c r="O34" s="67"/>
      <c r="P34" s="67"/>
    </row>
    <row r="35" spans="1:16">
      <c r="A35" s="443" t="str">
        <f>J5</f>
        <v>Day 4</v>
      </c>
      <c r="B35" s="443"/>
      <c r="C35" s="444">
        <f>I5</f>
        <v>44299</v>
      </c>
      <c r="D35" s="444"/>
      <c r="E35" s="444"/>
      <c r="F35" s="443" t="str">
        <f>A35</f>
        <v>Day 4</v>
      </c>
      <c r="G35" s="443"/>
      <c r="H35" s="74"/>
    </row>
    <row r="36" spans="1:16" ht="29">
      <c r="A36" s="443" t="s">
        <v>931</v>
      </c>
      <c r="B36" s="443"/>
      <c r="C36" s="71" t="str">
        <f>C17</f>
        <v>Mini team 1:ATM-5 / ATM-6 / ATM-7</v>
      </c>
      <c r="D36" s="71" t="str">
        <f>D17</f>
        <v>Mini team 2: ATM-1 / ATM-2 / ATM-3 / ATM-4</v>
      </c>
      <c r="E36" s="71" t="str">
        <f>E17</f>
        <v>LA team: van Zyl, Pieter and ATMs if applicable</v>
      </c>
      <c r="F36" s="443" t="s">
        <v>932</v>
      </c>
      <c r="G36" s="443"/>
      <c r="H36" s="74"/>
    </row>
    <row r="37" spans="1:16" ht="18" customHeight="1">
      <c r="A37" s="70">
        <v>0.41666666666666669</v>
      </c>
      <c r="B37" s="70">
        <v>0.4375</v>
      </c>
      <c r="C37" s="441" t="s">
        <v>939</v>
      </c>
      <c r="D37" s="441"/>
      <c r="E37" s="72" t="s">
        <v>937</v>
      </c>
      <c r="F37" s="70">
        <v>0.16666666666666666</v>
      </c>
      <c r="G37" s="70">
        <v>0.1875</v>
      </c>
      <c r="H37" s="74"/>
    </row>
    <row r="38" spans="1:16" ht="18" customHeight="1">
      <c r="A38" s="70">
        <v>0.4375</v>
      </c>
      <c r="B38" s="70">
        <v>0.45833333333333331</v>
      </c>
      <c r="C38" s="440" t="s">
        <v>993</v>
      </c>
      <c r="D38" s="440"/>
      <c r="E38" s="440"/>
      <c r="F38" s="70">
        <v>0.1875</v>
      </c>
      <c r="G38" s="70">
        <v>0.20833333333333334</v>
      </c>
      <c r="H38" s="74"/>
    </row>
    <row r="39" spans="1:16" ht="18" customHeight="1">
      <c r="A39" s="70">
        <v>0.45833333333333331</v>
      </c>
      <c r="B39" s="70">
        <v>0.47916666666666669</v>
      </c>
      <c r="C39" s="440"/>
      <c r="D39" s="440"/>
      <c r="E39" s="440"/>
      <c r="F39" s="70">
        <v>0.20833333333333334</v>
      </c>
      <c r="G39" s="70">
        <v>0.22916666666666666</v>
      </c>
      <c r="H39" s="74"/>
    </row>
    <row r="40" spans="1:16" ht="18" customHeight="1">
      <c r="A40" s="70">
        <v>0.47916666666666669</v>
      </c>
      <c r="B40" s="70">
        <v>0.5</v>
      </c>
      <c r="C40" s="440"/>
      <c r="D40" s="440"/>
      <c r="E40" s="440"/>
      <c r="F40" s="70">
        <v>0.22916666666666666</v>
      </c>
      <c r="G40" s="70">
        <v>0.25</v>
      </c>
      <c r="H40" s="74"/>
    </row>
    <row r="41" spans="1:16" ht="18" customHeight="1">
      <c r="A41" s="70">
        <v>0.5</v>
      </c>
      <c r="B41" s="70">
        <v>0.52083333333333337</v>
      </c>
      <c r="C41" s="441" t="s">
        <v>938</v>
      </c>
      <c r="D41" s="441"/>
      <c r="E41" s="441"/>
      <c r="F41" s="70">
        <v>0.25</v>
      </c>
      <c r="G41" s="70">
        <v>0.27083333333333331</v>
      </c>
      <c r="H41" s="74"/>
    </row>
    <row r="42" spans="1:16" ht="18" customHeight="1">
      <c r="A42" s="70">
        <v>0.52083333333333337</v>
      </c>
      <c r="B42" s="70">
        <v>0.54166666666666663</v>
      </c>
      <c r="C42" s="441"/>
      <c r="D42" s="441"/>
      <c r="E42" s="441"/>
      <c r="F42" s="70">
        <v>0.27083333333333331</v>
      </c>
      <c r="G42" s="70">
        <v>0.29166666666666669</v>
      </c>
      <c r="H42" s="74"/>
    </row>
    <row r="43" spans="1:16" ht="18" customHeight="1">
      <c r="A43" s="70">
        <v>0.54166666666666663</v>
      </c>
      <c r="B43" s="70">
        <v>0.5625</v>
      </c>
      <c r="C43" s="440" t="s">
        <v>993</v>
      </c>
      <c r="D43" s="440"/>
      <c r="E43" s="440"/>
      <c r="F43" s="70">
        <v>0.29166666666666669</v>
      </c>
      <c r="G43" s="70">
        <v>0.3125</v>
      </c>
      <c r="H43" s="74"/>
    </row>
    <row r="44" spans="1:16" ht="18" customHeight="1">
      <c r="A44" s="70">
        <v>0.5625</v>
      </c>
      <c r="B44" s="70">
        <v>0.58333333333333337</v>
      </c>
      <c r="C44" s="440"/>
      <c r="D44" s="440"/>
      <c r="E44" s="440"/>
      <c r="F44" s="70">
        <v>0.3125</v>
      </c>
      <c r="G44" s="70">
        <v>0.33333333333333331</v>
      </c>
      <c r="H44" s="74"/>
    </row>
    <row r="45" spans="1:16" ht="18" customHeight="1">
      <c r="A45" s="70">
        <v>0.58333333333333337</v>
      </c>
      <c r="B45" s="70">
        <v>0.60416666666666663</v>
      </c>
      <c r="C45" s="440"/>
      <c r="D45" s="440"/>
      <c r="E45" s="440"/>
      <c r="F45" s="70">
        <v>0.33333333333333331</v>
      </c>
      <c r="G45" s="70">
        <v>0.35416666666666669</v>
      </c>
      <c r="H45" s="74"/>
    </row>
    <row r="46" spans="1:16" ht="18" customHeight="1">
      <c r="A46" s="70">
        <v>0.60416666666666663</v>
      </c>
      <c r="B46" s="70">
        <v>0.625</v>
      </c>
      <c r="C46" s="440"/>
      <c r="D46" s="440"/>
      <c r="E46" s="440"/>
      <c r="F46" s="70">
        <v>0.35416666666666669</v>
      </c>
      <c r="G46" s="70">
        <v>0.375</v>
      </c>
      <c r="H46" s="74"/>
    </row>
    <row r="47" spans="1:16" ht="18" customHeight="1">
      <c r="A47" s="70">
        <v>0.625</v>
      </c>
      <c r="B47" s="70">
        <v>0.64583333333333337</v>
      </c>
      <c r="C47" s="440"/>
      <c r="D47" s="440"/>
      <c r="E47" s="440"/>
      <c r="F47" s="70">
        <v>0.375</v>
      </c>
      <c r="G47" s="70">
        <v>0.39583333333333331</v>
      </c>
      <c r="H47" s="74"/>
    </row>
    <row r="48" spans="1:16" ht="18" customHeight="1">
      <c r="A48" s="70">
        <v>0.64583333333333337</v>
      </c>
      <c r="B48" s="70">
        <v>0.66666666666666663</v>
      </c>
      <c r="C48" s="441" t="s">
        <v>939</v>
      </c>
      <c r="D48" s="441"/>
      <c r="E48" s="441" t="s">
        <v>937</v>
      </c>
      <c r="F48" s="70">
        <v>0.39583333333333331</v>
      </c>
      <c r="G48" s="70">
        <v>0.41666666666666669</v>
      </c>
      <c r="H48" s="74"/>
    </row>
    <row r="49" spans="1:8" ht="18" customHeight="1">
      <c r="A49" s="70">
        <v>0.66666666666666663</v>
      </c>
      <c r="B49" s="70">
        <v>0.6875</v>
      </c>
      <c r="C49" s="441"/>
      <c r="D49" s="441"/>
      <c r="E49" s="441"/>
      <c r="F49" s="70">
        <v>0.41666666666666669</v>
      </c>
      <c r="G49" s="70">
        <v>0.4375</v>
      </c>
      <c r="H49" s="74"/>
    </row>
    <row r="50" spans="1:8" ht="18" customHeight="1">
      <c r="A50" s="70">
        <v>0.6875</v>
      </c>
      <c r="B50" s="70">
        <v>0.70833333333333337</v>
      </c>
      <c r="C50" s="440" t="s">
        <v>994</v>
      </c>
      <c r="D50" s="440"/>
      <c r="E50" s="440"/>
      <c r="F50" s="70">
        <v>0.4375</v>
      </c>
      <c r="G50" s="70">
        <v>0.45833333333333331</v>
      </c>
      <c r="H50" s="74"/>
    </row>
    <row r="51" spans="1:8" ht="18" customHeight="1">
      <c r="A51" s="70">
        <v>0.70833333333333337</v>
      </c>
      <c r="B51" s="70">
        <v>0.72916666666666663</v>
      </c>
      <c r="C51" s="440"/>
      <c r="D51" s="440"/>
      <c r="E51" s="440"/>
      <c r="F51" s="70">
        <v>0.45833333333333331</v>
      </c>
      <c r="G51" s="70">
        <v>0.47916666666666669</v>
      </c>
      <c r="H51" s="74"/>
    </row>
    <row r="52" spans="1:8" ht="18" customHeight="1">
      <c r="A52" s="70">
        <v>0.72916666666666663</v>
      </c>
      <c r="B52" s="70">
        <v>0.75</v>
      </c>
      <c r="C52" s="441" t="s">
        <v>939</v>
      </c>
      <c r="D52" s="441"/>
      <c r="E52" s="441"/>
      <c r="F52" s="70">
        <v>0.47916666666666669</v>
      </c>
      <c r="G52" s="70">
        <v>0.5</v>
      </c>
      <c r="H52" s="74"/>
    </row>
    <row r="53" spans="1:8" ht="18" customHeight="1">
      <c r="A53" s="70">
        <v>0.75</v>
      </c>
      <c r="B53" s="70">
        <v>0.83333333333333337</v>
      </c>
      <c r="C53" s="441" t="s">
        <v>940</v>
      </c>
      <c r="D53" s="441"/>
      <c r="E53" s="441"/>
      <c r="F53" s="70">
        <v>0.5</v>
      </c>
      <c r="G53" s="70">
        <v>0.58333333333333337</v>
      </c>
      <c r="H53" s="74"/>
    </row>
    <row r="54" spans="1:8">
      <c r="A54" s="436" t="str">
        <f>J6</f>
        <v>Day 5</v>
      </c>
      <c r="B54" s="436"/>
      <c r="C54" s="439">
        <f>I6</f>
        <v>44300</v>
      </c>
      <c r="D54" s="439"/>
      <c r="E54" s="439"/>
      <c r="F54" s="436" t="str">
        <f>A54</f>
        <v>Day 5</v>
      </c>
      <c r="G54" s="436"/>
      <c r="H54" s="74"/>
    </row>
    <row r="55" spans="1:8" ht="29">
      <c r="A55" s="436" t="s">
        <v>931</v>
      </c>
      <c r="B55" s="436"/>
      <c r="C55" s="68" t="str">
        <f>C36</f>
        <v>Mini team 1:ATM-5 / ATM-6 / ATM-7</v>
      </c>
      <c r="D55" s="68" t="str">
        <f>D36</f>
        <v>Mini team 2: ATM-1 / ATM-2 / ATM-3 / ATM-4</v>
      </c>
      <c r="E55" s="68" t="str">
        <f>E36</f>
        <v>LA team: van Zyl, Pieter and ATMs if applicable</v>
      </c>
      <c r="F55" s="436" t="s">
        <v>932</v>
      </c>
      <c r="G55" s="436"/>
      <c r="H55" s="74"/>
    </row>
    <row r="56" spans="1:8" ht="18" customHeight="1">
      <c r="A56" s="70">
        <v>0.41666666666666669</v>
      </c>
      <c r="B56" s="70">
        <v>0.4375</v>
      </c>
      <c r="C56" s="441" t="s">
        <v>941</v>
      </c>
      <c r="D56" s="441"/>
      <c r="E56" s="72" t="s">
        <v>937</v>
      </c>
      <c r="F56" s="70">
        <v>0.16666666666666666</v>
      </c>
      <c r="G56" s="70">
        <v>0.1875</v>
      </c>
      <c r="H56" s="74"/>
    </row>
    <row r="57" spans="1:8" ht="18" customHeight="1">
      <c r="A57" s="70">
        <v>0.4375</v>
      </c>
      <c r="B57" s="70">
        <v>0.45833333333333331</v>
      </c>
      <c r="C57" s="440" t="s">
        <v>995</v>
      </c>
      <c r="D57" s="440"/>
      <c r="E57" s="440"/>
      <c r="F57" s="70">
        <v>0.1875</v>
      </c>
      <c r="G57" s="70">
        <v>0.20833333333333334</v>
      </c>
      <c r="H57" s="74"/>
    </row>
    <row r="58" spans="1:8" ht="18" customHeight="1">
      <c r="A58" s="70">
        <v>0.45833333333333331</v>
      </c>
      <c r="B58" s="70">
        <v>0.47916666666666669</v>
      </c>
      <c r="C58" s="440"/>
      <c r="D58" s="440"/>
      <c r="E58" s="440"/>
      <c r="F58" s="70">
        <v>0.20833333333333334</v>
      </c>
      <c r="G58" s="70">
        <v>0.22916666666666666</v>
      </c>
      <c r="H58" s="74"/>
    </row>
    <row r="59" spans="1:8" ht="18" customHeight="1">
      <c r="A59" s="70">
        <v>0.47916666666666669</v>
      </c>
      <c r="B59" s="70">
        <v>0.5</v>
      </c>
      <c r="C59" s="440"/>
      <c r="D59" s="440"/>
      <c r="E59" s="440"/>
      <c r="F59" s="70">
        <v>0.22916666666666666</v>
      </c>
      <c r="G59" s="70">
        <v>0.25</v>
      </c>
      <c r="H59" s="74"/>
    </row>
    <row r="60" spans="1:8" ht="18" customHeight="1">
      <c r="A60" s="70">
        <v>0.5</v>
      </c>
      <c r="B60" s="70">
        <v>0.52083333333333337</v>
      </c>
      <c r="C60" s="441" t="s">
        <v>938</v>
      </c>
      <c r="D60" s="441"/>
      <c r="E60" s="441"/>
      <c r="F60" s="70">
        <v>0.25</v>
      </c>
      <c r="G60" s="70">
        <v>0.27083333333333331</v>
      </c>
      <c r="H60" s="74"/>
    </row>
    <row r="61" spans="1:8" ht="18" customHeight="1">
      <c r="A61" s="70">
        <v>0.52083333333333337</v>
      </c>
      <c r="B61" s="70">
        <v>0.54166666666666663</v>
      </c>
      <c r="C61" s="441"/>
      <c r="D61" s="441"/>
      <c r="E61" s="441"/>
      <c r="F61" s="70">
        <v>0.27083333333333331</v>
      </c>
      <c r="G61" s="70">
        <v>0.29166666666666669</v>
      </c>
      <c r="H61" s="74"/>
    </row>
    <row r="62" spans="1:8" ht="18" customHeight="1">
      <c r="A62" s="70">
        <v>0.54166666666666663</v>
      </c>
      <c r="B62" s="70">
        <v>0.5625</v>
      </c>
      <c r="C62" s="440" t="s">
        <v>995</v>
      </c>
      <c r="D62" s="440"/>
      <c r="E62" s="440"/>
      <c r="F62" s="70">
        <v>0.29166666666666669</v>
      </c>
      <c r="G62" s="70">
        <v>0.3125</v>
      </c>
      <c r="H62" s="74"/>
    </row>
    <row r="63" spans="1:8" ht="18" customHeight="1">
      <c r="A63" s="70">
        <v>0.5625</v>
      </c>
      <c r="B63" s="70">
        <v>0.58333333333333337</v>
      </c>
      <c r="C63" s="440"/>
      <c r="D63" s="440"/>
      <c r="E63" s="440"/>
      <c r="F63" s="70">
        <v>0.3125</v>
      </c>
      <c r="G63" s="70">
        <v>0.33333333333333331</v>
      </c>
      <c r="H63" s="74"/>
    </row>
    <row r="64" spans="1:8" ht="18" customHeight="1">
      <c r="A64" s="70">
        <v>0.58333333333333337</v>
      </c>
      <c r="B64" s="70">
        <v>0.60416666666666663</v>
      </c>
      <c r="C64" s="440"/>
      <c r="D64" s="440"/>
      <c r="E64" s="440"/>
      <c r="F64" s="70">
        <v>0.33333333333333331</v>
      </c>
      <c r="G64" s="70">
        <v>0.35416666666666669</v>
      </c>
      <c r="H64" s="74"/>
    </row>
    <row r="65" spans="1:8" ht="18" customHeight="1">
      <c r="A65" s="70">
        <v>0.60416666666666663</v>
      </c>
      <c r="B65" s="70">
        <v>0.625</v>
      </c>
      <c r="C65" s="440"/>
      <c r="D65" s="440"/>
      <c r="E65" s="440"/>
      <c r="F65" s="70">
        <v>0.35416666666666669</v>
      </c>
      <c r="G65" s="70">
        <v>0.375</v>
      </c>
      <c r="H65" s="74"/>
    </row>
    <row r="66" spans="1:8" ht="18" customHeight="1">
      <c r="A66" s="70">
        <v>0.625</v>
      </c>
      <c r="B66" s="70">
        <v>0.64583333333333337</v>
      </c>
      <c r="C66" s="440"/>
      <c r="D66" s="440"/>
      <c r="E66" s="440"/>
      <c r="F66" s="70">
        <v>0.375</v>
      </c>
      <c r="G66" s="70">
        <v>0.39583333333333331</v>
      </c>
      <c r="H66" s="74"/>
    </row>
    <row r="67" spans="1:8" ht="18" customHeight="1">
      <c r="A67" s="70">
        <v>0.64583333333333337</v>
      </c>
      <c r="B67" s="70">
        <v>0.66666666666666663</v>
      </c>
      <c r="C67" s="440"/>
      <c r="D67" s="440"/>
      <c r="E67" s="440"/>
      <c r="F67" s="70">
        <v>0.39583333333333331</v>
      </c>
      <c r="G67" s="70">
        <v>0.41666666666666669</v>
      </c>
      <c r="H67" s="74"/>
    </row>
    <row r="68" spans="1:8" ht="18" customHeight="1">
      <c r="A68" s="70">
        <v>0.66666666666666663</v>
      </c>
      <c r="B68" s="70">
        <v>0.6875</v>
      </c>
      <c r="C68" s="441" t="s">
        <v>939</v>
      </c>
      <c r="D68" s="441"/>
      <c r="E68" s="441"/>
      <c r="F68" s="70">
        <v>0.41666666666666669</v>
      </c>
      <c r="G68" s="70">
        <v>0.4375</v>
      </c>
      <c r="H68" s="74"/>
    </row>
    <row r="69" spans="1:8" ht="18" customHeight="1">
      <c r="A69" s="70">
        <v>0.6875</v>
      </c>
      <c r="B69" s="70">
        <v>0.70833333333333337</v>
      </c>
      <c r="C69" s="440" t="s">
        <v>996</v>
      </c>
      <c r="D69" s="440"/>
      <c r="E69" s="440"/>
      <c r="F69" s="70">
        <v>0.4375</v>
      </c>
      <c r="G69" s="70">
        <v>0.45833333333333331</v>
      </c>
      <c r="H69" s="74"/>
    </row>
    <row r="70" spans="1:8" ht="18" customHeight="1">
      <c r="A70" s="70">
        <v>0.70833333333333337</v>
      </c>
      <c r="B70" s="70">
        <v>0.72916666666666663</v>
      </c>
      <c r="C70" s="440"/>
      <c r="D70" s="440"/>
      <c r="E70" s="440"/>
      <c r="F70" s="70">
        <v>0.45833333333333331</v>
      </c>
      <c r="G70" s="70">
        <v>0.47916666666666669</v>
      </c>
      <c r="H70" s="74"/>
    </row>
    <row r="71" spans="1:8" ht="18" customHeight="1">
      <c r="A71" s="70">
        <v>0.72916666666666663</v>
      </c>
      <c r="B71" s="70">
        <v>0.75</v>
      </c>
      <c r="C71" s="441" t="s">
        <v>939</v>
      </c>
      <c r="D71" s="441"/>
      <c r="E71" s="441"/>
      <c r="F71" s="70">
        <v>0.47916666666666669</v>
      </c>
      <c r="G71" s="70">
        <v>0.5</v>
      </c>
      <c r="H71" s="74"/>
    </row>
    <row r="72" spans="1:8" ht="18" customHeight="1">
      <c r="A72" s="70">
        <v>0.75</v>
      </c>
      <c r="B72" s="70">
        <v>0.83333333333333337</v>
      </c>
      <c r="C72" s="441" t="s">
        <v>940</v>
      </c>
      <c r="D72" s="441"/>
      <c r="E72" s="441"/>
      <c r="F72" s="70">
        <v>0.5</v>
      </c>
      <c r="G72" s="70">
        <v>0.58333333333333337</v>
      </c>
      <c r="H72" s="74"/>
    </row>
    <row r="73" spans="1:8">
      <c r="A73" s="436" t="str">
        <f>J7</f>
        <v>Day 6</v>
      </c>
      <c r="B73" s="436"/>
      <c r="C73" s="439">
        <f>I7</f>
        <v>44301</v>
      </c>
      <c r="D73" s="439"/>
      <c r="E73" s="439"/>
      <c r="F73" s="436" t="str">
        <f>A73</f>
        <v>Day 6</v>
      </c>
      <c r="G73" s="436"/>
      <c r="H73" s="74"/>
    </row>
    <row r="74" spans="1:8" ht="29">
      <c r="A74" s="436" t="s">
        <v>931</v>
      </c>
      <c r="B74" s="436"/>
      <c r="C74" s="68" t="str">
        <f>C55</f>
        <v>Mini team 1:ATM-5 / ATM-6 / ATM-7</v>
      </c>
      <c r="D74" s="68" t="str">
        <f>D55</f>
        <v>Mini team 2: ATM-1 / ATM-2 / ATM-3 / ATM-4</v>
      </c>
      <c r="E74" s="68" t="str">
        <f>E55</f>
        <v>LA team: van Zyl, Pieter and ATMs if applicable</v>
      </c>
      <c r="F74" s="436" t="s">
        <v>932</v>
      </c>
      <c r="G74" s="436"/>
      <c r="H74" s="74"/>
    </row>
    <row r="75" spans="1:8" ht="18" customHeight="1">
      <c r="A75" s="70">
        <v>0.41666666666666669</v>
      </c>
      <c r="B75" s="70">
        <v>0.4375</v>
      </c>
      <c r="C75" s="441" t="s">
        <v>939</v>
      </c>
      <c r="D75" s="441"/>
      <c r="E75" s="441"/>
      <c r="F75" s="70">
        <v>0.16666666666666666</v>
      </c>
      <c r="G75" s="70">
        <v>0.1875</v>
      </c>
      <c r="H75" s="74"/>
    </row>
    <row r="76" spans="1:8" ht="18" customHeight="1">
      <c r="A76" s="70">
        <v>0.4375</v>
      </c>
      <c r="B76" s="70">
        <v>0.45833333333333331</v>
      </c>
      <c r="C76" s="440" t="s">
        <v>997</v>
      </c>
      <c r="D76" s="440"/>
      <c r="E76" s="440"/>
      <c r="F76" s="70">
        <v>0.1875</v>
      </c>
      <c r="G76" s="70">
        <v>0.20833333333333334</v>
      </c>
      <c r="H76" s="74"/>
    </row>
    <row r="77" spans="1:8" ht="18" customHeight="1">
      <c r="A77" s="70">
        <v>0.45833333333333331</v>
      </c>
      <c r="B77" s="70">
        <v>0.47916666666666669</v>
      </c>
      <c r="C77" s="440"/>
      <c r="D77" s="440"/>
      <c r="E77" s="440"/>
      <c r="F77" s="70">
        <v>0.20833333333333334</v>
      </c>
      <c r="G77" s="70">
        <v>0.22916666666666666</v>
      </c>
      <c r="H77" s="74"/>
    </row>
    <row r="78" spans="1:8" ht="18" customHeight="1">
      <c r="A78" s="70">
        <v>0.47916666666666669</v>
      </c>
      <c r="B78" s="70">
        <v>0.5</v>
      </c>
      <c r="C78" s="441" t="s">
        <v>939</v>
      </c>
      <c r="D78" s="441"/>
      <c r="E78" s="441"/>
      <c r="F78" s="70">
        <v>0.22916666666666666</v>
      </c>
      <c r="G78" s="70">
        <v>0.25</v>
      </c>
      <c r="H78" s="74"/>
    </row>
    <row r="79" spans="1:8" ht="18" customHeight="1">
      <c r="A79" s="70">
        <v>0.5</v>
      </c>
      <c r="B79" s="70">
        <v>0.52083333333333337</v>
      </c>
      <c r="C79" s="441" t="s">
        <v>938</v>
      </c>
      <c r="D79" s="441"/>
      <c r="E79" s="441"/>
      <c r="F79" s="70">
        <v>0.25</v>
      </c>
      <c r="G79" s="70">
        <v>0.27083333333333331</v>
      </c>
      <c r="H79" s="74"/>
    </row>
    <row r="80" spans="1:8" ht="18" customHeight="1">
      <c r="A80" s="70">
        <v>0.52083333333333337</v>
      </c>
      <c r="B80" s="70">
        <v>0.54166666666666663</v>
      </c>
      <c r="C80" s="441"/>
      <c r="D80" s="441"/>
      <c r="E80" s="441"/>
      <c r="F80" s="70">
        <v>0.27083333333333331</v>
      </c>
      <c r="G80" s="70">
        <v>0.29166666666666669</v>
      </c>
      <c r="H80" s="74"/>
    </row>
    <row r="81" spans="1:8" ht="18" customHeight="1">
      <c r="A81" s="70">
        <v>0.54166666666666663</v>
      </c>
      <c r="B81" s="70">
        <v>0.5625</v>
      </c>
      <c r="C81" s="449" t="s">
        <v>942</v>
      </c>
      <c r="D81" s="449"/>
      <c r="E81" s="449"/>
      <c r="F81" s="70">
        <v>0.29166666666666669</v>
      </c>
      <c r="G81" s="70">
        <v>0.3125</v>
      </c>
      <c r="H81" s="74"/>
    </row>
    <row r="82" spans="1:8" ht="18" customHeight="1">
      <c r="A82" s="70">
        <v>0.5625</v>
      </c>
      <c r="B82" s="70">
        <v>0.58333333333333337</v>
      </c>
      <c r="C82" s="449"/>
      <c r="D82" s="449"/>
      <c r="E82" s="449"/>
      <c r="F82" s="70">
        <v>0.3125</v>
      </c>
      <c r="G82" s="70">
        <v>0.33333333333333331</v>
      </c>
      <c r="H82" s="74"/>
    </row>
    <row r="83" spans="1:8" ht="18" customHeight="1">
      <c r="A83" s="70">
        <v>0.58333333333333337</v>
      </c>
      <c r="B83" s="70">
        <v>0.60416666666666663</v>
      </c>
      <c r="C83" s="449"/>
      <c r="D83" s="449"/>
      <c r="E83" s="449"/>
      <c r="F83" s="70">
        <v>0.33333333333333331</v>
      </c>
      <c r="G83" s="70">
        <v>0.35416666666666669</v>
      </c>
      <c r="H83" s="74"/>
    </row>
    <row r="84" spans="1:8" ht="18" customHeight="1">
      <c r="A84" s="70">
        <v>0.60416666666666663</v>
      </c>
      <c r="B84" s="70">
        <v>0.625</v>
      </c>
      <c r="C84" s="449"/>
      <c r="D84" s="449"/>
      <c r="E84" s="449"/>
      <c r="F84" s="70">
        <v>0.35416666666666669</v>
      </c>
      <c r="G84" s="70">
        <v>0.375</v>
      </c>
      <c r="H84" s="74"/>
    </row>
    <row r="85" spans="1:8" ht="18" customHeight="1">
      <c r="A85" s="70">
        <v>0.625</v>
      </c>
      <c r="B85" s="70">
        <v>0.64583333333333337</v>
      </c>
      <c r="C85" s="440" t="s">
        <v>998</v>
      </c>
      <c r="D85" s="440"/>
      <c r="E85" s="440"/>
      <c r="F85" s="70">
        <v>0.375</v>
      </c>
      <c r="G85" s="70">
        <v>0.39583333333333331</v>
      </c>
      <c r="H85" s="74"/>
    </row>
    <row r="86" spans="1:8" ht="18" customHeight="1">
      <c r="A86" s="70">
        <v>0.64583333333333337</v>
      </c>
      <c r="B86" s="70">
        <v>0.66666666666666663</v>
      </c>
      <c r="C86" s="440"/>
      <c r="D86" s="440"/>
      <c r="E86" s="440"/>
      <c r="F86" s="70">
        <v>0.39583333333333331</v>
      </c>
      <c r="G86" s="70">
        <v>0.41666666666666669</v>
      </c>
      <c r="H86" s="74"/>
    </row>
    <row r="87" spans="1:8" ht="18" customHeight="1">
      <c r="A87" s="70">
        <v>0.66666666666666663</v>
      </c>
      <c r="B87" s="70">
        <v>0.6875</v>
      </c>
      <c r="C87" s="441" t="s">
        <v>939</v>
      </c>
      <c r="D87" s="441"/>
      <c r="E87" s="441"/>
      <c r="F87" s="70">
        <v>0.41666666666666669</v>
      </c>
      <c r="G87" s="70">
        <v>0.4375</v>
      </c>
      <c r="H87" s="74"/>
    </row>
    <row r="88" spans="1:8" ht="18" customHeight="1">
      <c r="A88" s="70">
        <v>0.6875</v>
      </c>
      <c r="B88" s="70">
        <v>0.70833333333333337</v>
      </c>
      <c r="C88" s="441"/>
      <c r="D88" s="441"/>
      <c r="E88" s="441"/>
      <c r="F88" s="70">
        <v>0.4375</v>
      </c>
      <c r="G88" s="70">
        <v>0.45833333333333331</v>
      </c>
      <c r="H88" s="74"/>
    </row>
    <row r="89" spans="1:8" ht="18" customHeight="1">
      <c r="A89" s="70">
        <v>0.70833333333333337</v>
      </c>
      <c r="B89" s="70">
        <v>0.72916666666666663</v>
      </c>
      <c r="C89" s="441"/>
      <c r="D89" s="441"/>
      <c r="E89" s="441"/>
      <c r="F89" s="70">
        <v>0.45833333333333331</v>
      </c>
      <c r="G89" s="70">
        <v>0.47916666666666669</v>
      </c>
      <c r="H89" s="74"/>
    </row>
    <row r="90" spans="1:8" ht="18" customHeight="1">
      <c r="A90" s="70">
        <v>0.72916666666666663</v>
      </c>
      <c r="B90" s="70">
        <v>0.75</v>
      </c>
      <c r="C90" s="441"/>
      <c r="D90" s="441"/>
      <c r="E90" s="441"/>
      <c r="F90" s="70">
        <v>0.47916666666666669</v>
      </c>
      <c r="G90" s="70">
        <v>0.5</v>
      </c>
      <c r="H90" s="74"/>
    </row>
    <row r="91" spans="1:8" ht="18" customHeight="1">
      <c r="A91" s="70">
        <v>0.75</v>
      </c>
      <c r="B91" s="70">
        <v>0.83333333333333337</v>
      </c>
      <c r="C91" s="441" t="s">
        <v>940</v>
      </c>
      <c r="D91" s="441"/>
      <c r="E91" s="441"/>
      <c r="F91" s="70">
        <v>0.5</v>
      </c>
      <c r="G91" s="70">
        <v>0.58333333333333337</v>
      </c>
      <c r="H91" s="74"/>
    </row>
    <row r="92" spans="1:8">
      <c r="A92" s="436" t="str">
        <f>J8</f>
        <v>Day 7</v>
      </c>
      <c r="B92" s="436"/>
      <c r="C92" s="439">
        <f>I8</f>
        <v>44302</v>
      </c>
      <c r="D92" s="439"/>
      <c r="E92" s="439"/>
      <c r="F92" s="436" t="str">
        <f>A92</f>
        <v>Day 7</v>
      </c>
      <c r="G92" s="436"/>
      <c r="H92" s="74"/>
    </row>
    <row r="93" spans="1:8" ht="29">
      <c r="A93" s="436" t="s">
        <v>931</v>
      </c>
      <c r="B93" s="436"/>
      <c r="C93" s="68" t="str">
        <f>C74</f>
        <v>Mini team 1:ATM-5 / ATM-6 / ATM-7</v>
      </c>
      <c r="D93" s="68" t="str">
        <f>D74</f>
        <v>Mini team 2: ATM-1 / ATM-2 / ATM-3 / ATM-4</v>
      </c>
      <c r="E93" s="68" t="str">
        <f>E74</f>
        <v>LA team: van Zyl, Pieter and ATMs if applicable</v>
      </c>
      <c r="F93" s="436" t="s">
        <v>932</v>
      </c>
      <c r="G93" s="436"/>
      <c r="H93" s="74"/>
    </row>
    <row r="94" spans="1:8" ht="18" customHeight="1">
      <c r="A94" s="70">
        <v>0.41666666666666669</v>
      </c>
      <c r="B94" s="70">
        <v>0.4375</v>
      </c>
      <c r="C94" s="441" t="s">
        <v>939</v>
      </c>
      <c r="D94" s="441"/>
      <c r="E94" s="441"/>
      <c r="F94" s="70">
        <v>0.16666666666666666</v>
      </c>
      <c r="G94" s="70">
        <v>0.1875</v>
      </c>
      <c r="H94" s="74"/>
    </row>
    <row r="95" spans="1:8" ht="18" customHeight="1">
      <c r="A95" s="70">
        <v>0.4375</v>
      </c>
      <c r="B95" s="70">
        <v>0.45833333333333331</v>
      </c>
      <c r="C95" s="450" t="s">
        <v>999</v>
      </c>
      <c r="D95" s="451"/>
      <c r="E95" s="452"/>
      <c r="F95" s="70">
        <v>0.1875</v>
      </c>
      <c r="G95" s="70">
        <v>0.20833333333333334</v>
      </c>
      <c r="H95" s="74"/>
    </row>
    <row r="96" spans="1:8" ht="18" customHeight="1">
      <c r="A96" s="70">
        <v>0.45833333333333331</v>
      </c>
      <c r="B96" s="70">
        <v>0.47916666666666669</v>
      </c>
      <c r="C96" s="453"/>
      <c r="D96" s="454"/>
      <c r="E96" s="455"/>
      <c r="F96" s="70">
        <v>0.20833333333333334</v>
      </c>
      <c r="G96" s="70">
        <v>0.22916666666666666</v>
      </c>
      <c r="H96" s="74"/>
    </row>
    <row r="97" spans="1:8" ht="18" customHeight="1">
      <c r="A97" s="70">
        <v>0.47916666666666669</v>
      </c>
      <c r="B97" s="70">
        <v>0.5</v>
      </c>
      <c r="C97" s="450" t="s">
        <v>1000</v>
      </c>
      <c r="D97" s="451"/>
      <c r="E97" s="452"/>
      <c r="F97" s="70">
        <v>0.22916666666666666</v>
      </c>
      <c r="G97" s="70">
        <v>0.25</v>
      </c>
      <c r="H97" s="74"/>
    </row>
    <row r="98" spans="1:8" ht="18" customHeight="1">
      <c r="A98" s="70">
        <v>0.5</v>
      </c>
      <c r="B98" s="70">
        <v>0.52083333333333337</v>
      </c>
      <c r="C98" s="453"/>
      <c r="D98" s="454"/>
      <c r="E98" s="455"/>
      <c r="F98" s="70">
        <v>0.25</v>
      </c>
      <c r="G98" s="70">
        <v>0.27083333333333331</v>
      </c>
      <c r="H98" s="74"/>
    </row>
    <row r="99" spans="1:8" ht="18" customHeight="1">
      <c r="A99" s="70">
        <v>0.52083333333333337</v>
      </c>
      <c r="B99" s="70">
        <v>0.54166666666666663</v>
      </c>
      <c r="C99" s="456" t="s">
        <v>938</v>
      </c>
      <c r="D99" s="457"/>
      <c r="E99" s="458"/>
      <c r="F99" s="70">
        <v>0.27083333333333331</v>
      </c>
      <c r="G99" s="70">
        <v>0.29166666666666669</v>
      </c>
      <c r="H99" s="74"/>
    </row>
    <row r="100" spans="1:8" ht="18" customHeight="1">
      <c r="A100" s="70">
        <v>0.54166666666666663</v>
      </c>
      <c r="B100" s="70">
        <v>0.5625</v>
      </c>
      <c r="C100" s="462"/>
      <c r="D100" s="463"/>
      <c r="E100" s="464"/>
      <c r="F100" s="70">
        <v>0.29166666666666669</v>
      </c>
      <c r="G100" s="70">
        <v>0.3125</v>
      </c>
      <c r="H100" s="74"/>
    </row>
    <row r="101" spans="1:8" ht="18" customHeight="1">
      <c r="A101" s="70">
        <v>0.5625</v>
      </c>
      <c r="B101" s="70">
        <v>0.58333333333333337</v>
      </c>
      <c r="C101" s="456" t="s">
        <v>943</v>
      </c>
      <c r="D101" s="457"/>
      <c r="E101" s="458"/>
      <c r="F101" s="70">
        <v>0.3125</v>
      </c>
      <c r="G101" s="70">
        <v>0.33333333333333331</v>
      </c>
      <c r="H101" s="74"/>
    </row>
    <row r="102" spans="1:8" ht="18" customHeight="1">
      <c r="A102" s="70">
        <v>0.58333333333333337</v>
      </c>
      <c r="B102" s="70">
        <v>0.60416666666666663</v>
      </c>
      <c r="C102" s="459"/>
      <c r="D102" s="460"/>
      <c r="E102" s="461"/>
      <c r="F102" s="70">
        <v>0.33333333333333331</v>
      </c>
      <c r="G102" s="70">
        <v>0.35416666666666669</v>
      </c>
      <c r="H102" s="74"/>
    </row>
    <row r="103" spans="1:8" ht="18" customHeight="1">
      <c r="A103" s="70">
        <v>0.60416666666666663</v>
      </c>
      <c r="B103" s="70">
        <v>0.625</v>
      </c>
      <c r="C103" s="462"/>
      <c r="D103" s="463"/>
      <c r="E103" s="464"/>
      <c r="F103" s="70">
        <v>0.35416666666666669</v>
      </c>
      <c r="G103" s="70">
        <v>0.375</v>
      </c>
      <c r="H103" s="74"/>
    </row>
    <row r="104" spans="1:8" ht="18" customHeight="1">
      <c r="A104" s="70">
        <v>0.625</v>
      </c>
      <c r="B104" s="70">
        <v>0.64583333333333337</v>
      </c>
      <c r="C104" s="448" t="s">
        <v>1001</v>
      </c>
      <c r="D104" s="448"/>
      <c r="E104" s="448"/>
      <c r="F104" s="70">
        <v>0.375</v>
      </c>
      <c r="G104" s="70">
        <v>0.39583333333333331</v>
      </c>
      <c r="H104" s="74"/>
    </row>
    <row r="105" spans="1:8" ht="18" customHeight="1">
      <c r="A105" s="70">
        <v>0.64583333333333337</v>
      </c>
      <c r="B105" s="70">
        <v>0.66666666666666663</v>
      </c>
      <c r="C105" s="448"/>
      <c r="D105" s="448"/>
      <c r="E105" s="448"/>
      <c r="F105" s="70">
        <v>0.39583333333333331</v>
      </c>
      <c r="G105" s="70">
        <v>0.41666666666666669</v>
      </c>
      <c r="H105" s="74"/>
    </row>
    <row r="106" spans="1:8" ht="18" customHeight="1">
      <c r="A106" s="70">
        <v>0.66666666666666663</v>
      </c>
      <c r="B106" s="70">
        <v>0.6875</v>
      </c>
      <c r="C106" s="441" t="s">
        <v>944</v>
      </c>
      <c r="D106" s="441"/>
      <c r="E106" s="441"/>
      <c r="F106" s="70">
        <v>0.41666666666666669</v>
      </c>
      <c r="G106" s="70">
        <v>0.4375</v>
      </c>
      <c r="H106" s="74"/>
    </row>
    <row r="107" spans="1:8" ht="18" customHeight="1">
      <c r="A107" s="70">
        <v>0.6875</v>
      </c>
      <c r="B107" s="70">
        <v>0.70833333333333337</v>
      </c>
      <c r="C107" s="441"/>
      <c r="D107" s="441"/>
      <c r="E107" s="441"/>
      <c r="F107" s="70">
        <v>0.4375</v>
      </c>
      <c r="G107" s="70">
        <v>0.45833333333333331</v>
      </c>
      <c r="H107" s="74"/>
    </row>
    <row r="108" spans="1:8" ht="18" customHeight="1">
      <c r="A108" s="70">
        <v>0.70833333333333337</v>
      </c>
      <c r="B108" s="70">
        <v>0.72916666666666663</v>
      </c>
      <c r="C108" s="441" t="s">
        <v>945</v>
      </c>
      <c r="D108" s="441"/>
      <c r="E108" s="441"/>
      <c r="F108" s="70">
        <v>0.45833333333333331</v>
      </c>
      <c r="G108" s="70">
        <v>0.47916666666666669</v>
      </c>
      <c r="H108" s="74"/>
    </row>
    <row r="109" spans="1:8" ht="18" customHeight="1">
      <c r="A109" s="70">
        <v>0.72916666666666663</v>
      </c>
      <c r="B109" s="70">
        <v>0.75</v>
      </c>
      <c r="C109" s="441"/>
      <c r="D109" s="441"/>
      <c r="E109" s="441"/>
      <c r="F109" s="70">
        <v>0.47916666666666669</v>
      </c>
      <c r="G109" s="70">
        <v>0.5</v>
      </c>
      <c r="H109" s="74"/>
    </row>
    <row r="110" spans="1:8" ht="18" customHeight="1">
      <c r="A110" s="70">
        <v>0.75</v>
      </c>
      <c r="B110" s="70">
        <v>0.83333333333333337</v>
      </c>
      <c r="C110" s="441"/>
      <c r="D110" s="441"/>
      <c r="E110" s="441"/>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82" workbookViewId="0">
      <selection activeCell="C99" sqref="C99:E100"/>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37" t="s">
        <v>1213</v>
      </c>
      <c r="B1" s="437"/>
      <c r="C1" s="437"/>
      <c r="D1" s="437"/>
      <c r="E1" s="437"/>
      <c r="F1" s="437"/>
      <c r="G1" s="437"/>
      <c r="H1" s="65"/>
      <c r="I1" s="140" t="s">
        <v>927</v>
      </c>
      <c r="J1" s="141" t="s">
        <v>928</v>
      </c>
      <c r="K1" s="135" t="s">
        <v>929</v>
      </c>
      <c r="L1" s="135" t="s">
        <v>930</v>
      </c>
      <c r="M1" s="136"/>
      <c r="N1" s="67"/>
      <c r="O1" s="67"/>
      <c r="P1" s="67"/>
    </row>
    <row r="2" spans="1:16" ht="14.5" customHeight="1">
      <c r="A2" s="438" t="str">
        <f>CONCATENATE(TEXT(Planning!B26,"[$-x-sysdate]dddd, mmmm dd, yyyy")," (Technology test)")</f>
        <v>Thursday, 08 April 2021 (Technology test)</v>
      </c>
      <c r="B2" s="438"/>
      <c r="C2" s="438"/>
      <c r="D2" s="438"/>
      <c r="E2" s="438"/>
      <c r="F2" s="438"/>
      <c r="G2" s="438"/>
      <c r="H2" s="65"/>
      <c r="I2" s="135"/>
      <c r="J2" s="135"/>
      <c r="K2" s="135"/>
      <c r="L2" s="136"/>
      <c r="M2" s="136"/>
      <c r="N2" s="67"/>
      <c r="O2" s="67"/>
      <c r="P2" s="67"/>
    </row>
    <row r="3" spans="1:16">
      <c r="A3" s="436" t="str">
        <f>J3</f>
        <v>Day 1-2</v>
      </c>
      <c r="B3" s="436"/>
      <c r="C3" s="439" t="str">
        <f>CONCATENATE(TEXT(I3,"[$-x-sysdate]dddd, mmmm dd, yyyy")," to ",TEXT(K3,"[$-x-sysdate]dddd, mmmm dd, yyyy"))</f>
        <v>Saturday, 10 April 2021 to Sunday, 11 April 2021</v>
      </c>
      <c r="D3" s="439"/>
      <c r="E3" s="439"/>
      <c r="F3" s="436" t="str">
        <f>A3</f>
        <v>Day 1-2</v>
      </c>
      <c r="G3" s="436"/>
      <c r="H3" s="65"/>
      <c r="I3" s="142">
        <f>Planning!B27</f>
        <v>44296</v>
      </c>
      <c r="J3" s="143" t="str">
        <f>_xlfn.CONCAT("Day 1-",L3)</f>
        <v>Day 1-2</v>
      </c>
      <c r="K3" s="144">
        <f>Planning!B27+Planning!B29-1</f>
        <v>44297</v>
      </c>
      <c r="L3" s="135">
        <f>K3-I3+1</f>
        <v>2</v>
      </c>
      <c r="M3" s="136"/>
      <c r="N3" s="67"/>
      <c r="O3" s="67"/>
      <c r="P3" s="67"/>
    </row>
    <row r="4" spans="1:16" ht="29">
      <c r="A4" s="436" t="s">
        <v>931</v>
      </c>
      <c r="B4" s="436"/>
      <c r="C4" s="231" t="str">
        <f>'Schedule4-1P'!C4</f>
        <v>Mini team 1:ATM-5 / ATM-6 / ATM-7</v>
      </c>
      <c r="D4" s="231" t="str">
        <f>'Schedule4-1P'!D4</f>
        <v>Mini team 2: ATM-1 / ATM-2 / ATM-3 / ATM-4</v>
      </c>
      <c r="E4" s="231" t="str">
        <f>'Schedule4-1P'!E4</f>
        <v>LA team: van Zyl, Pieter and ATMs if applicable</v>
      </c>
      <c r="F4" s="436" t="s">
        <v>932</v>
      </c>
      <c r="G4" s="436"/>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1" t="s">
        <v>933</v>
      </c>
      <c r="D5" s="441" t="s">
        <v>933</v>
      </c>
      <c r="E5" s="441"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1"/>
      <c r="D6" s="441"/>
      <c r="E6" s="441"/>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1"/>
      <c r="D7" s="441"/>
      <c r="E7" s="441"/>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1"/>
      <c r="D8" s="441"/>
      <c r="E8" s="441"/>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1"/>
      <c r="D9" s="441"/>
      <c r="E9" s="441"/>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1"/>
      <c r="D10" s="441"/>
      <c r="E10" s="441"/>
      <c r="F10" s="70">
        <v>0.375</v>
      </c>
      <c r="G10" s="70">
        <v>0.41666666666666669</v>
      </c>
      <c r="H10" s="65"/>
      <c r="I10" s="144"/>
      <c r="J10" s="136"/>
      <c r="K10" s="136"/>
      <c r="L10" s="136"/>
      <c r="M10" s="136"/>
      <c r="N10" s="67"/>
      <c r="O10" s="67"/>
      <c r="P10" s="67"/>
    </row>
    <row r="11" spans="1:16" ht="18" customHeight="1">
      <c r="A11" s="70">
        <v>0.66666666666666696</v>
      </c>
      <c r="B11" s="70">
        <v>0.70833333333333337</v>
      </c>
      <c r="C11" s="441"/>
      <c r="D11" s="441"/>
      <c r="E11" s="441"/>
      <c r="F11" s="70">
        <v>0.41666666666666669</v>
      </c>
      <c r="G11" s="70">
        <v>0.45833333333333337</v>
      </c>
      <c r="H11" s="65"/>
      <c r="I11" s="135" t="s">
        <v>935</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41"/>
      <c r="D12" s="441"/>
      <c r="E12" s="441"/>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41"/>
      <c r="D13" s="441"/>
      <c r="E13" s="441"/>
      <c r="F13" s="70">
        <v>0.5</v>
      </c>
      <c r="G13" s="70">
        <v>0.54166666666666663</v>
      </c>
      <c r="H13" s="65"/>
      <c r="I13" s="135" t="str">
        <f>'P1PA-SS'!B95</f>
        <v>ATM-5</v>
      </c>
      <c r="K13" s="138"/>
      <c r="L13" s="135"/>
      <c r="M13" s="139"/>
      <c r="N13" s="67"/>
      <c r="O13" s="67"/>
      <c r="P13" s="67"/>
    </row>
    <row r="14" spans="1:16">
      <c r="I14" s="135"/>
      <c r="K14" s="43"/>
      <c r="L14" s="135"/>
      <c r="M14" s="139"/>
    </row>
    <row r="15" spans="1:16">
      <c r="A15" s="442" t="str">
        <f>CONCATENATE("Schedule above includes ",Planning!B28," non-working day(s).")</f>
        <v>Schedule above includes 0 non-working day(s).</v>
      </c>
      <c r="B15" s="442"/>
      <c r="C15" s="442"/>
      <c r="D15" s="442"/>
      <c r="E15" s="442"/>
      <c r="F15" s="442"/>
      <c r="G15" s="442"/>
      <c r="H15" s="65"/>
      <c r="K15" s="139"/>
      <c r="L15" s="136"/>
      <c r="M15" s="136"/>
      <c r="N15" s="67"/>
      <c r="O15" s="67"/>
      <c r="P15" s="67"/>
    </row>
    <row r="16" spans="1:16">
      <c r="A16" s="443" t="str">
        <f>J4</f>
        <v>Day 3</v>
      </c>
      <c r="B16" s="443"/>
      <c r="C16" s="444">
        <f>I4</f>
        <v>44298</v>
      </c>
      <c r="D16" s="444"/>
      <c r="E16" s="444"/>
      <c r="F16" s="443" t="str">
        <f>A16</f>
        <v>Day 3</v>
      </c>
      <c r="G16" s="443"/>
      <c r="H16" s="65"/>
      <c r="K16" s="139"/>
      <c r="L16" s="136"/>
      <c r="M16" s="136"/>
      <c r="N16" s="67"/>
      <c r="O16" s="67"/>
      <c r="P16" s="67"/>
    </row>
    <row r="17" spans="1:18" ht="29">
      <c r="A17" s="443" t="s">
        <v>931</v>
      </c>
      <c r="B17" s="443"/>
      <c r="C17" s="233" t="str">
        <f>C4</f>
        <v>Mini team 1:ATM-5 / ATM-6 / ATM-7</v>
      </c>
      <c r="D17" s="233" t="str">
        <f>D4</f>
        <v>Mini team 2: ATM-1 / ATM-2 / ATM-3 / ATM-4</v>
      </c>
      <c r="E17" s="233" t="str">
        <f>E4</f>
        <v>LA team: van Zyl, Pieter and ATMs if applicable</v>
      </c>
      <c r="F17" s="443" t="s">
        <v>932</v>
      </c>
      <c r="G17" s="443"/>
      <c r="H17" s="65"/>
      <c r="K17" s="139"/>
      <c r="L17" s="135"/>
      <c r="M17" s="135"/>
      <c r="N17" s="67"/>
      <c r="O17" s="66"/>
      <c r="P17" s="67"/>
    </row>
    <row r="18" spans="1:18" ht="18.649999999999999" customHeight="1">
      <c r="A18" s="70">
        <v>0.41666666666666669</v>
      </c>
      <c r="B18" s="70">
        <v>0.4375</v>
      </c>
      <c r="C18" s="232" t="s">
        <v>936</v>
      </c>
      <c r="D18" s="232" t="s">
        <v>936</v>
      </c>
      <c r="E18" s="23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0" t="s">
        <v>990</v>
      </c>
      <c r="D19" s="440"/>
      <c r="E19" s="440"/>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8" t="s">
        <v>991</v>
      </c>
      <c r="D20" s="448"/>
      <c r="E20" s="448"/>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8"/>
      <c r="D21" s="448"/>
      <c r="E21" s="448"/>
      <c r="F21" s="70">
        <v>0.22916666666666666</v>
      </c>
      <c r="G21" s="70">
        <v>0.25</v>
      </c>
      <c r="H21" s="65"/>
      <c r="I21" s="136"/>
      <c r="J21" s="136"/>
      <c r="K21" s="136"/>
      <c r="L21" s="136"/>
      <c r="M21" s="136"/>
      <c r="N21" s="67"/>
      <c r="O21" s="67"/>
      <c r="P21" s="67"/>
    </row>
    <row r="22" spans="1:18" ht="18.649999999999999" customHeight="1">
      <c r="A22" s="70">
        <v>0.5</v>
      </c>
      <c r="B22" s="70">
        <v>0.52083333333333337</v>
      </c>
      <c r="C22" s="441" t="s">
        <v>938</v>
      </c>
      <c r="D22" s="441"/>
      <c r="E22" s="441"/>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1"/>
      <c r="D23" s="441"/>
      <c r="E23" s="441"/>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0" t="s">
        <v>992</v>
      </c>
      <c r="D24" s="440"/>
      <c r="E24" s="440"/>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0"/>
      <c r="D25" s="440"/>
      <c r="E25" s="440"/>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0"/>
      <c r="D26" s="440"/>
      <c r="E26" s="440"/>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0"/>
      <c r="D27" s="440"/>
      <c r="E27" s="440"/>
      <c r="F27" s="70">
        <v>0.35416666666666669</v>
      </c>
      <c r="G27" s="70">
        <v>0.375</v>
      </c>
      <c r="H27" s="65"/>
      <c r="I27" s="136"/>
      <c r="J27" s="136"/>
      <c r="K27" s="136"/>
      <c r="L27" s="136"/>
      <c r="M27" s="136"/>
      <c r="N27" s="67"/>
      <c r="O27" s="67"/>
      <c r="P27" s="67"/>
    </row>
    <row r="28" spans="1:18" ht="18.649999999999999" customHeight="1">
      <c r="A28" s="70">
        <v>0.625</v>
      </c>
      <c r="B28" s="70">
        <v>0.64583333333333337</v>
      </c>
      <c r="C28" s="441" t="s">
        <v>939</v>
      </c>
      <c r="D28" s="441"/>
      <c r="E28" s="441"/>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0" t="s">
        <v>992</v>
      </c>
      <c r="D29" s="440"/>
      <c r="E29" s="440"/>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0"/>
      <c r="D30" s="440"/>
      <c r="E30" s="440"/>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0"/>
      <c r="D31" s="440"/>
      <c r="E31" s="440"/>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0"/>
      <c r="D32" s="440"/>
      <c r="E32" s="440"/>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1" t="s">
        <v>1131</v>
      </c>
      <c r="D33" s="441"/>
      <c r="E33" s="441"/>
      <c r="F33" s="70">
        <v>0.47916666666666669</v>
      </c>
      <c r="G33" s="70">
        <v>0.5</v>
      </c>
      <c r="H33" s="65"/>
      <c r="I33" s="136"/>
      <c r="J33" s="136"/>
      <c r="K33" s="136"/>
      <c r="L33" s="136"/>
      <c r="M33" s="136"/>
      <c r="N33" s="67"/>
      <c r="O33" s="67"/>
      <c r="P33" s="67"/>
    </row>
    <row r="34" spans="1:16" ht="18.649999999999999" customHeight="1">
      <c r="A34" s="70">
        <v>0.75</v>
      </c>
      <c r="B34" s="70">
        <v>0.83333333333333337</v>
      </c>
      <c r="C34" s="441" t="s">
        <v>940</v>
      </c>
      <c r="D34" s="441"/>
      <c r="E34" s="441"/>
      <c r="F34" s="70">
        <v>0.5</v>
      </c>
      <c r="G34" s="70">
        <v>0.58333333333333337</v>
      </c>
      <c r="H34" s="65"/>
      <c r="I34" s="136"/>
      <c r="J34" s="136"/>
      <c r="K34" s="136"/>
      <c r="L34" s="136"/>
      <c r="M34" s="136"/>
      <c r="N34" s="67"/>
      <c r="O34" s="67"/>
      <c r="P34" s="67"/>
    </row>
    <row r="35" spans="1:16">
      <c r="A35" s="443" t="str">
        <f>J5</f>
        <v>Day 4</v>
      </c>
      <c r="B35" s="443"/>
      <c r="C35" s="444">
        <f>I5</f>
        <v>44299</v>
      </c>
      <c r="D35" s="444"/>
      <c r="E35" s="444"/>
      <c r="F35" s="443" t="str">
        <f>A35</f>
        <v>Day 4</v>
      </c>
      <c r="G35" s="443"/>
      <c r="H35" s="74"/>
    </row>
    <row r="36" spans="1:16" ht="29">
      <c r="A36" s="443" t="s">
        <v>931</v>
      </c>
      <c r="B36" s="443"/>
      <c r="C36" s="233" t="str">
        <f>C17</f>
        <v>Mini team 1:ATM-5 / ATM-6 / ATM-7</v>
      </c>
      <c r="D36" s="233" t="str">
        <f>D17</f>
        <v>Mini team 2: ATM-1 / ATM-2 / ATM-3 / ATM-4</v>
      </c>
      <c r="E36" s="233" t="str">
        <f>E17</f>
        <v>LA team: van Zyl, Pieter and ATMs if applicable</v>
      </c>
      <c r="F36" s="443" t="s">
        <v>932</v>
      </c>
      <c r="G36" s="443"/>
      <c r="H36" s="74"/>
    </row>
    <row r="37" spans="1:16" ht="18" customHeight="1">
      <c r="A37" s="70">
        <v>0.41666666666666669</v>
      </c>
      <c r="B37" s="70">
        <v>0.4375</v>
      </c>
      <c r="C37" s="441" t="s">
        <v>939</v>
      </c>
      <c r="D37" s="441"/>
      <c r="E37" s="232" t="s">
        <v>937</v>
      </c>
      <c r="F37" s="70">
        <v>0.16666666666666666</v>
      </c>
      <c r="G37" s="70">
        <v>0.1875</v>
      </c>
      <c r="H37" s="74"/>
    </row>
    <row r="38" spans="1:16" ht="18" customHeight="1">
      <c r="A38" s="70">
        <v>0.4375</v>
      </c>
      <c r="B38" s="70">
        <v>0.45833333333333331</v>
      </c>
      <c r="C38" s="440" t="s">
        <v>993</v>
      </c>
      <c r="D38" s="440"/>
      <c r="E38" s="440"/>
      <c r="F38" s="70">
        <v>0.1875</v>
      </c>
      <c r="G38" s="70">
        <v>0.20833333333333334</v>
      </c>
      <c r="H38" s="74"/>
    </row>
    <row r="39" spans="1:16" ht="18" customHeight="1">
      <c r="A39" s="70">
        <v>0.45833333333333331</v>
      </c>
      <c r="B39" s="70">
        <v>0.47916666666666669</v>
      </c>
      <c r="C39" s="440"/>
      <c r="D39" s="440"/>
      <c r="E39" s="440"/>
      <c r="F39" s="70">
        <v>0.20833333333333334</v>
      </c>
      <c r="G39" s="70">
        <v>0.22916666666666666</v>
      </c>
      <c r="H39" s="74"/>
    </row>
    <row r="40" spans="1:16" ht="18" customHeight="1">
      <c r="A40" s="70">
        <v>0.47916666666666669</v>
      </c>
      <c r="B40" s="70">
        <v>0.5</v>
      </c>
      <c r="C40" s="440"/>
      <c r="D40" s="440"/>
      <c r="E40" s="440"/>
      <c r="F40" s="70">
        <v>0.22916666666666666</v>
      </c>
      <c r="G40" s="70">
        <v>0.25</v>
      </c>
      <c r="H40" s="74"/>
    </row>
    <row r="41" spans="1:16" ht="18" customHeight="1">
      <c r="A41" s="70">
        <v>0.5</v>
      </c>
      <c r="B41" s="70">
        <v>0.52083333333333337</v>
      </c>
      <c r="C41" s="441" t="s">
        <v>938</v>
      </c>
      <c r="D41" s="441"/>
      <c r="E41" s="441"/>
      <c r="F41" s="70">
        <v>0.25</v>
      </c>
      <c r="G41" s="70">
        <v>0.27083333333333331</v>
      </c>
      <c r="H41" s="74"/>
    </row>
    <row r="42" spans="1:16" ht="18" customHeight="1">
      <c r="A42" s="70">
        <v>0.52083333333333337</v>
      </c>
      <c r="B42" s="70">
        <v>0.54166666666666663</v>
      </c>
      <c r="C42" s="441"/>
      <c r="D42" s="441"/>
      <c r="E42" s="441"/>
      <c r="F42" s="70">
        <v>0.27083333333333331</v>
      </c>
      <c r="G42" s="70">
        <v>0.29166666666666669</v>
      </c>
      <c r="H42" s="74"/>
    </row>
    <row r="43" spans="1:16" ht="18" customHeight="1">
      <c r="A43" s="70">
        <v>0.54166666666666663</v>
      </c>
      <c r="B43" s="70">
        <v>0.5625</v>
      </c>
      <c r="C43" s="440" t="s">
        <v>993</v>
      </c>
      <c r="D43" s="440"/>
      <c r="E43" s="440"/>
      <c r="F43" s="70">
        <v>0.29166666666666669</v>
      </c>
      <c r="G43" s="70">
        <v>0.3125</v>
      </c>
      <c r="H43" s="74"/>
    </row>
    <row r="44" spans="1:16" ht="18" customHeight="1">
      <c r="A44" s="70">
        <v>0.5625</v>
      </c>
      <c r="B44" s="70">
        <v>0.58333333333333337</v>
      </c>
      <c r="C44" s="440"/>
      <c r="D44" s="440"/>
      <c r="E44" s="440"/>
      <c r="F44" s="70">
        <v>0.3125</v>
      </c>
      <c r="G44" s="70">
        <v>0.33333333333333331</v>
      </c>
      <c r="H44" s="74"/>
    </row>
    <row r="45" spans="1:16" ht="18" customHeight="1">
      <c r="A45" s="70">
        <v>0.58333333333333337</v>
      </c>
      <c r="B45" s="70">
        <v>0.60416666666666663</v>
      </c>
      <c r="C45" s="440"/>
      <c r="D45" s="440"/>
      <c r="E45" s="440"/>
      <c r="F45" s="70">
        <v>0.33333333333333331</v>
      </c>
      <c r="G45" s="70">
        <v>0.35416666666666669</v>
      </c>
      <c r="H45" s="74"/>
    </row>
    <row r="46" spans="1:16" ht="18" customHeight="1">
      <c r="A46" s="70">
        <v>0.60416666666666663</v>
      </c>
      <c r="B46" s="70">
        <v>0.625</v>
      </c>
      <c r="C46" s="440"/>
      <c r="D46" s="440"/>
      <c r="E46" s="440"/>
      <c r="F46" s="70">
        <v>0.35416666666666669</v>
      </c>
      <c r="G46" s="70">
        <v>0.375</v>
      </c>
      <c r="H46" s="74"/>
    </row>
    <row r="47" spans="1:16" ht="18" customHeight="1">
      <c r="A47" s="70">
        <v>0.625</v>
      </c>
      <c r="B47" s="70">
        <v>0.64583333333333337</v>
      </c>
      <c r="C47" s="440"/>
      <c r="D47" s="440"/>
      <c r="E47" s="440"/>
      <c r="F47" s="70">
        <v>0.375</v>
      </c>
      <c r="G47" s="70">
        <v>0.39583333333333331</v>
      </c>
      <c r="H47" s="74"/>
    </row>
    <row r="48" spans="1:16" ht="18" customHeight="1">
      <c r="A48" s="70">
        <v>0.64583333333333337</v>
      </c>
      <c r="B48" s="70">
        <v>0.66666666666666663</v>
      </c>
      <c r="C48" s="441" t="s">
        <v>939</v>
      </c>
      <c r="D48" s="441"/>
      <c r="E48" s="441" t="s">
        <v>937</v>
      </c>
      <c r="F48" s="70">
        <v>0.39583333333333331</v>
      </c>
      <c r="G48" s="70">
        <v>0.41666666666666669</v>
      </c>
      <c r="H48" s="74"/>
    </row>
    <row r="49" spans="1:8" ht="18" customHeight="1">
      <c r="A49" s="70">
        <v>0.66666666666666663</v>
      </c>
      <c r="B49" s="70">
        <v>0.6875</v>
      </c>
      <c r="C49" s="441"/>
      <c r="D49" s="441"/>
      <c r="E49" s="441"/>
      <c r="F49" s="70">
        <v>0.41666666666666669</v>
      </c>
      <c r="G49" s="70">
        <v>0.4375</v>
      </c>
      <c r="H49" s="74"/>
    </row>
    <row r="50" spans="1:8" ht="18" customHeight="1">
      <c r="A50" s="70">
        <v>0.6875</v>
      </c>
      <c r="B50" s="70">
        <v>0.70833333333333337</v>
      </c>
      <c r="C50" s="440" t="s">
        <v>994</v>
      </c>
      <c r="D50" s="440"/>
      <c r="E50" s="440"/>
      <c r="F50" s="70">
        <v>0.4375</v>
      </c>
      <c r="G50" s="70">
        <v>0.45833333333333331</v>
      </c>
      <c r="H50" s="74"/>
    </row>
    <row r="51" spans="1:8" ht="18" customHeight="1">
      <c r="A51" s="70">
        <v>0.70833333333333337</v>
      </c>
      <c r="B51" s="70">
        <v>0.72916666666666663</v>
      </c>
      <c r="C51" s="440"/>
      <c r="D51" s="440"/>
      <c r="E51" s="440"/>
      <c r="F51" s="70">
        <v>0.45833333333333331</v>
      </c>
      <c r="G51" s="70">
        <v>0.47916666666666669</v>
      </c>
      <c r="H51" s="74"/>
    </row>
    <row r="52" spans="1:8" ht="18" customHeight="1">
      <c r="A52" s="70">
        <v>0.72916666666666663</v>
      </c>
      <c r="B52" s="70">
        <v>0.75</v>
      </c>
      <c r="C52" s="441" t="s">
        <v>1131</v>
      </c>
      <c r="D52" s="441"/>
      <c r="E52" s="441"/>
      <c r="F52" s="70">
        <v>0.47916666666666669</v>
      </c>
      <c r="G52" s="70">
        <v>0.5</v>
      </c>
      <c r="H52" s="74"/>
    </row>
    <row r="53" spans="1:8" ht="18" customHeight="1">
      <c r="A53" s="70">
        <v>0.75</v>
      </c>
      <c r="B53" s="70">
        <v>0.83333333333333337</v>
      </c>
      <c r="C53" s="441" t="s">
        <v>940</v>
      </c>
      <c r="D53" s="441"/>
      <c r="E53" s="441"/>
      <c r="F53" s="70">
        <v>0.5</v>
      </c>
      <c r="G53" s="70">
        <v>0.58333333333333337</v>
      </c>
      <c r="H53" s="74"/>
    </row>
    <row r="54" spans="1:8">
      <c r="A54" s="436" t="str">
        <f>J6</f>
        <v>Day 5</v>
      </c>
      <c r="B54" s="436"/>
      <c r="C54" s="439">
        <f>I6</f>
        <v>44300</v>
      </c>
      <c r="D54" s="439"/>
      <c r="E54" s="439"/>
      <c r="F54" s="436" t="str">
        <f>A54</f>
        <v>Day 5</v>
      </c>
      <c r="G54" s="436"/>
      <c r="H54" s="74"/>
    </row>
    <row r="55" spans="1:8" ht="29">
      <c r="A55" s="436" t="s">
        <v>931</v>
      </c>
      <c r="B55" s="436"/>
      <c r="C55" s="231" t="str">
        <f>C36</f>
        <v>Mini team 1:ATM-5 / ATM-6 / ATM-7</v>
      </c>
      <c r="D55" s="231" t="str">
        <f>D36</f>
        <v>Mini team 2: ATM-1 / ATM-2 / ATM-3 / ATM-4</v>
      </c>
      <c r="E55" s="231" t="str">
        <f>E36</f>
        <v>LA team: van Zyl, Pieter and ATMs if applicable</v>
      </c>
      <c r="F55" s="436" t="s">
        <v>932</v>
      </c>
      <c r="G55" s="436"/>
      <c r="H55" s="74"/>
    </row>
    <row r="56" spans="1:8" ht="18" customHeight="1">
      <c r="A56" s="70">
        <v>0.41666666666666669</v>
      </c>
      <c r="B56" s="70">
        <v>0.4375</v>
      </c>
      <c r="C56" s="441" t="s">
        <v>941</v>
      </c>
      <c r="D56" s="441"/>
      <c r="E56" s="232" t="s">
        <v>937</v>
      </c>
      <c r="F56" s="70">
        <v>0.16666666666666666</v>
      </c>
      <c r="G56" s="70">
        <v>0.1875</v>
      </c>
      <c r="H56" s="74"/>
    </row>
    <row r="57" spans="1:8" ht="18" customHeight="1">
      <c r="A57" s="70">
        <v>0.4375</v>
      </c>
      <c r="B57" s="70">
        <v>0.45833333333333331</v>
      </c>
      <c r="C57" s="440" t="s">
        <v>995</v>
      </c>
      <c r="D57" s="440"/>
      <c r="E57" s="440"/>
      <c r="F57" s="70">
        <v>0.1875</v>
      </c>
      <c r="G57" s="70">
        <v>0.20833333333333334</v>
      </c>
      <c r="H57" s="74"/>
    </row>
    <row r="58" spans="1:8" ht="18" customHeight="1">
      <c r="A58" s="70">
        <v>0.45833333333333331</v>
      </c>
      <c r="B58" s="70">
        <v>0.47916666666666669</v>
      </c>
      <c r="C58" s="440"/>
      <c r="D58" s="440"/>
      <c r="E58" s="440"/>
      <c r="F58" s="70">
        <v>0.20833333333333334</v>
      </c>
      <c r="G58" s="70">
        <v>0.22916666666666666</v>
      </c>
      <c r="H58" s="74"/>
    </row>
    <row r="59" spans="1:8" ht="18" customHeight="1">
      <c r="A59" s="70">
        <v>0.47916666666666669</v>
      </c>
      <c r="B59" s="70">
        <v>0.5</v>
      </c>
      <c r="C59" s="440"/>
      <c r="D59" s="440"/>
      <c r="E59" s="440"/>
      <c r="F59" s="70">
        <v>0.22916666666666666</v>
      </c>
      <c r="G59" s="70">
        <v>0.25</v>
      </c>
      <c r="H59" s="74"/>
    </row>
    <row r="60" spans="1:8" ht="18" customHeight="1">
      <c r="A60" s="70">
        <v>0.5</v>
      </c>
      <c r="B60" s="70">
        <v>0.52083333333333337</v>
      </c>
      <c r="C60" s="441" t="s">
        <v>938</v>
      </c>
      <c r="D60" s="441"/>
      <c r="E60" s="441"/>
      <c r="F60" s="70">
        <v>0.25</v>
      </c>
      <c r="G60" s="70">
        <v>0.27083333333333331</v>
      </c>
      <c r="H60" s="74"/>
    </row>
    <row r="61" spans="1:8" ht="18" customHeight="1">
      <c r="A61" s="70">
        <v>0.52083333333333337</v>
      </c>
      <c r="B61" s="70">
        <v>0.54166666666666663</v>
      </c>
      <c r="C61" s="441"/>
      <c r="D61" s="441"/>
      <c r="E61" s="441"/>
      <c r="F61" s="70">
        <v>0.27083333333333331</v>
      </c>
      <c r="G61" s="70">
        <v>0.29166666666666669</v>
      </c>
      <c r="H61" s="74"/>
    </row>
    <row r="62" spans="1:8" ht="18" customHeight="1">
      <c r="A62" s="70">
        <v>0.54166666666666663</v>
      </c>
      <c r="B62" s="70">
        <v>0.5625</v>
      </c>
      <c r="C62" s="440" t="s">
        <v>995</v>
      </c>
      <c r="D62" s="440"/>
      <c r="E62" s="440"/>
      <c r="F62" s="70">
        <v>0.29166666666666669</v>
      </c>
      <c r="G62" s="70">
        <v>0.3125</v>
      </c>
      <c r="H62" s="74"/>
    </row>
    <row r="63" spans="1:8" ht="18" customHeight="1">
      <c r="A63" s="70">
        <v>0.5625</v>
      </c>
      <c r="B63" s="70">
        <v>0.58333333333333337</v>
      </c>
      <c r="C63" s="440"/>
      <c r="D63" s="440"/>
      <c r="E63" s="440"/>
      <c r="F63" s="70">
        <v>0.3125</v>
      </c>
      <c r="G63" s="70">
        <v>0.33333333333333331</v>
      </c>
      <c r="H63" s="74"/>
    </row>
    <row r="64" spans="1:8" ht="18" customHeight="1">
      <c r="A64" s="70">
        <v>0.58333333333333337</v>
      </c>
      <c r="B64" s="70">
        <v>0.60416666666666663</v>
      </c>
      <c r="C64" s="440"/>
      <c r="D64" s="440"/>
      <c r="E64" s="440"/>
      <c r="F64" s="70">
        <v>0.33333333333333331</v>
      </c>
      <c r="G64" s="70">
        <v>0.35416666666666669</v>
      </c>
      <c r="H64" s="74"/>
    </row>
    <row r="65" spans="1:8" ht="18" customHeight="1">
      <c r="A65" s="70">
        <v>0.60416666666666663</v>
      </c>
      <c r="B65" s="70">
        <v>0.625</v>
      </c>
      <c r="C65" s="440"/>
      <c r="D65" s="440"/>
      <c r="E65" s="440"/>
      <c r="F65" s="70">
        <v>0.35416666666666669</v>
      </c>
      <c r="G65" s="70">
        <v>0.375</v>
      </c>
      <c r="H65" s="74"/>
    </row>
    <row r="66" spans="1:8" ht="18" customHeight="1">
      <c r="A66" s="70">
        <v>0.625</v>
      </c>
      <c r="B66" s="70">
        <v>0.64583333333333337</v>
      </c>
      <c r="C66" s="440"/>
      <c r="D66" s="440"/>
      <c r="E66" s="440"/>
      <c r="F66" s="70">
        <v>0.375</v>
      </c>
      <c r="G66" s="70">
        <v>0.39583333333333331</v>
      </c>
      <c r="H66" s="74"/>
    </row>
    <row r="67" spans="1:8" ht="18" customHeight="1">
      <c r="A67" s="70">
        <v>0.64583333333333337</v>
      </c>
      <c r="B67" s="70">
        <v>0.66666666666666663</v>
      </c>
      <c r="C67" s="440"/>
      <c r="D67" s="440"/>
      <c r="E67" s="440"/>
      <c r="F67" s="70">
        <v>0.39583333333333331</v>
      </c>
      <c r="G67" s="70">
        <v>0.41666666666666669</v>
      </c>
      <c r="H67" s="74"/>
    </row>
    <row r="68" spans="1:8" ht="18" customHeight="1">
      <c r="A68" s="70">
        <v>0.66666666666666663</v>
      </c>
      <c r="B68" s="70">
        <v>0.6875</v>
      </c>
      <c r="C68" s="441" t="s">
        <v>939</v>
      </c>
      <c r="D68" s="441"/>
      <c r="E68" s="441"/>
      <c r="F68" s="70">
        <v>0.41666666666666669</v>
      </c>
      <c r="G68" s="70">
        <v>0.4375</v>
      </c>
      <c r="H68" s="74"/>
    </row>
    <row r="69" spans="1:8" ht="18" customHeight="1">
      <c r="A69" s="70">
        <v>0.6875</v>
      </c>
      <c r="B69" s="70">
        <v>0.70833333333333337</v>
      </c>
      <c r="C69" s="440" t="s">
        <v>996</v>
      </c>
      <c r="D69" s="440"/>
      <c r="E69" s="440"/>
      <c r="F69" s="70">
        <v>0.4375</v>
      </c>
      <c r="G69" s="70">
        <v>0.45833333333333331</v>
      </c>
      <c r="H69" s="74"/>
    </row>
    <row r="70" spans="1:8" ht="18" customHeight="1">
      <c r="A70" s="70">
        <v>0.70833333333333337</v>
      </c>
      <c r="B70" s="70">
        <v>0.72916666666666663</v>
      </c>
      <c r="C70" s="440"/>
      <c r="D70" s="440"/>
      <c r="E70" s="440"/>
      <c r="F70" s="70">
        <v>0.45833333333333331</v>
      </c>
      <c r="G70" s="70">
        <v>0.47916666666666669</v>
      </c>
      <c r="H70" s="74"/>
    </row>
    <row r="71" spans="1:8" ht="18" customHeight="1">
      <c r="A71" s="70">
        <v>0.72916666666666663</v>
      </c>
      <c r="B71" s="70">
        <v>0.75</v>
      </c>
      <c r="C71" s="471" t="s">
        <v>1130</v>
      </c>
      <c r="D71" s="472"/>
      <c r="E71" s="473"/>
      <c r="F71" s="70">
        <v>0.47916666666666669</v>
      </c>
      <c r="G71" s="70">
        <v>0.5</v>
      </c>
      <c r="H71" s="74"/>
    </row>
    <row r="72" spans="1:8" ht="18" customHeight="1">
      <c r="A72" s="70">
        <v>0.75</v>
      </c>
      <c r="B72" s="70">
        <v>0.83333333333333337</v>
      </c>
      <c r="C72" s="474"/>
      <c r="D72" s="475"/>
      <c r="E72" s="476"/>
      <c r="F72" s="70">
        <v>0.5</v>
      </c>
      <c r="G72" s="70">
        <v>0.58333333333333337</v>
      </c>
      <c r="H72" s="74"/>
    </row>
    <row r="73" spans="1:8">
      <c r="A73" s="436" t="str">
        <f>J7</f>
        <v>Day 6</v>
      </c>
      <c r="B73" s="436"/>
      <c r="C73" s="439">
        <f>I7</f>
        <v>44301</v>
      </c>
      <c r="D73" s="439"/>
      <c r="E73" s="439"/>
      <c r="F73" s="436" t="str">
        <f>A73</f>
        <v>Day 6</v>
      </c>
      <c r="G73" s="436"/>
      <c r="H73" s="74"/>
    </row>
    <row r="74" spans="1:8" ht="29">
      <c r="A74" s="436" t="s">
        <v>931</v>
      </c>
      <c r="B74" s="436"/>
      <c r="C74" s="231" t="str">
        <f>C55</f>
        <v>Mini team 1:ATM-5 / ATM-6 / ATM-7</v>
      </c>
      <c r="D74" s="231" t="str">
        <f>D55</f>
        <v>Mini team 2: ATM-1 / ATM-2 / ATM-3 / ATM-4</v>
      </c>
      <c r="E74" s="231" t="str">
        <f>E55</f>
        <v>LA team: van Zyl, Pieter and ATMs if applicable</v>
      </c>
      <c r="F74" s="436" t="s">
        <v>932</v>
      </c>
      <c r="G74" s="436"/>
      <c r="H74" s="74"/>
    </row>
    <row r="75" spans="1:8" ht="18" customHeight="1">
      <c r="A75" s="70">
        <v>0.41666666666666669</v>
      </c>
      <c r="B75" s="70">
        <v>0.4375</v>
      </c>
      <c r="C75" s="441" t="s">
        <v>939</v>
      </c>
      <c r="D75" s="441"/>
      <c r="E75" s="441"/>
      <c r="F75" s="70">
        <v>0.16666666666666666</v>
      </c>
      <c r="G75" s="70">
        <v>0.1875</v>
      </c>
      <c r="H75" s="74"/>
    </row>
    <row r="76" spans="1:8" ht="18" customHeight="1">
      <c r="A76" s="70">
        <v>0.4375</v>
      </c>
      <c r="B76" s="70">
        <v>0.45833333333333331</v>
      </c>
      <c r="C76" s="440" t="s">
        <v>997</v>
      </c>
      <c r="D76" s="440"/>
      <c r="E76" s="440"/>
      <c r="F76" s="70">
        <v>0.1875</v>
      </c>
      <c r="G76" s="70">
        <v>0.20833333333333334</v>
      </c>
      <c r="H76" s="74"/>
    </row>
    <row r="77" spans="1:8" ht="18" customHeight="1">
      <c r="A77" s="70">
        <v>0.45833333333333331</v>
      </c>
      <c r="B77" s="70">
        <v>0.47916666666666669</v>
      </c>
      <c r="C77" s="440"/>
      <c r="D77" s="440"/>
      <c r="E77" s="440"/>
      <c r="F77" s="70">
        <v>0.20833333333333334</v>
      </c>
      <c r="G77" s="70">
        <v>0.22916666666666666</v>
      </c>
      <c r="H77" s="74"/>
    </row>
    <row r="78" spans="1:8" ht="18" customHeight="1">
      <c r="A78" s="70">
        <v>0.47916666666666669</v>
      </c>
      <c r="B78" s="70">
        <v>0.5</v>
      </c>
      <c r="C78" s="441" t="s">
        <v>939</v>
      </c>
      <c r="D78" s="441"/>
      <c r="E78" s="441"/>
      <c r="F78" s="70">
        <v>0.22916666666666666</v>
      </c>
      <c r="G78" s="70">
        <v>0.25</v>
      </c>
      <c r="H78" s="74"/>
    </row>
    <row r="79" spans="1:8" ht="18" customHeight="1">
      <c r="A79" s="70">
        <v>0.5</v>
      </c>
      <c r="B79" s="70">
        <v>0.52083333333333337</v>
      </c>
      <c r="C79" s="441" t="s">
        <v>938</v>
      </c>
      <c r="D79" s="441"/>
      <c r="E79" s="441"/>
      <c r="F79" s="70">
        <v>0.25</v>
      </c>
      <c r="G79" s="70">
        <v>0.27083333333333331</v>
      </c>
      <c r="H79" s="74"/>
    </row>
    <row r="80" spans="1:8" ht="18" customHeight="1">
      <c r="A80" s="70">
        <v>0.52083333333333337</v>
      </c>
      <c r="B80" s="70">
        <v>0.54166666666666663</v>
      </c>
      <c r="C80" s="441"/>
      <c r="D80" s="441"/>
      <c r="E80" s="441"/>
      <c r="F80" s="70">
        <v>0.27083333333333331</v>
      </c>
      <c r="G80" s="70">
        <v>0.29166666666666669</v>
      </c>
      <c r="H80" s="74"/>
    </row>
    <row r="81" spans="1:8" ht="18" customHeight="1">
      <c r="A81" s="70">
        <v>0.54166666666666663</v>
      </c>
      <c r="B81" s="70">
        <v>0.5625</v>
      </c>
      <c r="C81" s="471" t="s">
        <v>1130</v>
      </c>
      <c r="D81" s="472"/>
      <c r="E81" s="473"/>
      <c r="F81" s="70">
        <v>0.29166666666666669</v>
      </c>
      <c r="G81" s="70">
        <v>0.3125</v>
      </c>
      <c r="H81" s="74"/>
    </row>
    <row r="82" spans="1:8" ht="18" customHeight="1">
      <c r="A82" s="70">
        <v>0.5625</v>
      </c>
      <c r="B82" s="70">
        <v>0.58333333333333337</v>
      </c>
      <c r="C82" s="474"/>
      <c r="D82" s="475"/>
      <c r="E82" s="476"/>
      <c r="F82" s="70">
        <v>0.3125</v>
      </c>
      <c r="G82" s="70">
        <v>0.33333333333333331</v>
      </c>
      <c r="H82" s="74"/>
    </row>
    <row r="83" spans="1:8" ht="18" customHeight="1">
      <c r="A83" s="70">
        <v>0.58333333333333337</v>
      </c>
      <c r="B83" s="70">
        <v>0.60416666666666663</v>
      </c>
      <c r="C83" s="465" t="s">
        <v>942</v>
      </c>
      <c r="D83" s="466"/>
      <c r="E83" s="467"/>
      <c r="F83" s="70">
        <v>0.33333333333333331</v>
      </c>
      <c r="G83" s="70">
        <v>0.35416666666666669</v>
      </c>
      <c r="H83" s="74"/>
    </row>
    <row r="84" spans="1:8" ht="18" customHeight="1">
      <c r="A84" s="70">
        <v>0.60416666666666663</v>
      </c>
      <c r="B84" s="70">
        <v>0.625</v>
      </c>
      <c r="C84" s="468"/>
      <c r="D84" s="469"/>
      <c r="E84" s="470"/>
      <c r="F84" s="70">
        <v>0.35416666666666669</v>
      </c>
      <c r="G84" s="70">
        <v>0.375</v>
      </c>
      <c r="H84" s="74"/>
    </row>
    <row r="85" spans="1:8" ht="18" customHeight="1">
      <c r="A85" s="70">
        <v>0.625</v>
      </c>
      <c r="B85" s="70">
        <v>0.64583333333333337</v>
      </c>
      <c r="C85" s="440" t="s">
        <v>998</v>
      </c>
      <c r="D85" s="440"/>
      <c r="E85" s="440"/>
      <c r="F85" s="70">
        <v>0.375</v>
      </c>
      <c r="G85" s="70">
        <v>0.39583333333333331</v>
      </c>
      <c r="H85" s="74"/>
    </row>
    <row r="86" spans="1:8" ht="18" customHeight="1">
      <c r="A86" s="70">
        <v>0.64583333333333337</v>
      </c>
      <c r="B86" s="70">
        <v>0.66666666666666663</v>
      </c>
      <c r="C86" s="440"/>
      <c r="D86" s="440"/>
      <c r="E86" s="440"/>
      <c r="F86" s="70">
        <v>0.39583333333333331</v>
      </c>
      <c r="G86" s="70">
        <v>0.41666666666666669</v>
      </c>
      <c r="H86" s="74"/>
    </row>
    <row r="87" spans="1:8" ht="18" customHeight="1">
      <c r="A87" s="70">
        <v>0.66666666666666663</v>
      </c>
      <c r="B87" s="70">
        <v>0.6875</v>
      </c>
      <c r="C87" s="441" t="s">
        <v>939</v>
      </c>
      <c r="D87" s="441"/>
      <c r="E87" s="441"/>
      <c r="F87" s="70">
        <v>0.41666666666666669</v>
      </c>
      <c r="G87" s="70">
        <v>0.4375</v>
      </c>
      <c r="H87" s="74"/>
    </row>
    <row r="88" spans="1:8" ht="18" customHeight="1">
      <c r="A88" s="70">
        <v>0.6875</v>
      </c>
      <c r="B88" s="70">
        <v>0.70833333333333337</v>
      </c>
      <c r="C88" s="441"/>
      <c r="D88" s="441"/>
      <c r="E88" s="441"/>
      <c r="F88" s="70">
        <v>0.4375</v>
      </c>
      <c r="G88" s="70">
        <v>0.45833333333333331</v>
      </c>
      <c r="H88" s="74"/>
    </row>
    <row r="89" spans="1:8" ht="18" customHeight="1">
      <c r="A89" s="70">
        <v>0.70833333333333337</v>
      </c>
      <c r="B89" s="70">
        <v>0.72916666666666663</v>
      </c>
      <c r="C89" s="441"/>
      <c r="D89" s="441"/>
      <c r="E89" s="441"/>
      <c r="F89" s="70">
        <v>0.45833333333333331</v>
      </c>
      <c r="G89" s="70">
        <v>0.47916666666666669</v>
      </c>
      <c r="H89" s="74"/>
    </row>
    <row r="90" spans="1:8" ht="18" customHeight="1">
      <c r="A90" s="70">
        <v>0.72916666666666663</v>
      </c>
      <c r="B90" s="70">
        <v>0.75</v>
      </c>
      <c r="C90" s="441"/>
      <c r="D90" s="441"/>
      <c r="E90" s="441"/>
      <c r="F90" s="70">
        <v>0.47916666666666669</v>
      </c>
      <c r="G90" s="70">
        <v>0.5</v>
      </c>
      <c r="H90" s="74"/>
    </row>
    <row r="91" spans="1:8" ht="18" customHeight="1">
      <c r="A91" s="70">
        <v>0.75</v>
      </c>
      <c r="B91" s="70">
        <v>0.83333333333333337</v>
      </c>
      <c r="C91" s="441" t="s">
        <v>940</v>
      </c>
      <c r="D91" s="441"/>
      <c r="E91" s="441"/>
      <c r="F91" s="70">
        <v>0.5</v>
      </c>
      <c r="G91" s="70">
        <v>0.58333333333333337</v>
      </c>
      <c r="H91" s="74"/>
    </row>
    <row r="92" spans="1:8">
      <c r="A92" s="436" t="str">
        <f>J8</f>
        <v>Day 7</v>
      </c>
      <c r="B92" s="436"/>
      <c r="C92" s="439">
        <f>I8</f>
        <v>44302</v>
      </c>
      <c r="D92" s="439"/>
      <c r="E92" s="439"/>
      <c r="F92" s="436" t="str">
        <f>A92</f>
        <v>Day 7</v>
      </c>
      <c r="G92" s="436"/>
      <c r="H92" s="74"/>
    </row>
    <row r="93" spans="1:8" ht="29">
      <c r="A93" s="436" t="s">
        <v>931</v>
      </c>
      <c r="B93" s="436"/>
      <c r="C93" s="231" t="str">
        <f>C74</f>
        <v>Mini team 1:ATM-5 / ATM-6 / ATM-7</v>
      </c>
      <c r="D93" s="231" t="str">
        <f>D74</f>
        <v>Mini team 2: ATM-1 / ATM-2 / ATM-3 / ATM-4</v>
      </c>
      <c r="E93" s="231" t="str">
        <f>E74</f>
        <v>LA team: van Zyl, Pieter and ATMs if applicable</v>
      </c>
      <c r="F93" s="436" t="s">
        <v>932</v>
      </c>
      <c r="G93" s="436"/>
      <c r="H93" s="74"/>
    </row>
    <row r="94" spans="1:8" ht="18" customHeight="1">
      <c r="A94" s="70">
        <v>0.41666666666666669</v>
      </c>
      <c r="B94" s="70">
        <v>0.4375</v>
      </c>
      <c r="C94" s="441" t="s">
        <v>939</v>
      </c>
      <c r="D94" s="441"/>
      <c r="E94" s="441"/>
      <c r="F94" s="70">
        <v>0.16666666666666666</v>
      </c>
      <c r="G94" s="70">
        <v>0.1875</v>
      </c>
      <c r="H94" s="74"/>
    </row>
    <row r="95" spans="1:8" ht="18" customHeight="1">
      <c r="A95" s="70">
        <v>0.4375</v>
      </c>
      <c r="B95" s="70">
        <v>0.45833333333333331</v>
      </c>
      <c r="C95" s="450" t="s">
        <v>999</v>
      </c>
      <c r="D95" s="451"/>
      <c r="E95" s="452"/>
      <c r="F95" s="70">
        <v>0.1875</v>
      </c>
      <c r="G95" s="70">
        <v>0.20833333333333334</v>
      </c>
      <c r="H95" s="74"/>
    </row>
    <row r="96" spans="1:8" ht="18" customHeight="1">
      <c r="A96" s="70">
        <v>0.45833333333333331</v>
      </c>
      <c r="B96" s="70">
        <v>0.47916666666666669</v>
      </c>
      <c r="C96" s="453"/>
      <c r="D96" s="454"/>
      <c r="E96" s="455"/>
      <c r="F96" s="70">
        <v>0.20833333333333334</v>
      </c>
      <c r="G96" s="70">
        <v>0.22916666666666666</v>
      </c>
      <c r="H96" s="74"/>
    </row>
    <row r="97" spans="1:8" ht="18" customHeight="1">
      <c r="A97" s="70">
        <v>0.47916666666666669</v>
      </c>
      <c r="B97" s="70">
        <v>0.5</v>
      </c>
      <c r="C97" s="450" t="s">
        <v>1000</v>
      </c>
      <c r="D97" s="451"/>
      <c r="E97" s="452"/>
      <c r="F97" s="70">
        <v>0.22916666666666666</v>
      </c>
      <c r="G97" s="70">
        <v>0.25</v>
      </c>
      <c r="H97" s="74"/>
    </row>
    <row r="98" spans="1:8" ht="18" customHeight="1">
      <c r="A98" s="70">
        <v>0.5</v>
      </c>
      <c r="B98" s="70">
        <v>0.52083333333333337</v>
      </c>
      <c r="C98" s="453"/>
      <c r="D98" s="454"/>
      <c r="E98" s="455"/>
      <c r="F98" s="70">
        <v>0.25</v>
      </c>
      <c r="G98" s="70">
        <v>0.27083333333333331</v>
      </c>
      <c r="H98" s="74"/>
    </row>
    <row r="99" spans="1:8" ht="18" customHeight="1">
      <c r="A99" s="70">
        <v>0.52083333333333337</v>
      </c>
      <c r="B99" s="70">
        <v>0.54166666666666663</v>
      </c>
      <c r="C99" s="456" t="s">
        <v>938</v>
      </c>
      <c r="D99" s="457"/>
      <c r="E99" s="458"/>
      <c r="F99" s="70">
        <v>0.27083333333333331</v>
      </c>
      <c r="G99" s="70">
        <v>0.29166666666666669</v>
      </c>
      <c r="H99" s="74"/>
    </row>
    <row r="100" spans="1:8" ht="18" customHeight="1">
      <c r="A100" s="70">
        <v>0.54166666666666663</v>
      </c>
      <c r="B100" s="70">
        <v>0.5625</v>
      </c>
      <c r="C100" s="462"/>
      <c r="D100" s="463"/>
      <c r="E100" s="464"/>
      <c r="F100" s="70">
        <v>0.29166666666666669</v>
      </c>
      <c r="G100" s="70">
        <v>0.3125</v>
      </c>
      <c r="H100" s="74"/>
    </row>
    <row r="101" spans="1:8" ht="18" customHeight="1">
      <c r="A101" s="70">
        <v>0.5625</v>
      </c>
      <c r="B101" s="70">
        <v>0.58333333333333337</v>
      </c>
      <c r="C101" s="456" t="s">
        <v>943</v>
      </c>
      <c r="D101" s="457"/>
      <c r="E101" s="458"/>
      <c r="F101" s="70">
        <v>0.3125</v>
      </c>
      <c r="G101" s="70">
        <v>0.33333333333333331</v>
      </c>
      <c r="H101" s="74"/>
    </row>
    <row r="102" spans="1:8" ht="18" customHeight="1">
      <c r="A102" s="70">
        <v>0.58333333333333337</v>
      </c>
      <c r="B102" s="70">
        <v>0.60416666666666663</v>
      </c>
      <c r="C102" s="459"/>
      <c r="D102" s="460"/>
      <c r="E102" s="461"/>
      <c r="F102" s="70">
        <v>0.33333333333333331</v>
      </c>
      <c r="G102" s="70">
        <v>0.35416666666666669</v>
      </c>
      <c r="H102" s="74"/>
    </row>
    <row r="103" spans="1:8" ht="18" customHeight="1">
      <c r="A103" s="70">
        <v>0.60416666666666663</v>
      </c>
      <c r="B103" s="70">
        <v>0.625</v>
      </c>
      <c r="C103" s="462"/>
      <c r="D103" s="463"/>
      <c r="E103" s="464"/>
      <c r="F103" s="70">
        <v>0.35416666666666669</v>
      </c>
      <c r="G103" s="70">
        <v>0.375</v>
      </c>
      <c r="H103" s="74"/>
    </row>
    <row r="104" spans="1:8" ht="18" customHeight="1">
      <c r="A104" s="70">
        <v>0.625</v>
      </c>
      <c r="B104" s="70">
        <v>0.64583333333333337</v>
      </c>
      <c r="C104" s="448" t="s">
        <v>1001</v>
      </c>
      <c r="D104" s="448"/>
      <c r="E104" s="448"/>
      <c r="F104" s="70">
        <v>0.375</v>
      </c>
      <c r="G104" s="70">
        <v>0.39583333333333331</v>
      </c>
      <c r="H104" s="74"/>
    </row>
    <row r="105" spans="1:8" ht="18" customHeight="1">
      <c r="A105" s="70">
        <v>0.64583333333333337</v>
      </c>
      <c r="B105" s="70">
        <v>0.66666666666666663</v>
      </c>
      <c r="C105" s="448"/>
      <c r="D105" s="448"/>
      <c r="E105" s="448"/>
      <c r="F105" s="70">
        <v>0.39583333333333331</v>
      </c>
      <c r="G105" s="70">
        <v>0.41666666666666669</v>
      </c>
      <c r="H105" s="74"/>
    </row>
    <row r="106" spans="1:8" ht="18" customHeight="1">
      <c r="A106" s="70">
        <v>0.66666666666666663</v>
      </c>
      <c r="B106" s="70">
        <v>0.6875</v>
      </c>
      <c r="C106" s="441" t="s">
        <v>944</v>
      </c>
      <c r="D106" s="441"/>
      <c r="E106" s="441"/>
      <c r="F106" s="70">
        <v>0.41666666666666669</v>
      </c>
      <c r="G106" s="70">
        <v>0.4375</v>
      </c>
      <c r="H106" s="74"/>
    </row>
    <row r="107" spans="1:8" ht="18" customHeight="1">
      <c r="A107" s="70">
        <v>0.6875</v>
      </c>
      <c r="B107" s="70">
        <v>0.70833333333333337</v>
      </c>
      <c r="C107" s="441"/>
      <c r="D107" s="441"/>
      <c r="E107" s="441"/>
      <c r="F107" s="70">
        <v>0.4375</v>
      </c>
      <c r="G107" s="70">
        <v>0.45833333333333331</v>
      </c>
      <c r="H107" s="74"/>
    </row>
    <row r="108" spans="1:8" ht="18" customHeight="1">
      <c r="A108" s="70">
        <v>0.70833333333333337</v>
      </c>
      <c r="B108" s="70">
        <v>0.72916666666666663</v>
      </c>
      <c r="C108" s="441" t="s">
        <v>945</v>
      </c>
      <c r="D108" s="441"/>
      <c r="E108" s="441"/>
      <c r="F108" s="70">
        <v>0.45833333333333331</v>
      </c>
      <c r="G108" s="70">
        <v>0.47916666666666669</v>
      </c>
      <c r="H108" s="74"/>
    </row>
    <row r="109" spans="1:8" ht="18" customHeight="1">
      <c r="A109" s="70">
        <v>0.72916666666666663</v>
      </c>
      <c r="B109" s="70">
        <v>0.75</v>
      </c>
      <c r="C109" s="441"/>
      <c r="D109" s="441"/>
      <c r="E109" s="441"/>
      <c r="F109" s="70">
        <v>0.47916666666666669</v>
      </c>
      <c r="G109" s="70">
        <v>0.5</v>
      </c>
      <c r="H109" s="74"/>
    </row>
    <row r="110" spans="1:8" ht="18" customHeight="1">
      <c r="A110" s="70">
        <v>0.75</v>
      </c>
      <c r="B110" s="70">
        <v>0.83333333333333337</v>
      </c>
      <c r="C110" s="441"/>
      <c r="D110" s="441"/>
      <c r="E110" s="441"/>
      <c r="F110" s="70">
        <v>0.5</v>
      </c>
      <c r="G110" s="70">
        <v>0.58333333333333337</v>
      </c>
      <c r="H110" s="74"/>
    </row>
  </sheetData>
  <mergeCells count="77">
    <mergeCell ref="C5:C13"/>
    <mergeCell ref="D5:D13"/>
    <mergeCell ref="E5:E13"/>
    <mergeCell ref="A15:G15"/>
    <mergeCell ref="A16:B16"/>
    <mergeCell ref="C16:E16"/>
    <mergeCell ref="A4:B4"/>
    <mergeCell ref="F4:G4"/>
    <mergeCell ref="A1:G1"/>
    <mergeCell ref="A2:G2"/>
    <mergeCell ref="A3:B3"/>
    <mergeCell ref="C3:E3"/>
    <mergeCell ref="F3:G3"/>
    <mergeCell ref="F16:G16"/>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10" sqref="I10"/>
    </sheetView>
  </sheetViews>
  <sheetFormatPr defaultRowHeight="14.5"/>
  <cols>
    <col min="1" max="16384" width="8.7265625" style="8"/>
  </cols>
  <sheetData>
    <row r="1" spans="1:8" ht="15" thickBot="1">
      <c r="A1" s="8" t="s">
        <v>1510</v>
      </c>
    </row>
    <row r="2" spans="1:8">
      <c r="A2" s="333" t="s">
        <v>1511</v>
      </c>
      <c r="B2" s="334">
        <f>Planning!B27</f>
        <v>44296</v>
      </c>
      <c r="C2" s="335">
        <f>B2+1</f>
        <v>44297</v>
      </c>
      <c r="D2" s="335">
        <f t="shared" ref="D2:G2" si="0">C2+1</f>
        <v>44298</v>
      </c>
      <c r="E2" s="335">
        <f t="shared" si="0"/>
        <v>44299</v>
      </c>
      <c r="F2" s="335">
        <f t="shared" si="0"/>
        <v>44300</v>
      </c>
      <c r="G2" s="335">
        <f t="shared" si="0"/>
        <v>44301</v>
      </c>
      <c r="H2" s="336" t="s">
        <v>1512</v>
      </c>
    </row>
    <row r="3" spans="1:8" ht="29">
      <c r="A3" s="337">
        <v>0.41666666666666702</v>
      </c>
      <c r="B3" s="477" t="s">
        <v>1513</v>
      </c>
      <c r="C3" s="338" t="s">
        <v>1514</v>
      </c>
      <c r="D3" s="339" t="s">
        <v>1515</v>
      </c>
      <c r="E3" s="339" t="s">
        <v>1515</v>
      </c>
      <c r="F3" s="478" t="s">
        <v>1516</v>
      </c>
      <c r="G3" s="478" t="s">
        <v>1517</v>
      </c>
      <c r="H3" s="340">
        <f t="shared" ref="H3:H19" si="1">+A3-0.25</f>
        <v>0.16666666666666702</v>
      </c>
    </row>
    <row r="4" spans="1:8">
      <c r="A4" s="337">
        <v>0.4375</v>
      </c>
      <c r="B4" s="477"/>
      <c r="C4" s="341" t="s">
        <v>1518</v>
      </c>
      <c r="D4" s="479" t="s">
        <v>1519</v>
      </c>
      <c r="E4" s="479" t="s">
        <v>1520</v>
      </c>
      <c r="F4" s="478"/>
      <c r="G4" s="478"/>
      <c r="H4" s="340">
        <f t="shared" si="1"/>
        <v>0.1875</v>
      </c>
    </row>
    <row r="5" spans="1:8">
      <c r="A5" s="337">
        <v>0.45833333333333398</v>
      </c>
      <c r="B5" s="480" t="s">
        <v>1521</v>
      </c>
      <c r="C5" s="481" t="s">
        <v>1522</v>
      </c>
      <c r="D5" s="479"/>
      <c r="E5" s="479"/>
      <c r="F5" s="478"/>
      <c r="G5" s="478"/>
      <c r="H5" s="340">
        <f t="shared" si="1"/>
        <v>0.20833333333333398</v>
      </c>
    </row>
    <row r="6" spans="1:8">
      <c r="A6" s="337">
        <v>0.47916666666666702</v>
      </c>
      <c r="B6" s="480"/>
      <c r="C6" s="481"/>
      <c r="D6" s="479"/>
      <c r="E6" s="479"/>
      <c r="F6" s="478"/>
      <c r="G6" s="338" t="s">
        <v>1518</v>
      </c>
      <c r="H6" s="340">
        <f t="shared" si="1"/>
        <v>0.22916666666666702</v>
      </c>
    </row>
    <row r="7" spans="1:8">
      <c r="A7" s="337">
        <v>0.5</v>
      </c>
      <c r="B7" s="480"/>
      <c r="C7" s="479" t="s">
        <v>1523</v>
      </c>
      <c r="D7" s="479"/>
      <c r="E7" s="479"/>
      <c r="F7" s="482" t="s">
        <v>938</v>
      </c>
      <c r="G7" s="482" t="s">
        <v>938</v>
      </c>
      <c r="H7" s="340">
        <f t="shared" si="1"/>
        <v>0.25</v>
      </c>
    </row>
    <row r="8" spans="1:8" ht="29">
      <c r="A8" s="337">
        <v>0.52083333333333404</v>
      </c>
      <c r="B8" s="342" t="s">
        <v>1513</v>
      </c>
      <c r="C8" s="479"/>
      <c r="D8" s="479"/>
      <c r="E8" s="479"/>
      <c r="F8" s="482"/>
      <c r="G8" s="482"/>
      <c r="H8" s="340">
        <f t="shared" si="1"/>
        <v>0.27083333333333404</v>
      </c>
    </row>
    <row r="9" spans="1:8">
      <c r="A9" s="337">
        <v>0.54166666666666696</v>
      </c>
      <c r="B9" s="483" t="s">
        <v>938</v>
      </c>
      <c r="C9" s="482" t="s">
        <v>938</v>
      </c>
      <c r="D9" s="482" t="s">
        <v>938</v>
      </c>
      <c r="E9" s="482" t="s">
        <v>938</v>
      </c>
      <c r="F9" s="338" t="s">
        <v>1518</v>
      </c>
      <c r="G9" s="481" t="s">
        <v>795</v>
      </c>
      <c r="H9" s="340">
        <f t="shared" si="1"/>
        <v>0.29166666666666696</v>
      </c>
    </row>
    <row r="10" spans="1:8">
      <c r="A10" s="337">
        <v>0.5625</v>
      </c>
      <c r="B10" s="483"/>
      <c r="C10" s="482"/>
      <c r="D10" s="482"/>
      <c r="E10" s="482"/>
      <c r="F10" s="481" t="s">
        <v>1524</v>
      </c>
      <c r="G10" s="481"/>
      <c r="H10" s="340">
        <f t="shared" si="1"/>
        <v>0.3125</v>
      </c>
    </row>
    <row r="11" spans="1:8">
      <c r="A11" s="337">
        <v>0.58333333333333304</v>
      </c>
      <c r="B11" s="477" t="s">
        <v>1525</v>
      </c>
      <c r="C11" s="479" t="s">
        <v>1526</v>
      </c>
      <c r="D11" s="479" t="s">
        <v>1527</v>
      </c>
      <c r="E11" s="479" t="s">
        <v>1528</v>
      </c>
      <c r="F11" s="481"/>
      <c r="G11" s="478" t="s">
        <v>1529</v>
      </c>
      <c r="H11" s="340">
        <f t="shared" si="1"/>
        <v>0.33333333333333304</v>
      </c>
    </row>
    <row r="12" spans="1:8">
      <c r="A12" s="337">
        <v>0.60416666666666696</v>
      </c>
      <c r="B12" s="477"/>
      <c r="C12" s="479"/>
      <c r="D12" s="479"/>
      <c r="E12" s="479"/>
      <c r="F12" s="481" t="s">
        <v>1530</v>
      </c>
      <c r="G12" s="478"/>
      <c r="H12" s="340">
        <f t="shared" si="1"/>
        <v>0.35416666666666696</v>
      </c>
    </row>
    <row r="13" spans="1:8">
      <c r="A13" s="337">
        <v>0.625</v>
      </c>
      <c r="B13" s="477"/>
      <c r="C13" s="479"/>
      <c r="D13" s="479" t="s">
        <v>1531</v>
      </c>
      <c r="E13" s="479"/>
      <c r="F13" s="481"/>
      <c r="G13" s="478"/>
      <c r="H13" s="340">
        <f t="shared" si="1"/>
        <v>0.375</v>
      </c>
    </row>
    <row r="14" spans="1:8">
      <c r="A14" s="337">
        <v>0.64583333333333304</v>
      </c>
      <c r="B14" s="477"/>
      <c r="C14" s="479"/>
      <c r="D14" s="479"/>
      <c r="E14" s="479"/>
      <c r="F14" s="478" t="s">
        <v>1517</v>
      </c>
      <c r="G14" s="484" t="s">
        <v>1532</v>
      </c>
      <c r="H14" s="340">
        <f t="shared" si="1"/>
        <v>0.39583333333333304</v>
      </c>
    </row>
    <row r="15" spans="1:8">
      <c r="A15" s="337">
        <v>0.66666666666666696</v>
      </c>
      <c r="B15" s="477"/>
      <c r="C15" s="341" t="s">
        <v>1518</v>
      </c>
      <c r="D15" s="479"/>
      <c r="E15" s="478" t="s">
        <v>1516</v>
      </c>
      <c r="F15" s="478"/>
      <c r="G15" s="484"/>
      <c r="H15" s="340">
        <f t="shared" si="1"/>
        <v>0.41666666666666696</v>
      </c>
    </row>
    <row r="16" spans="1:8">
      <c r="A16" s="337">
        <v>0.6875</v>
      </c>
      <c r="B16" s="477"/>
      <c r="C16" s="479" t="s">
        <v>1533</v>
      </c>
      <c r="D16" s="479" t="s">
        <v>1534</v>
      </c>
      <c r="E16" s="478"/>
      <c r="F16" s="478"/>
      <c r="G16" s="484"/>
      <c r="H16" s="340">
        <f t="shared" si="1"/>
        <v>0.4375</v>
      </c>
    </row>
    <row r="17" spans="1:8">
      <c r="A17" s="337">
        <v>0.70833333333333304</v>
      </c>
      <c r="B17" s="343" t="s">
        <v>1535</v>
      </c>
      <c r="C17" s="479"/>
      <c r="D17" s="479"/>
      <c r="E17" s="478"/>
      <c r="F17" s="478"/>
      <c r="G17" s="484"/>
      <c r="H17" s="340">
        <f t="shared" si="1"/>
        <v>0.45833333333333304</v>
      </c>
    </row>
    <row r="18" spans="1:8">
      <c r="A18" s="337">
        <v>0.72916666666666663</v>
      </c>
      <c r="B18" s="344" t="s">
        <v>1515</v>
      </c>
      <c r="C18" s="339" t="s">
        <v>1515</v>
      </c>
      <c r="D18" s="339" t="s">
        <v>1515</v>
      </c>
      <c r="E18" s="339" t="s">
        <v>1515</v>
      </c>
      <c r="F18" s="339" t="s">
        <v>1515</v>
      </c>
      <c r="G18" s="484"/>
      <c r="H18" s="340">
        <f t="shared" si="1"/>
        <v>0.47916666666666663</v>
      </c>
    </row>
    <row r="19" spans="1:8" ht="15" thickBot="1">
      <c r="A19" s="345">
        <v>0.75</v>
      </c>
      <c r="B19" s="485" t="s">
        <v>940</v>
      </c>
      <c r="C19" s="486"/>
      <c r="D19" s="486"/>
      <c r="E19" s="486"/>
      <c r="F19" s="486"/>
      <c r="G19" s="486"/>
      <c r="H19" s="346">
        <f t="shared" si="1"/>
        <v>0.5</v>
      </c>
    </row>
    <row r="21" spans="1:8" ht="15" thickBot="1">
      <c r="A21" s="8" t="s">
        <v>1536</v>
      </c>
    </row>
    <row r="22" spans="1:8">
      <c r="A22" s="333" t="s">
        <v>1511</v>
      </c>
      <c r="B22" s="334">
        <f>Planning!B27</f>
        <v>44296</v>
      </c>
      <c r="C22" s="334">
        <f>B22+1</f>
        <v>44297</v>
      </c>
      <c r="D22" s="334">
        <f t="shared" ref="D22:F22" si="2">C22+1</f>
        <v>44298</v>
      </c>
      <c r="E22" s="334">
        <f t="shared" si="2"/>
        <v>44299</v>
      </c>
      <c r="F22" s="334">
        <f t="shared" si="2"/>
        <v>44300</v>
      </c>
      <c r="G22" s="334">
        <f>F22+1</f>
        <v>44301</v>
      </c>
      <c r="H22" s="336" t="s">
        <v>1512</v>
      </c>
    </row>
    <row r="23" spans="1:8" ht="29">
      <c r="A23" s="337">
        <v>0.41666666666666702</v>
      </c>
      <c r="B23" s="477" t="s">
        <v>1513</v>
      </c>
      <c r="C23" s="338" t="s">
        <v>1514</v>
      </c>
      <c r="D23" s="339" t="s">
        <v>1515</v>
      </c>
      <c r="E23" s="339" t="s">
        <v>1515</v>
      </c>
      <c r="F23" s="487" t="s">
        <v>1516</v>
      </c>
      <c r="G23" s="487" t="s">
        <v>1517</v>
      </c>
      <c r="H23" s="340">
        <f t="shared" ref="H23:H39" si="3">+A23-0.25</f>
        <v>0.16666666666666702</v>
      </c>
    </row>
    <row r="24" spans="1:8">
      <c r="A24" s="337">
        <v>0.4375</v>
      </c>
      <c r="B24" s="477"/>
      <c r="C24" s="341" t="s">
        <v>1518</v>
      </c>
      <c r="D24" s="479" t="s">
        <v>1519</v>
      </c>
      <c r="E24" s="479" t="s">
        <v>1520</v>
      </c>
      <c r="F24" s="488"/>
      <c r="G24" s="488"/>
      <c r="H24" s="340">
        <f t="shared" si="3"/>
        <v>0.1875</v>
      </c>
    </row>
    <row r="25" spans="1:8">
      <c r="A25" s="337">
        <v>0.45833333333333398</v>
      </c>
      <c r="B25" s="480" t="s">
        <v>1521</v>
      </c>
      <c r="C25" s="481" t="s">
        <v>1522</v>
      </c>
      <c r="D25" s="479"/>
      <c r="E25" s="479"/>
      <c r="F25" s="488"/>
      <c r="G25" s="488"/>
      <c r="H25" s="340">
        <f t="shared" si="3"/>
        <v>0.20833333333333398</v>
      </c>
    </row>
    <row r="26" spans="1:8">
      <c r="A26" s="337">
        <v>0.47916666666666702</v>
      </c>
      <c r="B26" s="480"/>
      <c r="C26" s="481"/>
      <c r="D26" s="479"/>
      <c r="E26" s="479"/>
      <c r="F26" s="488"/>
      <c r="G26" s="488"/>
      <c r="H26" s="340">
        <f t="shared" si="3"/>
        <v>0.22916666666666702</v>
      </c>
    </row>
    <row r="27" spans="1:8">
      <c r="A27" s="337">
        <v>0.5</v>
      </c>
      <c r="B27" s="480"/>
      <c r="C27" s="479" t="s">
        <v>1523</v>
      </c>
      <c r="D27" s="479"/>
      <c r="E27" s="479"/>
      <c r="F27" s="488"/>
      <c r="G27" s="488"/>
      <c r="H27" s="340">
        <f t="shared" si="3"/>
        <v>0.25</v>
      </c>
    </row>
    <row r="28" spans="1:8" ht="29">
      <c r="A28" s="337">
        <v>0.52083333333333404</v>
      </c>
      <c r="B28" s="342" t="s">
        <v>1513</v>
      </c>
      <c r="C28" s="479"/>
      <c r="D28" s="479"/>
      <c r="E28" s="479"/>
      <c r="F28" s="489"/>
      <c r="G28" s="489"/>
      <c r="H28" s="340">
        <f t="shared" si="3"/>
        <v>0.27083333333333404</v>
      </c>
    </row>
    <row r="29" spans="1:8">
      <c r="A29" s="337">
        <v>0.54166666666666696</v>
      </c>
      <c r="B29" s="483" t="s">
        <v>938</v>
      </c>
      <c r="C29" s="482" t="s">
        <v>938</v>
      </c>
      <c r="D29" s="482" t="s">
        <v>938</v>
      </c>
      <c r="E29" s="482" t="s">
        <v>938</v>
      </c>
      <c r="F29" s="482" t="s">
        <v>938</v>
      </c>
      <c r="G29" s="482" t="s">
        <v>938</v>
      </c>
      <c r="H29" s="340">
        <f t="shared" si="3"/>
        <v>0.29166666666666696</v>
      </c>
    </row>
    <row r="30" spans="1:8">
      <c r="A30" s="337">
        <v>0.5625</v>
      </c>
      <c r="B30" s="483"/>
      <c r="C30" s="482"/>
      <c r="D30" s="482"/>
      <c r="E30" s="482"/>
      <c r="F30" s="482"/>
      <c r="G30" s="482"/>
      <c r="H30" s="340">
        <f t="shared" si="3"/>
        <v>0.3125</v>
      </c>
    </row>
    <row r="31" spans="1:8">
      <c r="A31" s="337">
        <v>0.58333333333333304</v>
      </c>
      <c r="B31" s="487" t="s">
        <v>1525</v>
      </c>
      <c r="C31" s="479" t="s">
        <v>1526</v>
      </c>
      <c r="D31" s="479" t="s">
        <v>1527</v>
      </c>
      <c r="E31" s="479" t="s">
        <v>1528</v>
      </c>
      <c r="F31" s="339" t="s">
        <v>1518</v>
      </c>
      <c r="G31" s="339" t="s">
        <v>1518</v>
      </c>
      <c r="H31" s="340">
        <f t="shared" si="3"/>
        <v>0.33333333333333304</v>
      </c>
    </row>
    <row r="32" spans="1:8">
      <c r="A32" s="337">
        <v>0.60416666666666696</v>
      </c>
      <c r="B32" s="488"/>
      <c r="C32" s="479"/>
      <c r="D32" s="479"/>
      <c r="E32" s="479"/>
      <c r="F32" s="481" t="s">
        <v>1524</v>
      </c>
      <c r="G32" s="481" t="s">
        <v>795</v>
      </c>
      <c r="H32" s="340">
        <f t="shared" si="3"/>
        <v>0.35416666666666696</v>
      </c>
    </row>
    <row r="33" spans="1:8">
      <c r="A33" s="337">
        <v>0.625</v>
      </c>
      <c r="B33" s="488"/>
      <c r="C33" s="479"/>
      <c r="D33" s="479" t="s">
        <v>1531</v>
      </c>
      <c r="E33" s="479"/>
      <c r="F33" s="481"/>
      <c r="G33" s="481"/>
      <c r="H33" s="340">
        <f t="shared" si="3"/>
        <v>0.375</v>
      </c>
    </row>
    <row r="34" spans="1:8">
      <c r="A34" s="337">
        <v>0.64583333333333304</v>
      </c>
      <c r="B34" s="488"/>
      <c r="C34" s="479"/>
      <c r="D34" s="479"/>
      <c r="E34" s="479"/>
      <c r="F34" s="481" t="s">
        <v>1530</v>
      </c>
      <c r="G34" s="490" t="s">
        <v>1537</v>
      </c>
      <c r="H34" s="340">
        <f t="shared" si="3"/>
        <v>0.39583333333333304</v>
      </c>
    </row>
    <row r="35" spans="1:8">
      <c r="A35" s="337">
        <v>0.66666666666666696</v>
      </c>
      <c r="B35" s="489"/>
      <c r="C35" s="341" t="s">
        <v>1518</v>
      </c>
      <c r="D35" s="479"/>
      <c r="E35" s="478" t="s">
        <v>1516</v>
      </c>
      <c r="F35" s="481"/>
      <c r="G35" s="491"/>
      <c r="H35" s="340">
        <f t="shared" si="3"/>
        <v>0.41666666666666696</v>
      </c>
    </row>
    <row r="36" spans="1:8">
      <c r="A36" s="337">
        <v>0.6875</v>
      </c>
      <c r="B36" s="347" t="s">
        <v>1538</v>
      </c>
      <c r="C36" s="479" t="s">
        <v>1533</v>
      </c>
      <c r="D36" s="479" t="s">
        <v>1534</v>
      </c>
      <c r="E36" s="478"/>
      <c r="F36" s="487" t="s">
        <v>1517</v>
      </c>
      <c r="G36" s="490" t="s">
        <v>1539</v>
      </c>
      <c r="H36" s="340">
        <f t="shared" si="3"/>
        <v>0.4375</v>
      </c>
    </row>
    <row r="37" spans="1:8">
      <c r="A37" s="337">
        <v>0.70833333333333304</v>
      </c>
      <c r="B37" s="343" t="s">
        <v>1535</v>
      </c>
      <c r="C37" s="479"/>
      <c r="D37" s="479"/>
      <c r="E37" s="478"/>
      <c r="F37" s="489"/>
      <c r="G37" s="491"/>
      <c r="H37" s="340">
        <f t="shared" si="3"/>
        <v>0.45833333333333304</v>
      </c>
    </row>
    <row r="38" spans="1:8">
      <c r="A38" s="337">
        <v>0.72916666666666663</v>
      </c>
      <c r="B38" s="344" t="s">
        <v>1515</v>
      </c>
      <c r="C38" s="339" t="s">
        <v>1515</v>
      </c>
      <c r="D38" s="339" t="s">
        <v>1515</v>
      </c>
      <c r="E38" s="339" t="s">
        <v>1515</v>
      </c>
      <c r="F38" s="339" t="s">
        <v>1515</v>
      </c>
      <c r="G38" s="492"/>
      <c r="H38" s="340">
        <f t="shared" si="3"/>
        <v>0.47916666666666663</v>
      </c>
    </row>
    <row r="39" spans="1:8" ht="15" thickBot="1">
      <c r="A39" s="345">
        <v>0.75</v>
      </c>
      <c r="B39" s="485" t="s">
        <v>940</v>
      </c>
      <c r="C39" s="486"/>
      <c r="D39" s="486"/>
      <c r="E39" s="486"/>
      <c r="F39" s="486"/>
      <c r="G39" s="486"/>
      <c r="H39" s="346">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W22" sqref="W22"/>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1023</v>
      </c>
      <c r="C1" t="s">
        <v>1024</v>
      </c>
      <c r="E1" s="148" t="s">
        <v>883</v>
      </c>
      <c r="F1" s="148" t="s">
        <v>884</v>
      </c>
      <c r="G1" s="148" t="s">
        <v>836</v>
      </c>
      <c r="H1" s="148" t="s">
        <v>885</v>
      </c>
      <c r="I1" s="148" t="s">
        <v>886</v>
      </c>
      <c r="J1" s="148" t="s">
        <v>887</v>
      </c>
      <c r="K1" s="148" t="s">
        <v>888</v>
      </c>
      <c r="L1" s="148" t="s">
        <v>889</v>
      </c>
      <c r="M1" s="148" t="s">
        <v>890</v>
      </c>
      <c r="N1" s="148" t="s">
        <v>891</v>
      </c>
      <c r="O1" s="148" t="s">
        <v>753</v>
      </c>
      <c r="P1" s="148" t="s">
        <v>892</v>
      </c>
      <c r="Q1" s="148" t="s">
        <v>893</v>
      </c>
      <c r="R1" s="148" t="s">
        <v>894</v>
      </c>
      <c r="S1" s="148" t="s">
        <v>895</v>
      </c>
      <c r="T1" s="148" t="s">
        <v>751</v>
      </c>
      <c r="U1" s="148" t="s">
        <v>896</v>
      </c>
      <c r="V1" s="148" t="s">
        <v>897</v>
      </c>
      <c r="W1" s="148" t="s">
        <v>910</v>
      </c>
      <c r="X1" s="148" t="s">
        <v>911</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22" t="s">
        <v>411</v>
      </c>
      <c r="S5" s="422" t="s">
        <v>411</v>
      </c>
      <c r="W5" s="282" t="s">
        <v>411</v>
      </c>
      <c r="X5" s="282" t="s">
        <v>411</v>
      </c>
    </row>
    <row r="6" spans="1:24">
      <c r="A6" s="129" t="str">
        <f>'P1PA-SS'!A92</f>
        <v>Appraisal team member</v>
      </c>
      <c r="B6" s="131" t="str">
        <f>'P1PA-SS'!B92</f>
        <v>ATM-2</v>
      </c>
      <c r="C6" s="129" t="str">
        <f>'P1PA-SS'!V92</f>
        <v>atm2.email@gmail.com</v>
      </c>
      <c r="D6" s="128">
        <f t="shared" ref="D6:D13" si="1">COUNTIF(E6:Y6,"x")</f>
        <v>2</v>
      </c>
      <c r="G6" s="282" t="s">
        <v>411</v>
      </c>
      <c r="J6" s="422" t="s">
        <v>411</v>
      </c>
    </row>
    <row r="7" spans="1:24">
      <c r="A7" s="129" t="str">
        <f>'P1PA-SS'!A93</f>
        <v>Appraisal team member</v>
      </c>
      <c r="B7" s="131" t="str">
        <f>'P1PA-SS'!B93</f>
        <v>ATM-3</v>
      </c>
      <c r="C7" s="129" t="str">
        <f>'P1PA-SS'!V93</f>
        <v>atm3.email@gmail.com</v>
      </c>
      <c r="D7" s="128">
        <f t="shared" si="1"/>
        <v>3</v>
      </c>
      <c r="H7" s="422" t="s">
        <v>411</v>
      </c>
      <c r="T7" s="422" t="s">
        <v>411</v>
      </c>
      <c r="U7" s="422" t="s">
        <v>411</v>
      </c>
    </row>
    <row r="8" spans="1:24" s="129" customFormat="1">
      <c r="A8" s="129" t="str">
        <f>'P1PA-SS'!A94</f>
        <v>Appraisal team member</v>
      </c>
      <c r="B8" s="131" t="str">
        <f>'P1PA-SS'!B94</f>
        <v>ATM-4</v>
      </c>
      <c r="C8" s="129" t="str">
        <f>'P1PA-SS'!V94</f>
        <v>atm4.email@gmail.com</v>
      </c>
      <c r="D8" s="128">
        <f t="shared" si="1"/>
        <v>5</v>
      </c>
      <c r="E8" s="422" t="s">
        <v>411</v>
      </c>
      <c r="F8" s="422" t="s">
        <v>411</v>
      </c>
      <c r="G8" s="128"/>
      <c r="H8" s="128"/>
      <c r="I8" s="422" t="s">
        <v>411</v>
      </c>
      <c r="J8" s="128"/>
      <c r="K8" s="128"/>
      <c r="L8" s="128"/>
      <c r="M8" s="128"/>
      <c r="N8" s="422" t="s">
        <v>411</v>
      </c>
      <c r="O8" s="422"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22" t="s">
        <v>411</v>
      </c>
      <c r="M9" s="422" t="s">
        <v>411</v>
      </c>
      <c r="N9" s="128"/>
      <c r="O9" s="128"/>
      <c r="P9" s="422" t="s">
        <v>411</v>
      </c>
      <c r="Q9" s="422" t="s">
        <v>411</v>
      </c>
      <c r="R9" s="422"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22" t="s">
        <v>411</v>
      </c>
      <c r="M10" s="422" t="s">
        <v>411</v>
      </c>
      <c r="N10" s="128"/>
      <c r="O10" s="128"/>
      <c r="P10" s="422" t="s">
        <v>411</v>
      </c>
      <c r="Q10" s="422" t="s">
        <v>411</v>
      </c>
      <c r="R10" s="422"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22" t="s">
        <v>411</v>
      </c>
      <c r="M11" s="422" t="s">
        <v>411</v>
      </c>
      <c r="N11" s="128"/>
      <c r="O11" s="128"/>
      <c r="P11" s="422" t="s">
        <v>411</v>
      </c>
      <c r="Q11" s="422" t="s">
        <v>411</v>
      </c>
      <c r="R11" s="422" t="s">
        <v>411</v>
      </c>
      <c r="S11" s="128"/>
      <c r="T11" s="128"/>
      <c r="U11" s="128"/>
      <c r="V11" s="128"/>
      <c r="W11" s="128"/>
      <c r="X11" s="128"/>
    </row>
    <row r="12" spans="1:24" s="320" customFormat="1">
      <c r="A12" s="320" t="str">
        <f>'P1PA-SS'!A98</f>
        <v>Appraisal team member</v>
      </c>
      <c r="B12" s="131" t="str">
        <f>'P1PA-SS'!B98</f>
        <v>ATM-8</v>
      </c>
      <c r="C12" s="320" t="str">
        <f>'P1PA-SS'!V98</f>
        <v>atm8.email@gmail.com</v>
      </c>
      <c r="D12" s="128">
        <f t="shared" si="1"/>
        <v>0</v>
      </c>
      <c r="E12" s="128"/>
      <c r="F12" s="128"/>
      <c r="G12" s="128"/>
      <c r="H12" s="128"/>
      <c r="I12" s="128"/>
      <c r="J12" s="128"/>
      <c r="K12" s="128"/>
      <c r="L12" s="422"/>
      <c r="M12" s="422"/>
      <c r="N12" s="128"/>
      <c r="O12" s="128"/>
      <c r="P12" s="422"/>
      <c r="Q12" s="422"/>
      <c r="R12" s="422"/>
      <c r="S12" s="128"/>
      <c r="T12" s="128"/>
      <c r="U12" s="128"/>
      <c r="V12" s="128"/>
      <c r="W12" s="128"/>
      <c r="X12" s="128"/>
    </row>
    <row r="13" spans="1:24" s="320" customFormat="1">
      <c r="A13" s="320" t="str">
        <f>'P1PA-SS'!A99</f>
        <v>Appraisal team member</v>
      </c>
      <c r="B13" s="131" t="str">
        <f>'P1PA-SS'!B99</f>
        <v>ATM-9</v>
      </c>
      <c r="C13" s="320" t="str">
        <f>'P1PA-SS'!V99</f>
        <v>atm9.email@gmail.com</v>
      </c>
      <c r="D13" s="128">
        <f t="shared" si="1"/>
        <v>0</v>
      </c>
      <c r="E13" s="128"/>
      <c r="F13" s="128"/>
      <c r="G13" s="128"/>
      <c r="H13" s="128"/>
      <c r="I13" s="128"/>
      <c r="J13" s="128"/>
      <c r="K13" s="128"/>
      <c r="L13" s="422"/>
      <c r="M13" s="422"/>
      <c r="N13" s="128"/>
      <c r="O13" s="128"/>
      <c r="P13" s="422"/>
      <c r="Q13" s="422"/>
      <c r="R13" s="422"/>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2" t="s">
        <v>1716</v>
      </c>
    </row>
    <row r="22" spans="1:24">
      <c r="C22" s="422" t="s">
        <v>1717</v>
      </c>
    </row>
    <row r="23" spans="1:24">
      <c r="C23" s="149" t="s">
        <v>1718</v>
      </c>
    </row>
    <row r="24" spans="1:24">
      <c r="C24" s="284" t="s">
        <v>1719</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topLeftCell="A11" workbookViewId="0">
      <selection activeCell="A24" sqref="A24:D50"/>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1490</v>
      </c>
      <c r="B1" s="118"/>
      <c r="C1" s="118"/>
      <c r="D1" s="118"/>
    </row>
    <row r="2" spans="1:22" s="117" customFormat="1">
      <c r="A2" s="28" t="s">
        <v>1479</v>
      </c>
      <c r="B2" s="29"/>
      <c r="C2" s="29"/>
      <c r="D2" s="29"/>
      <c r="E2" s="125"/>
      <c r="F2" s="125"/>
      <c r="G2" s="125"/>
      <c r="H2" s="125"/>
      <c r="I2" s="125"/>
      <c r="J2" s="125"/>
      <c r="K2" s="125"/>
      <c r="L2" s="125"/>
      <c r="M2" s="125"/>
      <c r="N2" s="125"/>
      <c r="O2" s="125"/>
      <c r="P2" s="125"/>
      <c r="Q2" s="125"/>
      <c r="R2" s="125"/>
      <c r="S2" s="125"/>
      <c r="T2" s="125"/>
      <c r="U2" s="125"/>
      <c r="V2" s="125"/>
    </row>
    <row r="3" spans="1:22">
      <c r="A3" s="125" t="s">
        <v>908</v>
      </c>
      <c r="B3" s="64" t="s">
        <v>1480</v>
      </c>
      <c r="C3" s="331" t="s">
        <v>1481</v>
      </c>
    </row>
    <row r="4" spans="1:22">
      <c r="A4" s="125" t="s">
        <v>625</v>
      </c>
      <c r="B4" s="64">
        <v>1</v>
      </c>
      <c r="C4" s="331" t="str">
        <f t="shared" ref="C4:C20" si="0">_xlfn.CONCAT(A4, " (",B4,")")</f>
        <v>ATL (1)</v>
      </c>
    </row>
    <row r="5" spans="1:22">
      <c r="A5" s="125" t="s">
        <v>1023</v>
      </c>
      <c r="B5" s="64">
        <v>4</v>
      </c>
      <c r="C5" s="331" t="str">
        <f t="shared" si="0"/>
        <v>ATM (4)</v>
      </c>
    </row>
    <row r="6" spans="1:22">
      <c r="A6" s="125" t="s">
        <v>751</v>
      </c>
      <c r="B6" s="64">
        <v>1</v>
      </c>
      <c r="C6" s="331" t="str">
        <f t="shared" si="0"/>
        <v>CM (1)</v>
      </c>
    </row>
    <row r="7" spans="1:22">
      <c r="A7" s="125" t="s">
        <v>1459</v>
      </c>
      <c r="B7" s="64">
        <v>6</v>
      </c>
      <c r="C7" s="331" t="str">
        <f t="shared" si="0"/>
        <v>Engineers (6)</v>
      </c>
    </row>
    <row r="8" spans="1:22">
      <c r="A8" s="125" t="s">
        <v>1478</v>
      </c>
      <c r="B8" s="64">
        <v>1</v>
      </c>
      <c r="C8" s="331" t="str">
        <f t="shared" si="0"/>
        <v>EPG (1)</v>
      </c>
    </row>
    <row r="9" spans="1:22">
      <c r="A9" s="125" t="s">
        <v>753</v>
      </c>
      <c r="B9" s="64">
        <v>1</v>
      </c>
      <c r="C9" s="331" t="str">
        <f t="shared" si="0"/>
        <v>OT (1)</v>
      </c>
    </row>
    <row r="10" spans="1:22">
      <c r="A10" s="125" t="s">
        <v>1483</v>
      </c>
      <c r="B10" s="64">
        <v>1</v>
      </c>
      <c r="C10" s="331" t="str">
        <f t="shared" si="0"/>
        <v>OUC (1)</v>
      </c>
    </row>
    <row r="11" spans="1:22">
      <c r="A11" s="125" t="s">
        <v>1466</v>
      </c>
      <c r="B11" s="64">
        <v>2</v>
      </c>
      <c r="C11" s="331" t="str">
        <f t="shared" si="0"/>
        <v>PMs (2)</v>
      </c>
    </row>
    <row r="12" spans="1:22">
      <c r="A12" s="125" t="s">
        <v>752</v>
      </c>
      <c r="B12" s="64">
        <v>1</v>
      </c>
      <c r="C12" s="331" t="str">
        <f t="shared" si="0"/>
        <v>PPQA (1)</v>
      </c>
    </row>
    <row r="13" spans="1:22">
      <c r="A13" s="125" t="s">
        <v>1482</v>
      </c>
      <c r="B13" s="64">
        <v>2</v>
      </c>
      <c r="C13" s="331" t="str">
        <f t="shared" si="0"/>
        <v>SM (2)</v>
      </c>
    </row>
    <row r="14" spans="1:22">
      <c r="A14" s="125" t="s">
        <v>593</v>
      </c>
      <c r="B14" s="64">
        <v>1</v>
      </c>
      <c r="C14" s="331" t="str">
        <f t="shared" si="0"/>
        <v>Sponsor (1)</v>
      </c>
    </row>
    <row r="15" spans="1:22">
      <c r="A15" s="125" t="s">
        <v>1484</v>
      </c>
      <c r="B15" s="64">
        <v>1</v>
      </c>
      <c r="C15" s="331" t="str">
        <f t="shared" si="0"/>
        <v>RI (1)</v>
      </c>
    </row>
    <row r="16" spans="1:22">
      <c r="A16" s="125" t="s">
        <v>1485</v>
      </c>
      <c r="B16" s="64">
        <f>B7+B6</f>
        <v>7</v>
      </c>
      <c r="C16" s="331" t="str">
        <f t="shared" si="0"/>
        <v>ParticipantsPrelim1 (7)</v>
      </c>
    </row>
    <row r="17" spans="1:22">
      <c r="A17" s="125" t="s">
        <v>1486</v>
      </c>
      <c r="B17" s="64">
        <f>B8+B9+B11+B12</f>
        <v>5</v>
      </c>
      <c r="C17" s="331" t="str">
        <f t="shared" si="0"/>
        <v>ParticipantsPrelim2 (5)</v>
      </c>
    </row>
    <row r="18" spans="1:22">
      <c r="A18" s="125" t="s">
        <v>1489</v>
      </c>
      <c r="B18" s="64">
        <v>5</v>
      </c>
      <c r="C18" s="331" t="str">
        <f t="shared" si="0"/>
        <v>ParticipantsTechTest (5)</v>
      </c>
    </row>
    <row r="19" spans="1:22">
      <c r="A19" s="125" t="s">
        <v>1487</v>
      </c>
      <c r="B19" s="64">
        <f>B13+B12+B11+B10+B9+B7+B6+B5</f>
        <v>18</v>
      </c>
      <c r="C19" s="331" t="str">
        <f t="shared" si="0"/>
        <v>ParticipantsOpen (18)</v>
      </c>
    </row>
    <row r="20" spans="1:22">
      <c r="A20" s="125" t="s">
        <v>1488</v>
      </c>
      <c r="B20" s="64">
        <f>B14+B13+B12+B11+B10+B8+B7+B6</f>
        <v>15</v>
      </c>
      <c r="C20" s="331" t="str">
        <f t="shared" si="0"/>
        <v>ParticipantsFinal (15)</v>
      </c>
    </row>
    <row r="21" spans="1:22" s="238" customFormat="1">
      <c r="B21" s="332"/>
      <c r="C21" s="332"/>
    </row>
    <row r="22" spans="1:22" s="117" customFormat="1">
      <c r="A22" s="28" t="s">
        <v>1491</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1449</v>
      </c>
      <c r="B23" s="14" t="s">
        <v>1450</v>
      </c>
      <c r="C23" s="14" t="s">
        <v>1451</v>
      </c>
      <c r="D23" s="14" t="s">
        <v>1452</v>
      </c>
    </row>
    <row r="24" spans="1:22">
      <c r="A24" s="125" t="s">
        <v>1453</v>
      </c>
      <c r="B24" s="87" t="str">
        <f>C4</f>
        <v>ATL (1)</v>
      </c>
      <c r="C24" s="125" t="s">
        <v>1454</v>
      </c>
      <c r="D24" s="125">
        <v>120</v>
      </c>
    </row>
    <row r="25" spans="1:22">
      <c r="A25" s="125" t="s">
        <v>1453</v>
      </c>
      <c r="B25" s="87" t="str">
        <f>C5</f>
        <v>ATM (4)</v>
      </c>
      <c r="C25" s="125" t="s">
        <v>1454</v>
      </c>
      <c r="D25" s="125">
        <v>8</v>
      </c>
    </row>
    <row r="26" spans="1:22">
      <c r="A26" s="125" t="s">
        <v>1455</v>
      </c>
      <c r="B26" s="87" t="str">
        <f>_xlfn.CONCAT(C4,", ",C5,", ",C15)</f>
        <v>ATL (1), ATM (4), RI (1)</v>
      </c>
      <c r="C26" s="125" t="s">
        <v>1456</v>
      </c>
      <c r="D26" s="125">
        <v>8</v>
      </c>
    </row>
    <row r="27" spans="1:22">
      <c r="A27" s="125" t="s">
        <v>751</v>
      </c>
      <c r="B27" s="87" t="str">
        <f>_xlfn.CONCAT(B26,", ",C6)</f>
        <v>ATL (1), ATM (4), RI (1), CM (1)</v>
      </c>
      <c r="C27" s="125" t="s">
        <v>615</v>
      </c>
      <c r="D27" s="125">
        <v>1</v>
      </c>
    </row>
    <row r="28" spans="1:22">
      <c r="A28" s="125" t="s">
        <v>1457</v>
      </c>
      <c r="B28" s="87" t="str">
        <f>B26</f>
        <v>ATL (1), ATM (4), RI (1)</v>
      </c>
      <c r="C28" s="125" t="s">
        <v>1458</v>
      </c>
      <c r="D28" s="125">
        <v>12</v>
      </c>
    </row>
    <row r="29" spans="1:22">
      <c r="A29" s="125" t="s">
        <v>1459</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1460</v>
      </c>
      <c r="B32" s="87" t="str">
        <f>B26</f>
        <v>ATL (1), ATM (4), RI (1)</v>
      </c>
      <c r="C32" s="125" t="s">
        <v>1461</v>
      </c>
      <c r="D32" s="125">
        <v>24</v>
      </c>
    </row>
    <row r="33" spans="1:4">
      <c r="A33" s="125" t="s">
        <v>1462</v>
      </c>
      <c r="B33" s="87" t="str">
        <f>_xlfn.CONCAT(C4,", ",C15,", ",C10,", ",C8)</f>
        <v>ATL (1), RI (1), OUC (1), EPG (1)</v>
      </c>
      <c r="C33" s="125" t="s">
        <v>1463</v>
      </c>
      <c r="D33" s="125">
        <v>40</v>
      </c>
    </row>
    <row r="34" spans="1:4">
      <c r="A34" s="125" t="s">
        <v>1464</v>
      </c>
      <c r="B34" s="87" t="str">
        <f>_xlfn.CONCAT(C4,", ",C15,", ",C10,", ",C8)</f>
        <v>ATL (1), RI (1), OUC (1), EPG (1)</v>
      </c>
      <c r="C34" s="125" t="s">
        <v>1463</v>
      </c>
      <c r="D34" s="125">
        <v>120</v>
      </c>
    </row>
    <row r="35" spans="1:4">
      <c r="A35" s="125" t="s">
        <v>634</v>
      </c>
      <c r="B35" s="87" t="str">
        <f>_xlfn.CONCAT(B26,", ",C19,", ",C14)</f>
        <v>ATL (1), ATM (4), RI (1), ParticipantsOpen (18), Sponsor (1)</v>
      </c>
      <c r="C35" s="125" t="s">
        <v>1465</v>
      </c>
      <c r="D35" s="125">
        <v>1</v>
      </c>
    </row>
    <row r="36" spans="1:4">
      <c r="A36" s="125" t="s">
        <v>753</v>
      </c>
      <c r="B36" s="87" t="str">
        <f>_xlfn.CONCAT(B26,", ",C9)</f>
        <v>ATL (1), ATM (4), RI (1), OT (1)</v>
      </c>
      <c r="C36" s="125" t="s">
        <v>615</v>
      </c>
      <c r="D36" s="125">
        <v>1</v>
      </c>
    </row>
    <row r="37" spans="1:4">
      <c r="A37" s="125" t="s">
        <v>1466</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1467</v>
      </c>
      <c r="B39" s="87" t="str">
        <f>_xlfn.CONCAT(B26,", ",C16)</f>
        <v>ATL (1), ATM (4), RI (1), ParticipantsPrelim1 (7)</v>
      </c>
      <c r="C39" s="125" t="s">
        <v>755</v>
      </c>
      <c r="D39" s="125">
        <v>1</v>
      </c>
    </row>
    <row r="40" spans="1:4">
      <c r="A40" s="125" t="s">
        <v>1468</v>
      </c>
      <c r="B40" s="87" t="str">
        <f>_xlfn.CONCAT(B26,", ",C17)</f>
        <v>ATL (1), ATM (4), RI (1), ParticipantsPrelim2 (5)</v>
      </c>
      <c r="C40" s="125" t="s">
        <v>755</v>
      </c>
      <c r="D40" s="125">
        <v>1</v>
      </c>
    </row>
    <row r="41" spans="1:4">
      <c r="A41" s="125" t="s">
        <v>1469</v>
      </c>
      <c r="B41" s="87" t="str">
        <f>B26</f>
        <v>ATL (1), ATM (4), RI (1)</v>
      </c>
      <c r="C41" s="125" t="s">
        <v>1470</v>
      </c>
      <c r="D41" s="125">
        <v>4</v>
      </c>
    </row>
    <row r="42" spans="1:4">
      <c r="A42" s="125" t="s">
        <v>1471</v>
      </c>
      <c r="B42" s="87" t="str">
        <f>B26</f>
        <v>ATL (1), ATM (4), RI (1)</v>
      </c>
      <c r="C42" s="125" t="s">
        <v>1470</v>
      </c>
      <c r="D42" s="125">
        <v>8</v>
      </c>
    </row>
    <row r="43" spans="1:4">
      <c r="A43" s="125" t="s">
        <v>1472</v>
      </c>
      <c r="B43" s="87" t="str">
        <f>_xlfn.CONCAT(B26,", ",C20,", ",C14)</f>
        <v>ATL (1), ATM (4), RI (1), ParticipantsFinal (15), Sponsor (1)</v>
      </c>
      <c r="C43" s="125" t="s">
        <v>1473</v>
      </c>
      <c r="D43" s="125">
        <v>4</v>
      </c>
    </row>
    <row r="44" spans="1:4">
      <c r="A44" s="125" t="s">
        <v>933</v>
      </c>
      <c r="B44" s="87" t="str">
        <f>B26</f>
        <v>ATL (1), ATM (4), RI (1)</v>
      </c>
      <c r="C44" s="125" t="s">
        <v>1474</v>
      </c>
      <c r="D44" s="125">
        <v>18</v>
      </c>
    </row>
    <row r="45" spans="1:4">
      <c r="A45" s="125" t="s">
        <v>1475</v>
      </c>
      <c r="B45" s="87" t="str">
        <f>_xlfn.CONCAT(B26,", ",C13)</f>
        <v>ATL (1), ATM (4), RI (1), SM (2)</v>
      </c>
      <c r="C45" s="125" t="s">
        <v>615</v>
      </c>
      <c r="D45" s="125">
        <v>1</v>
      </c>
    </row>
    <row r="46" spans="1:4">
      <c r="A46" s="125" t="s">
        <v>1476</v>
      </c>
      <c r="B46" s="87" t="str">
        <f>_xlfn.CONCAT(B26,", ",C14)</f>
        <v>ATL (1), ATM (4), RI (1), Sponsor (1)</v>
      </c>
      <c r="C46" s="125" t="s">
        <v>1454</v>
      </c>
      <c r="D46" s="125">
        <v>5</v>
      </c>
    </row>
    <row r="47" spans="1:4">
      <c r="A47" s="125" t="s">
        <v>1477</v>
      </c>
      <c r="B47" s="87" t="str">
        <f>_xlfn.CONCAT(B26,", ",C18)</f>
        <v>ATL (1), ATM (4), RI (1), ParticipantsTechTest (5)</v>
      </c>
      <c r="C47" s="125" t="s">
        <v>1477</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H2" sqref="H2"/>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1361</v>
      </c>
      <c r="B1" t="s">
        <v>1344</v>
      </c>
      <c r="C1" s="283" t="s">
        <v>1345</v>
      </c>
      <c r="D1" t="s">
        <v>1362</v>
      </c>
      <c r="E1" t="s">
        <v>1363</v>
      </c>
      <c r="F1" s="283" t="s">
        <v>1348</v>
      </c>
      <c r="G1" s="283" t="s">
        <v>1349</v>
      </c>
      <c r="H1" t="s">
        <v>1364</v>
      </c>
      <c r="I1" t="s">
        <v>1365</v>
      </c>
      <c r="J1" t="s">
        <v>1366</v>
      </c>
      <c r="K1" t="s">
        <v>31</v>
      </c>
      <c r="L1" t="s">
        <v>32</v>
      </c>
      <c r="M1" t="s">
        <v>33</v>
      </c>
      <c r="N1" t="s">
        <v>34</v>
      </c>
      <c r="O1" t="s">
        <v>35</v>
      </c>
      <c r="P1" t="s">
        <v>17</v>
      </c>
    </row>
    <row r="2" spans="1:16">
      <c r="A2" t="s">
        <v>1390</v>
      </c>
      <c r="B2" t="s">
        <v>1368</v>
      </c>
      <c r="C2">
        <v>1</v>
      </c>
      <c r="D2" t="s">
        <v>1609</v>
      </c>
      <c r="E2" t="s">
        <v>388</v>
      </c>
      <c r="H2" t="s">
        <v>1384</v>
      </c>
      <c r="I2" t="s">
        <v>388</v>
      </c>
      <c r="J2" t="s">
        <v>1633</v>
      </c>
      <c r="K2" t="s">
        <v>1665</v>
      </c>
      <c r="L2" t="s">
        <v>1664</v>
      </c>
      <c r="M2" t="s">
        <v>1652</v>
      </c>
      <c r="N2" t="s">
        <v>1653</v>
      </c>
      <c r="O2" t="s">
        <v>1669</v>
      </c>
      <c r="P2" t="s">
        <v>80</v>
      </c>
    </row>
    <row r="3" spans="1:16">
      <c r="A3" t="s">
        <v>1391</v>
      </c>
      <c r="B3" t="s">
        <v>1368</v>
      </c>
      <c r="C3">
        <v>1</v>
      </c>
      <c r="D3" t="s">
        <v>1610</v>
      </c>
      <c r="E3" t="s">
        <v>388</v>
      </c>
      <c r="H3" t="s">
        <v>1384</v>
      </c>
      <c r="I3" t="s">
        <v>388</v>
      </c>
      <c r="J3" t="s">
        <v>1634</v>
      </c>
      <c r="K3" t="s">
        <v>1665</v>
      </c>
      <c r="L3" t="s">
        <v>1664</v>
      </c>
      <c r="M3" t="s">
        <v>1652</v>
      </c>
      <c r="N3" t="s">
        <v>1653</v>
      </c>
      <c r="O3" t="s">
        <v>1669</v>
      </c>
      <c r="P3" t="s">
        <v>80</v>
      </c>
    </row>
    <row r="4" spans="1:16">
      <c r="A4" t="s">
        <v>1392</v>
      </c>
      <c r="B4" t="s">
        <v>1368</v>
      </c>
      <c r="C4">
        <v>1</v>
      </c>
      <c r="D4" t="s">
        <v>1611</v>
      </c>
      <c r="E4" t="s">
        <v>388</v>
      </c>
      <c r="H4" t="s">
        <v>1384</v>
      </c>
      <c r="I4" t="s">
        <v>388</v>
      </c>
      <c r="J4" t="s">
        <v>1635</v>
      </c>
      <c r="K4" t="s">
        <v>1665</v>
      </c>
      <c r="L4" t="s">
        <v>1664</v>
      </c>
      <c r="M4" t="s">
        <v>1652</v>
      </c>
      <c r="N4" t="s">
        <v>1653</v>
      </c>
      <c r="O4" t="s">
        <v>1669</v>
      </c>
      <c r="P4" t="s">
        <v>80</v>
      </c>
    </row>
    <row r="5" spans="1:16">
      <c r="A5" t="s">
        <v>1393</v>
      </c>
      <c r="B5" t="s">
        <v>1368</v>
      </c>
      <c r="C5">
        <v>1</v>
      </c>
      <c r="D5" t="s">
        <v>1612</v>
      </c>
      <c r="E5" t="s">
        <v>388</v>
      </c>
      <c r="H5" t="s">
        <v>1384</v>
      </c>
      <c r="I5" t="s">
        <v>388</v>
      </c>
      <c r="J5" t="s">
        <v>1636</v>
      </c>
      <c r="K5" t="s">
        <v>1665</v>
      </c>
      <c r="L5" t="s">
        <v>1664</v>
      </c>
      <c r="M5" t="s">
        <v>1652</v>
      </c>
      <c r="N5" t="s">
        <v>1653</v>
      </c>
      <c r="O5" t="s">
        <v>1669</v>
      </c>
      <c r="P5" t="s">
        <v>80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A4" sqref="A4"/>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1343</v>
      </c>
      <c r="B1" t="s">
        <v>1344</v>
      </c>
      <c r="C1" s="283" t="s">
        <v>1345</v>
      </c>
      <c r="D1" t="s">
        <v>1346</v>
      </c>
      <c r="E1" t="s">
        <v>1347</v>
      </c>
      <c r="F1" s="283" t="s">
        <v>1348</v>
      </c>
      <c r="G1" s="283" t="s">
        <v>1349</v>
      </c>
      <c r="H1" t="s">
        <v>1350</v>
      </c>
      <c r="I1" s="283" t="s">
        <v>1351</v>
      </c>
      <c r="J1" s="283" t="s">
        <v>1352</v>
      </c>
      <c r="K1" s="283" t="s">
        <v>1353</v>
      </c>
      <c r="L1" s="283" t="s">
        <v>1354</v>
      </c>
      <c r="M1" t="s">
        <v>1355</v>
      </c>
      <c r="N1" s="283" t="s">
        <v>1356</v>
      </c>
      <c r="O1" t="s">
        <v>1357</v>
      </c>
      <c r="P1" t="s">
        <v>32</v>
      </c>
      <c r="Q1" t="s">
        <v>1358</v>
      </c>
      <c r="R1" t="s">
        <v>34</v>
      </c>
      <c r="S1" t="s">
        <v>35</v>
      </c>
      <c r="T1" t="s">
        <v>1359</v>
      </c>
    </row>
    <row r="2" spans="1:20" ht="24" customHeight="1">
      <c r="A2" t="s">
        <v>1602</v>
      </c>
      <c r="C2">
        <v>5</v>
      </c>
      <c r="D2" t="s">
        <v>1601</v>
      </c>
      <c r="E2" t="s">
        <v>388</v>
      </c>
      <c r="H2" t="s">
        <v>1384</v>
      </c>
      <c r="I2" t="s">
        <v>1371</v>
      </c>
      <c r="J2" t="s">
        <v>1153</v>
      </c>
      <c r="K2" s="324">
        <v>44021</v>
      </c>
      <c r="L2" s="324">
        <v>44260</v>
      </c>
      <c r="M2" t="s">
        <v>388</v>
      </c>
      <c r="N2" t="s">
        <v>1617</v>
      </c>
      <c r="O2" t="s">
        <v>1665</v>
      </c>
      <c r="P2" t="s">
        <v>1664</v>
      </c>
      <c r="Q2" t="s">
        <v>1652</v>
      </c>
      <c r="R2" t="s">
        <v>1653</v>
      </c>
      <c r="S2" t="s">
        <v>1669</v>
      </c>
      <c r="T2" t="s">
        <v>80</v>
      </c>
    </row>
    <row r="3" spans="1:20" ht="24" customHeight="1">
      <c r="A3" t="s">
        <v>1603</v>
      </c>
      <c r="C3">
        <v>5</v>
      </c>
      <c r="D3" t="s">
        <v>1604</v>
      </c>
      <c r="E3" t="s">
        <v>388</v>
      </c>
      <c r="H3" t="s">
        <v>1384</v>
      </c>
      <c r="I3" t="s">
        <v>1371</v>
      </c>
      <c r="J3" t="s">
        <v>1153</v>
      </c>
      <c r="K3" s="324">
        <v>44086</v>
      </c>
      <c r="L3" s="324">
        <v>44258</v>
      </c>
      <c r="M3" t="s">
        <v>388</v>
      </c>
      <c r="N3" t="s">
        <v>1622</v>
      </c>
      <c r="O3" t="s">
        <v>1665</v>
      </c>
      <c r="P3" t="s">
        <v>1664</v>
      </c>
      <c r="Q3" t="s">
        <v>1652</v>
      </c>
      <c r="R3" t="s">
        <v>1653</v>
      </c>
      <c r="S3" t="s">
        <v>1669</v>
      </c>
      <c r="T3" t="s">
        <v>80</v>
      </c>
    </row>
    <row r="4" spans="1:20" ht="24" customHeight="1">
      <c r="A4" t="s">
        <v>1605</v>
      </c>
      <c r="C4">
        <v>5</v>
      </c>
      <c r="D4" t="s">
        <v>1606</v>
      </c>
      <c r="E4" t="s">
        <v>388</v>
      </c>
      <c r="H4" t="s">
        <v>1384</v>
      </c>
      <c r="I4" t="s">
        <v>1371</v>
      </c>
      <c r="J4" t="s">
        <v>1153</v>
      </c>
      <c r="K4" s="324">
        <v>44062</v>
      </c>
      <c r="L4" s="324">
        <v>44247</v>
      </c>
      <c r="M4" t="s">
        <v>388</v>
      </c>
      <c r="N4" t="s">
        <v>1627</v>
      </c>
      <c r="O4" t="s">
        <v>1665</v>
      </c>
      <c r="P4" t="s">
        <v>1664</v>
      </c>
      <c r="Q4" t="s">
        <v>1652</v>
      </c>
      <c r="R4" t="s">
        <v>1653</v>
      </c>
      <c r="S4" t="s">
        <v>1669</v>
      </c>
      <c r="T4" t="s">
        <v>80</v>
      </c>
    </row>
    <row r="5" spans="1:20" ht="24" customHeight="1">
      <c r="A5" t="s">
        <v>1607</v>
      </c>
      <c r="C5">
        <v>5</v>
      </c>
      <c r="D5" t="s">
        <v>1608</v>
      </c>
      <c r="E5" t="s">
        <v>388</v>
      </c>
      <c r="H5" t="s">
        <v>1384</v>
      </c>
      <c r="I5" t="s">
        <v>1371</v>
      </c>
      <c r="J5" t="s">
        <v>1153</v>
      </c>
      <c r="K5" s="324">
        <v>44116</v>
      </c>
      <c r="L5" s="324">
        <v>44265</v>
      </c>
      <c r="M5" t="s">
        <v>388</v>
      </c>
      <c r="N5" t="s">
        <v>1632</v>
      </c>
      <c r="O5" t="s">
        <v>1665</v>
      </c>
      <c r="P5" t="s">
        <v>1664</v>
      </c>
      <c r="Q5" t="s">
        <v>1652</v>
      </c>
      <c r="R5" t="s">
        <v>1653</v>
      </c>
      <c r="S5" t="s">
        <v>1669</v>
      </c>
      <c r="T5" t="s">
        <v>80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4" sqref="B4"/>
    </sheetView>
  </sheetViews>
  <sheetFormatPr defaultRowHeight="14.5"/>
  <cols>
    <col min="1" max="3" width="35.26953125" customWidth="1"/>
  </cols>
  <sheetData>
    <row r="1" spans="1:3">
      <c r="A1" t="s">
        <v>1303</v>
      </c>
      <c r="B1" t="s">
        <v>1304</v>
      </c>
      <c r="C1" t="s">
        <v>1305</v>
      </c>
    </row>
    <row r="2" spans="1:3" hidden="1">
      <c r="A2" t="s">
        <v>1615</v>
      </c>
      <c r="B2" t="s">
        <v>1158</v>
      </c>
      <c r="C2" t="s">
        <v>1384</v>
      </c>
    </row>
    <row r="3" spans="1:3" hidden="1">
      <c r="A3" t="s">
        <v>1614</v>
      </c>
      <c r="B3" t="s">
        <v>913</v>
      </c>
      <c r="C3" t="s">
        <v>1384</v>
      </c>
    </row>
    <row r="4" spans="1:3">
      <c r="A4" t="s">
        <v>1618</v>
      </c>
      <c r="B4" t="s">
        <v>912</v>
      </c>
      <c r="C4" t="s">
        <v>1384</v>
      </c>
    </row>
    <row r="5" spans="1:3">
      <c r="A5" t="s">
        <v>1620</v>
      </c>
      <c r="B5" t="s">
        <v>1158</v>
      </c>
      <c r="C5" t="s">
        <v>1384</v>
      </c>
    </row>
    <row r="6" spans="1:3">
      <c r="A6" t="s">
        <v>1627</v>
      </c>
      <c r="B6" t="s">
        <v>1424</v>
      </c>
      <c r="C6" t="s">
        <v>1384</v>
      </c>
    </row>
    <row r="7" spans="1:3">
      <c r="A7" t="s">
        <v>1632</v>
      </c>
      <c r="B7" t="s">
        <v>1424</v>
      </c>
      <c r="C7" t="s">
        <v>1384</v>
      </c>
    </row>
    <row r="8" spans="1:3">
      <c r="A8" t="s">
        <v>1633</v>
      </c>
      <c r="B8" t="s">
        <v>1423</v>
      </c>
      <c r="C8" t="s">
        <v>1384</v>
      </c>
    </row>
    <row r="9" spans="1:3">
      <c r="A9" t="s">
        <v>1634</v>
      </c>
      <c r="B9" t="s">
        <v>1425</v>
      </c>
      <c r="C9" t="s">
        <v>1384</v>
      </c>
    </row>
    <row r="10" spans="1:3">
      <c r="A10" t="s">
        <v>1635</v>
      </c>
      <c r="B10" t="s">
        <v>1422</v>
      </c>
      <c r="C10" t="s">
        <v>1384</v>
      </c>
    </row>
    <row r="11" spans="1:3">
      <c r="A11" t="s">
        <v>1636</v>
      </c>
      <c r="B11" t="s">
        <v>1257</v>
      </c>
      <c r="C11" t="s">
        <v>1384</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sqref="A1:XFD1048576"/>
    </sheetView>
  </sheetViews>
  <sheetFormatPr defaultRowHeight="14.5"/>
  <cols>
    <col min="1" max="1" width="35.81640625" customWidth="1"/>
    <col min="2" max="10" width="8.08984375" customWidth="1"/>
  </cols>
  <sheetData>
    <row r="1" spans="1:9">
      <c r="A1" t="s">
        <v>922</v>
      </c>
      <c r="B1" t="s">
        <v>1602</v>
      </c>
      <c r="C1" t="s">
        <v>1603</v>
      </c>
      <c r="D1" t="s">
        <v>1605</v>
      </c>
      <c r="E1" t="s">
        <v>1607</v>
      </c>
      <c r="F1" t="s">
        <v>1390</v>
      </c>
      <c r="G1" t="s">
        <v>1391</v>
      </c>
      <c r="H1" t="s">
        <v>1392</v>
      </c>
      <c r="I1" t="s">
        <v>1393</v>
      </c>
    </row>
    <row r="2" spans="1:9">
      <c r="A2" t="s">
        <v>1615</v>
      </c>
      <c r="B2" t="s">
        <v>1340</v>
      </c>
    </row>
    <row r="3" spans="1:9">
      <c r="A3" t="s">
        <v>1614</v>
      </c>
      <c r="B3" t="s">
        <v>1340</v>
      </c>
    </row>
    <row r="4" spans="1:9">
      <c r="A4" t="s">
        <v>1618</v>
      </c>
      <c r="C4" t="s">
        <v>1340</v>
      </c>
    </row>
    <row r="5" spans="1:9">
      <c r="A5" t="s">
        <v>1620</v>
      </c>
      <c r="C5" t="s">
        <v>1340</v>
      </c>
    </row>
    <row r="6" spans="1:9">
      <c r="A6" t="s">
        <v>1627</v>
      </c>
      <c r="D6" t="s">
        <v>1340</v>
      </c>
    </row>
    <row r="7" spans="1:9">
      <c r="A7" t="s">
        <v>1632</v>
      </c>
      <c r="E7" t="s">
        <v>1340</v>
      </c>
    </row>
    <row r="8" spans="1:9">
      <c r="A8" t="s">
        <v>1633</v>
      </c>
      <c r="F8" t="s">
        <v>1340</v>
      </c>
    </row>
    <row r="9" spans="1:9">
      <c r="A9" t="s">
        <v>1634</v>
      </c>
      <c r="G9" t="s">
        <v>1340</v>
      </c>
    </row>
    <row r="10" spans="1:9">
      <c r="A10" t="s">
        <v>1635</v>
      </c>
      <c r="H10" t="s">
        <v>1340</v>
      </c>
    </row>
    <row r="11" spans="1:9">
      <c r="A11" t="s">
        <v>1636</v>
      </c>
      <c r="I11" t="s">
        <v>1340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922</v>
      </c>
      <c r="B1" t="s">
        <v>886</v>
      </c>
      <c r="C1" t="s">
        <v>836</v>
      </c>
      <c r="D1" t="s">
        <v>887</v>
      </c>
      <c r="E1" t="s">
        <v>885</v>
      </c>
      <c r="F1" t="s">
        <v>884</v>
      </c>
      <c r="G1" t="s">
        <v>883</v>
      </c>
      <c r="H1" t="s">
        <v>892</v>
      </c>
      <c r="I1" t="s">
        <v>894</v>
      </c>
      <c r="J1" t="s">
        <v>893</v>
      </c>
      <c r="K1" t="s">
        <v>891</v>
      </c>
      <c r="L1" t="s">
        <v>753</v>
      </c>
      <c r="M1" t="s">
        <v>895</v>
      </c>
      <c r="N1" t="s">
        <v>896</v>
      </c>
      <c r="O1" t="s">
        <v>751</v>
      </c>
      <c r="P1" t="s">
        <v>890</v>
      </c>
      <c r="Q1" t="s">
        <v>889</v>
      </c>
      <c r="R1" t="s">
        <v>888</v>
      </c>
      <c r="S1" t="s">
        <v>910</v>
      </c>
      <c r="T1" t="s">
        <v>911</v>
      </c>
    </row>
    <row r="2" spans="1:20">
      <c r="A2" t="s">
        <v>1615</v>
      </c>
      <c r="D2" t="s">
        <v>1340</v>
      </c>
      <c r="E2" t="s">
        <v>1340</v>
      </c>
      <c r="F2" t="s">
        <v>1340</v>
      </c>
      <c r="G2" t="s">
        <v>1340</v>
      </c>
    </row>
    <row r="3" spans="1:20">
      <c r="A3" t="s">
        <v>1614</v>
      </c>
      <c r="E3" t="s">
        <v>1340</v>
      </c>
      <c r="F3" t="s">
        <v>1340</v>
      </c>
    </row>
    <row r="4" spans="1:20">
      <c r="A4" t="s">
        <v>1618</v>
      </c>
      <c r="B4" t="s">
        <v>1340</v>
      </c>
      <c r="E4" t="s">
        <v>1340</v>
      </c>
    </row>
    <row r="5" spans="1:20">
      <c r="A5" t="s">
        <v>1620</v>
      </c>
      <c r="D5" t="s">
        <v>1340</v>
      </c>
      <c r="E5" t="s">
        <v>1340</v>
      </c>
      <c r="F5" t="s">
        <v>1340</v>
      </c>
      <c r="G5" t="s">
        <v>1340</v>
      </c>
    </row>
    <row r="6" spans="1:20">
      <c r="A6" t="s">
        <v>1627</v>
      </c>
      <c r="E6" t="s">
        <v>1340</v>
      </c>
      <c r="H6" t="s">
        <v>1340</v>
      </c>
      <c r="I6" t="s">
        <v>1340</v>
      </c>
      <c r="J6" t="s">
        <v>1340</v>
      </c>
      <c r="K6" t="s">
        <v>1340</v>
      </c>
      <c r="M6" t="s">
        <v>1340</v>
      </c>
      <c r="N6" t="s">
        <v>1340</v>
      </c>
    </row>
    <row r="7" spans="1:20">
      <c r="A7" t="s">
        <v>1632</v>
      </c>
      <c r="E7" t="s">
        <v>1340</v>
      </c>
      <c r="H7" t="s">
        <v>1340</v>
      </c>
      <c r="I7" t="s">
        <v>1340</v>
      </c>
      <c r="J7" t="s">
        <v>1340</v>
      </c>
      <c r="K7" t="s">
        <v>1340</v>
      </c>
      <c r="M7" t="s">
        <v>1340</v>
      </c>
      <c r="N7" t="s">
        <v>1340</v>
      </c>
    </row>
    <row r="8" spans="1:20">
      <c r="A8" t="s">
        <v>1633</v>
      </c>
      <c r="O8" t="s">
        <v>1340</v>
      </c>
    </row>
    <row r="9" spans="1:20">
      <c r="A9" t="s">
        <v>1634</v>
      </c>
      <c r="M9" t="s">
        <v>1340</v>
      </c>
      <c r="N9" t="s">
        <v>1340</v>
      </c>
      <c r="P9" t="s">
        <v>1340</v>
      </c>
      <c r="Q9" t="s">
        <v>1340</v>
      </c>
      <c r="R9" t="s">
        <v>1340</v>
      </c>
    </row>
    <row r="10" spans="1:20">
      <c r="A10" t="s">
        <v>1635</v>
      </c>
      <c r="L10" t="s">
        <v>1340</v>
      </c>
    </row>
    <row r="11" spans="1:20">
      <c r="A11" t="s">
        <v>1636</v>
      </c>
      <c r="C11" t="s">
        <v>1340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6"/>
    <col min="23" max="23" width="8.7265625" style="196" hidden="1" customWidth="1"/>
    <col min="24" max="16384" width="8.7265625" style="196"/>
  </cols>
  <sheetData>
    <row r="2" spans="2:28" ht="93">
      <c r="B2" s="506" t="s">
        <v>1089</v>
      </c>
      <c r="C2" s="506" t="s">
        <v>1090</v>
      </c>
      <c r="D2" s="497" t="s">
        <v>1091</v>
      </c>
      <c r="E2" s="499"/>
      <c r="F2" s="500" t="s">
        <v>1092</v>
      </c>
      <c r="G2" s="502"/>
      <c r="H2" s="497" t="s">
        <v>1093</v>
      </c>
      <c r="I2" s="498"/>
      <c r="J2" s="498"/>
      <c r="K2" s="499"/>
      <c r="L2" s="500" t="s">
        <v>1094</v>
      </c>
      <c r="M2" s="501"/>
      <c r="N2" s="502"/>
      <c r="O2" s="210" t="s">
        <v>1095</v>
      </c>
      <c r="P2" s="211" t="s">
        <v>1096</v>
      </c>
      <c r="Q2" s="497" t="s">
        <v>1097</v>
      </c>
      <c r="R2" s="498"/>
      <c r="S2" s="499"/>
      <c r="T2" s="500" t="s">
        <v>1098</v>
      </c>
      <c r="U2" s="501"/>
      <c r="V2" s="502"/>
      <c r="W2" s="207" t="s">
        <v>1099</v>
      </c>
    </row>
    <row r="3" spans="2:28" ht="15.5">
      <c r="B3" s="507"/>
      <c r="C3" s="507"/>
      <c r="D3" s="285" t="s">
        <v>910</v>
      </c>
      <c r="E3" s="285" t="s">
        <v>911</v>
      </c>
      <c r="F3" s="286" t="s">
        <v>884</v>
      </c>
      <c r="G3" s="286" t="s">
        <v>883</v>
      </c>
      <c r="H3" s="285" t="s">
        <v>885</v>
      </c>
      <c r="I3" s="285" t="s">
        <v>887</v>
      </c>
      <c r="J3" s="285" t="s">
        <v>836</v>
      </c>
      <c r="K3" s="285" t="s">
        <v>886</v>
      </c>
      <c r="L3" s="286" t="s">
        <v>890</v>
      </c>
      <c r="M3" s="286" t="s">
        <v>889</v>
      </c>
      <c r="N3" s="286" t="s">
        <v>888</v>
      </c>
      <c r="O3" s="285" t="s">
        <v>891</v>
      </c>
      <c r="P3" s="286" t="s">
        <v>753</v>
      </c>
      <c r="Q3" s="285" t="s">
        <v>893</v>
      </c>
      <c r="R3" s="285" t="s">
        <v>894</v>
      </c>
      <c r="S3" s="285" t="s">
        <v>892</v>
      </c>
      <c r="T3" s="286" t="s">
        <v>895</v>
      </c>
      <c r="U3" s="286" t="s">
        <v>896</v>
      </c>
      <c r="V3" s="286" t="s">
        <v>751</v>
      </c>
      <c r="W3" s="207" t="s">
        <v>897</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5">
      <c r="B5" s="503" t="s">
        <v>1100</v>
      </c>
      <c r="C5" s="214"/>
      <c r="D5" s="288" t="s">
        <v>1104</v>
      </c>
      <c r="E5" s="288" t="s">
        <v>1104</v>
      </c>
      <c r="F5" s="288" t="s">
        <v>1104</v>
      </c>
      <c r="G5" s="288" t="s">
        <v>1104</v>
      </c>
      <c r="H5" s="288" t="s">
        <v>1104</v>
      </c>
      <c r="I5" s="288" t="s">
        <v>1104</v>
      </c>
      <c r="J5" s="288" t="s">
        <v>1104</v>
      </c>
      <c r="K5" s="288" t="s">
        <v>1104</v>
      </c>
      <c r="L5" s="288" t="s">
        <v>1104</v>
      </c>
      <c r="M5" s="288" t="s">
        <v>1104</v>
      </c>
      <c r="N5" s="288" t="s">
        <v>1104</v>
      </c>
      <c r="O5" s="288" t="s">
        <v>1104</v>
      </c>
      <c r="P5" s="288" t="s">
        <v>1104</v>
      </c>
      <c r="Q5" s="288" t="s">
        <v>1104</v>
      </c>
      <c r="R5" s="288" t="s">
        <v>1104</v>
      </c>
      <c r="S5" s="288" t="s">
        <v>1104</v>
      </c>
      <c r="T5" s="288" t="s">
        <v>1104</v>
      </c>
      <c r="U5" s="288" t="s">
        <v>1104</v>
      </c>
      <c r="V5" s="288" t="s">
        <v>1104</v>
      </c>
      <c r="W5" s="197" t="s">
        <v>1105</v>
      </c>
    </row>
    <row r="6" spans="2:28" ht="15.5">
      <c r="B6" s="504"/>
      <c r="C6" s="286">
        <v>1.1000000000000001</v>
      </c>
      <c r="D6" s="289" t="s">
        <v>1101</v>
      </c>
      <c r="E6" s="289" t="s">
        <v>1101</v>
      </c>
      <c r="F6" s="289" t="s">
        <v>1101</v>
      </c>
      <c r="G6" s="289" t="s">
        <v>1101</v>
      </c>
      <c r="H6" s="289" t="s">
        <v>1101</v>
      </c>
      <c r="I6" s="289" t="s">
        <v>1101</v>
      </c>
      <c r="J6" s="289" t="s">
        <v>1101</v>
      </c>
      <c r="K6" s="289" t="s">
        <v>1101</v>
      </c>
      <c r="L6" s="289" t="s">
        <v>1101</v>
      </c>
      <c r="M6" s="289" t="s">
        <v>1101</v>
      </c>
      <c r="N6" s="289" t="s">
        <v>1101</v>
      </c>
      <c r="O6" s="289" t="s">
        <v>1101</v>
      </c>
      <c r="P6" s="289" t="s">
        <v>1101</v>
      </c>
      <c r="Q6" s="289" t="s">
        <v>1102</v>
      </c>
      <c r="R6" s="289" t="s">
        <v>1101</v>
      </c>
      <c r="S6" s="289" t="s">
        <v>1101</v>
      </c>
      <c r="T6" s="289" t="s">
        <v>1101</v>
      </c>
      <c r="U6" s="289" t="s">
        <v>1101</v>
      </c>
      <c r="V6" s="289" t="s">
        <v>1101</v>
      </c>
      <c r="W6" s="197" t="s">
        <v>1103</v>
      </c>
      <c r="Z6" s="196" t="s">
        <v>1101</v>
      </c>
      <c r="AB6" s="196" t="s">
        <v>1104</v>
      </c>
    </row>
    <row r="7" spans="2:28" ht="15.5">
      <c r="B7" s="504"/>
      <c r="C7" s="286">
        <v>1.2</v>
      </c>
      <c r="D7" s="289"/>
      <c r="E7" s="289"/>
      <c r="F7" s="289"/>
      <c r="G7" s="289"/>
      <c r="H7" s="289"/>
      <c r="I7" s="289" t="s">
        <v>1101</v>
      </c>
      <c r="J7" s="289"/>
      <c r="K7" s="289"/>
      <c r="L7" s="289" t="s">
        <v>1101</v>
      </c>
      <c r="M7" s="289"/>
      <c r="N7" s="289" t="s">
        <v>1101</v>
      </c>
      <c r="O7" s="289"/>
      <c r="P7" s="289"/>
      <c r="Q7" s="289" t="s">
        <v>1101</v>
      </c>
      <c r="R7" s="289" t="s">
        <v>1101</v>
      </c>
      <c r="S7" s="289"/>
      <c r="T7" s="289" t="s">
        <v>1219</v>
      </c>
      <c r="U7" s="289" t="s">
        <v>1101</v>
      </c>
      <c r="V7" s="289" t="s">
        <v>1219</v>
      </c>
      <c r="W7" s="197" t="s">
        <v>914</v>
      </c>
      <c r="Z7" s="196" t="s">
        <v>1102</v>
      </c>
      <c r="AB7" s="196" t="s">
        <v>1105</v>
      </c>
    </row>
    <row r="8" spans="2:28" ht="15.5">
      <c r="B8" s="504"/>
      <c r="C8" s="286">
        <v>1.3</v>
      </c>
      <c r="D8" s="289"/>
      <c r="E8" s="289"/>
      <c r="F8" s="289"/>
      <c r="G8" s="289"/>
      <c r="H8" s="289"/>
      <c r="I8" s="289"/>
      <c r="J8" s="289"/>
      <c r="K8" s="289"/>
      <c r="L8" s="289" t="s">
        <v>1101</v>
      </c>
      <c r="M8" s="289"/>
      <c r="N8" s="289"/>
      <c r="O8" s="289"/>
      <c r="P8" s="289"/>
      <c r="Q8" s="289"/>
      <c r="R8" s="289"/>
      <c r="S8" s="289"/>
      <c r="T8" s="289"/>
      <c r="U8" s="289"/>
      <c r="V8" s="289"/>
      <c r="W8" s="197" t="s">
        <v>1102</v>
      </c>
      <c r="Z8" s="196" t="s">
        <v>914</v>
      </c>
    </row>
    <row r="9" spans="2:28" ht="15.5">
      <c r="B9" s="505"/>
      <c r="C9" s="286">
        <v>1.4</v>
      </c>
      <c r="D9" s="289"/>
      <c r="E9" s="289"/>
      <c r="F9" s="289" t="s">
        <v>1219</v>
      </c>
      <c r="G9" s="289" t="s">
        <v>1219</v>
      </c>
      <c r="H9" s="289" t="s">
        <v>1219</v>
      </c>
      <c r="I9" s="289" t="s">
        <v>1219</v>
      </c>
      <c r="J9" s="289" t="s">
        <v>1219</v>
      </c>
      <c r="K9" s="289" t="s">
        <v>1219</v>
      </c>
      <c r="L9" s="289"/>
      <c r="M9" s="289" t="s">
        <v>1219</v>
      </c>
      <c r="N9" s="289" t="s">
        <v>1219</v>
      </c>
      <c r="O9" s="289" t="s">
        <v>1219</v>
      </c>
      <c r="P9" s="289" t="s">
        <v>1219</v>
      </c>
      <c r="Q9" s="289" t="s">
        <v>1219</v>
      </c>
      <c r="R9" s="289" t="s">
        <v>1219</v>
      </c>
      <c r="S9" s="289" t="s">
        <v>1219</v>
      </c>
      <c r="T9" s="289" t="s">
        <v>1219</v>
      </c>
      <c r="U9" s="289" t="s">
        <v>1219</v>
      </c>
      <c r="V9" s="289" t="s">
        <v>1219</v>
      </c>
      <c r="W9" s="197" t="s">
        <v>1102</v>
      </c>
      <c r="Z9" s="196" t="s">
        <v>914</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1103</v>
      </c>
    </row>
    <row r="11" spans="2:28" ht="15.5">
      <c r="B11" s="503" t="s">
        <v>1106</v>
      </c>
      <c r="C11" s="214"/>
      <c r="D11" s="287" t="s">
        <v>1104</v>
      </c>
      <c r="E11" s="287" t="s">
        <v>1104</v>
      </c>
      <c r="F11" s="287" t="s">
        <v>1104</v>
      </c>
      <c r="G11" s="287" t="s">
        <v>1104</v>
      </c>
      <c r="H11" s="287" t="s">
        <v>1104</v>
      </c>
      <c r="I11" s="287" t="s">
        <v>1104</v>
      </c>
      <c r="J11" s="287" t="s">
        <v>1104</v>
      </c>
      <c r="K11" s="287" t="s">
        <v>1104</v>
      </c>
      <c r="L11" s="287" t="s">
        <v>1104</v>
      </c>
      <c r="M11" s="287" t="s">
        <v>1104</v>
      </c>
      <c r="N11" s="287" t="s">
        <v>1104</v>
      </c>
      <c r="O11" s="287" t="s">
        <v>1104</v>
      </c>
      <c r="P11" s="287" t="s">
        <v>1104</v>
      </c>
      <c r="Q11" s="287" t="s">
        <v>1104</v>
      </c>
      <c r="R11" s="287" t="s">
        <v>1104</v>
      </c>
      <c r="S11" s="287" t="s">
        <v>1104</v>
      </c>
      <c r="T11" s="287" t="s">
        <v>1104</v>
      </c>
      <c r="U11" s="287" t="s">
        <v>1104</v>
      </c>
      <c r="V11" s="287" t="s">
        <v>1104</v>
      </c>
      <c r="W11" s="197"/>
      <c r="Z11" s="196" t="s">
        <v>1107</v>
      </c>
    </row>
    <row r="12" spans="2:28" ht="15.5">
      <c r="B12" s="504"/>
      <c r="C12" s="286">
        <v>2.1</v>
      </c>
      <c r="D12" s="214" t="s">
        <v>1101</v>
      </c>
      <c r="E12" s="214" t="s">
        <v>1102</v>
      </c>
      <c r="F12" s="214" t="s">
        <v>1101</v>
      </c>
      <c r="G12" s="214" t="s">
        <v>1101</v>
      </c>
      <c r="H12" s="214" t="s">
        <v>1101</v>
      </c>
      <c r="I12" s="214" t="s">
        <v>1101</v>
      </c>
      <c r="J12" s="214" t="s">
        <v>1101</v>
      </c>
      <c r="K12" s="214" t="s">
        <v>1101</v>
      </c>
      <c r="L12" s="214" t="s">
        <v>1101</v>
      </c>
      <c r="M12" s="214" t="s">
        <v>1101</v>
      </c>
      <c r="N12" s="214" t="s">
        <v>1101</v>
      </c>
      <c r="O12" s="214" t="s">
        <v>1101</v>
      </c>
      <c r="P12" s="214" t="s">
        <v>1101</v>
      </c>
      <c r="Q12" s="214" t="s">
        <v>1101</v>
      </c>
      <c r="R12" s="214" t="s">
        <v>1101</v>
      </c>
      <c r="S12" s="214" t="s">
        <v>1101</v>
      </c>
      <c r="T12" s="214" t="s">
        <v>1101</v>
      </c>
      <c r="U12" s="214" t="s">
        <v>1101</v>
      </c>
      <c r="V12" s="214" t="s">
        <v>1101</v>
      </c>
      <c r="W12" s="197" t="s">
        <v>1103</v>
      </c>
    </row>
    <row r="13" spans="2:28" ht="15.5">
      <c r="B13" s="504"/>
      <c r="C13" s="286">
        <v>2.2000000000000002</v>
      </c>
      <c r="D13" s="214" t="s">
        <v>1101</v>
      </c>
      <c r="E13" s="214" t="s">
        <v>1101</v>
      </c>
      <c r="F13" s="214" t="s">
        <v>1101</v>
      </c>
      <c r="G13" s="214" t="s">
        <v>1101</v>
      </c>
      <c r="H13" s="214" t="s">
        <v>1101</v>
      </c>
      <c r="I13" s="214" t="s">
        <v>1101</v>
      </c>
      <c r="J13" s="214" t="s">
        <v>1101</v>
      </c>
      <c r="K13" s="214" t="s">
        <v>1101</v>
      </c>
      <c r="L13" s="214" t="s">
        <v>1101</v>
      </c>
      <c r="M13" s="214" t="s">
        <v>1101</v>
      </c>
      <c r="N13" s="214" t="s">
        <v>1101</v>
      </c>
      <c r="O13" s="214" t="s">
        <v>1101</v>
      </c>
      <c r="P13" s="214" t="s">
        <v>1101</v>
      </c>
      <c r="Q13" s="214" t="s">
        <v>1101</v>
      </c>
      <c r="R13" s="214" t="s">
        <v>1101</v>
      </c>
      <c r="S13" s="214" t="s">
        <v>1101</v>
      </c>
      <c r="T13" s="214" t="s">
        <v>1101</v>
      </c>
      <c r="U13" s="214" t="s">
        <v>1101</v>
      </c>
      <c r="V13" s="214" t="s">
        <v>1101</v>
      </c>
      <c r="W13" s="197" t="s">
        <v>1103</v>
      </c>
    </row>
    <row r="14" spans="2:28" ht="15.5">
      <c r="B14" s="504"/>
      <c r="C14" s="286">
        <v>2.2999999999999998</v>
      </c>
      <c r="D14" s="214" t="s">
        <v>1101</v>
      </c>
      <c r="E14" s="214"/>
      <c r="F14" s="214" t="s">
        <v>1101</v>
      </c>
      <c r="G14" s="214" t="s">
        <v>1101</v>
      </c>
      <c r="H14" s="214" t="s">
        <v>1101</v>
      </c>
      <c r="I14" s="214" t="s">
        <v>1101</v>
      </c>
      <c r="J14" s="214" t="s">
        <v>1101</v>
      </c>
      <c r="K14" s="214" t="s">
        <v>1101</v>
      </c>
      <c r="L14" s="214" t="s">
        <v>1219</v>
      </c>
      <c r="M14" s="214" t="s">
        <v>1101</v>
      </c>
      <c r="N14" s="214" t="s">
        <v>1101</v>
      </c>
      <c r="O14" s="214" t="s">
        <v>1219</v>
      </c>
      <c r="P14" s="214" t="s">
        <v>1219</v>
      </c>
      <c r="Q14" s="214" t="s">
        <v>1101</v>
      </c>
      <c r="R14" s="214" t="s">
        <v>1101</v>
      </c>
      <c r="S14" s="214" t="s">
        <v>1101</v>
      </c>
      <c r="T14" s="214" t="s">
        <v>1219</v>
      </c>
      <c r="U14" s="214" t="s">
        <v>1101</v>
      </c>
      <c r="V14" s="214" t="s">
        <v>1101</v>
      </c>
      <c r="W14" s="197" t="s">
        <v>1101</v>
      </c>
    </row>
    <row r="15" spans="2:28" ht="15.5">
      <c r="B15" s="504"/>
      <c r="C15" s="286">
        <v>2.4</v>
      </c>
      <c r="D15" s="214" t="s">
        <v>1101</v>
      </c>
      <c r="E15" s="214"/>
      <c r="F15" s="214" t="s">
        <v>1219</v>
      </c>
      <c r="G15" s="214" t="s">
        <v>1101</v>
      </c>
      <c r="H15" s="214" t="s">
        <v>1101</v>
      </c>
      <c r="I15" s="214" t="s">
        <v>1219</v>
      </c>
      <c r="J15" s="214" t="s">
        <v>1101</v>
      </c>
      <c r="K15" s="214" t="s">
        <v>1101</v>
      </c>
      <c r="L15" s="214" t="s">
        <v>1219</v>
      </c>
      <c r="M15" s="214" t="s">
        <v>1219</v>
      </c>
      <c r="N15" s="214" t="s">
        <v>1101</v>
      </c>
      <c r="O15" s="214" t="s">
        <v>1219</v>
      </c>
      <c r="P15" s="214" t="s">
        <v>1219</v>
      </c>
      <c r="Q15" s="214" t="s">
        <v>1101</v>
      </c>
      <c r="R15" s="214" t="s">
        <v>1101</v>
      </c>
      <c r="S15" s="214"/>
      <c r="T15" s="214" t="s">
        <v>1219</v>
      </c>
      <c r="U15" s="214" t="s">
        <v>1101</v>
      </c>
      <c r="V15" s="214" t="s">
        <v>1101</v>
      </c>
      <c r="W15" s="197" t="s">
        <v>1102</v>
      </c>
    </row>
    <row r="16" spans="2:28" ht="15.5">
      <c r="B16" s="504"/>
      <c r="C16" s="286">
        <v>2.5</v>
      </c>
      <c r="D16" s="214"/>
      <c r="E16" s="214"/>
      <c r="F16" s="214" t="s">
        <v>1219</v>
      </c>
      <c r="G16" s="214" t="s">
        <v>1101</v>
      </c>
      <c r="H16" s="214" t="s">
        <v>1219</v>
      </c>
      <c r="I16" s="214" t="s">
        <v>1219</v>
      </c>
      <c r="J16" s="214" t="s">
        <v>1219</v>
      </c>
      <c r="K16" s="214" t="s">
        <v>1101</v>
      </c>
      <c r="L16" s="214" t="s">
        <v>1219</v>
      </c>
      <c r="M16" s="214" t="s">
        <v>1219</v>
      </c>
      <c r="N16" s="214" t="s">
        <v>1101</v>
      </c>
      <c r="O16" s="214" t="s">
        <v>1219</v>
      </c>
      <c r="P16" s="214" t="s">
        <v>1219</v>
      </c>
      <c r="Q16" s="214" t="s">
        <v>1219</v>
      </c>
      <c r="R16" s="214" t="s">
        <v>1101</v>
      </c>
      <c r="S16" s="214" t="s">
        <v>1219</v>
      </c>
      <c r="T16" s="214" t="s">
        <v>1219</v>
      </c>
      <c r="U16" s="214" t="s">
        <v>1101</v>
      </c>
      <c r="V16" s="214" t="s">
        <v>1101</v>
      </c>
      <c r="W16" s="197"/>
    </row>
    <row r="17" spans="2:23" ht="15.5">
      <c r="B17" s="504"/>
      <c r="C17" s="286">
        <v>2.6</v>
      </c>
      <c r="D17" s="214"/>
      <c r="E17" s="214"/>
      <c r="F17" s="214" t="s">
        <v>1219</v>
      </c>
      <c r="G17" s="214" t="s">
        <v>1101</v>
      </c>
      <c r="H17" s="214" t="s">
        <v>1219</v>
      </c>
      <c r="I17" s="214" t="s">
        <v>1219</v>
      </c>
      <c r="J17" s="214" t="s">
        <v>1219</v>
      </c>
      <c r="K17" s="214" t="s">
        <v>1101</v>
      </c>
      <c r="L17" s="214" t="s">
        <v>1219</v>
      </c>
      <c r="M17" s="214" t="s">
        <v>1219</v>
      </c>
      <c r="N17" s="214" t="s">
        <v>1101</v>
      </c>
      <c r="O17" s="214" t="s">
        <v>1219</v>
      </c>
      <c r="P17" s="214" t="s">
        <v>1219</v>
      </c>
      <c r="Q17" s="214" t="s">
        <v>1219</v>
      </c>
      <c r="R17" s="214" t="s">
        <v>1101</v>
      </c>
      <c r="S17" s="214" t="s">
        <v>1219</v>
      </c>
      <c r="T17" s="214" t="s">
        <v>1219</v>
      </c>
      <c r="U17" s="214" t="s">
        <v>1219</v>
      </c>
      <c r="V17" s="214" t="s">
        <v>1101</v>
      </c>
      <c r="W17" s="197"/>
    </row>
    <row r="18" spans="2:23" ht="15.5">
      <c r="B18" s="504"/>
      <c r="C18" s="286">
        <v>2.7</v>
      </c>
      <c r="D18" s="214"/>
      <c r="E18" s="214"/>
      <c r="F18" s="214" t="s">
        <v>1219</v>
      </c>
      <c r="G18" s="214" t="s">
        <v>1219</v>
      </c>
      <c r="H18" s="214" t="s">
        <v>1219</v>
      </c>
      <c r="I18" s="214" t="s">
        <v>1219</v>
      </c>
      <c r="J18" s="214" t="s">
        <v>1219</v>
      </c>
      <c r="K18" s="214" t="s">
        <v>1219</v>
      </c>
      <c r="L18" s="214" t="s">
        <v>1219</v>
      </c>
      <c r="M18" s="214" t="s">
        <v>1219</v>
      </c>
      <c r="N18" s="214" t="s">
        <v>1219</v>
      </c>
      <c r="O18" s="214" t="s">
        <v>1219</v>
      </c>
      <c r="P18" s="214" t="s">
        <v>1219</v>
      </c>
      <c r="Q18" s="214" t="s">
        <v>1219</v>
      </c>
      <c r="R18" s="214" t="s">
        <v>1101</v>
      </c>
      <c r="S18" s="214" t="s">
        <v>1219</v>
      </c>
      <c r="T18" s="214" t="s">
        <v>1219</v>
      </c>
      <c r="U18" s="214" t="s">
        <v>1219</v>
      </c>
      <c r="V18" s="214" t="s">
        <v>1219</v>
      </c>
      <c r="W18" s="197"/>
    </row>
    <row r="19" spans="2:23" ht="15.5">
      <c r="B19" s="505"/>
      <c r="C19" s="286">
        <v>2.8</v>
      </c>
      <c r="D19" s="214"/>
      <c r="E19" s="214"/>
      <c r="F19" s="214" t="s">
        <v>1219</v>
      </c>
      <c r="G19" s="214" t="s">
        <v>1219</v>
      </c>
      <c r="H19" s="214" t="s">
        <v>1219</v>
      </c>
      <c r="I19" s="214" t="s">
        <v>1219</v>
      </c>
      <c r="J19" s="214" t="s">
        <v>1219</v>
      </c>
      <c r="K19" s="214" t="s">
        <v>1219</v>
      </c>
      <c r="L19" s="214" t="s">
        <v>1219</v>
      </c>
      <c r="M19" s="214" t="s">
        <v>1219</v>
      </c>
      <c r="N19" s="214" t="s">
        <v>1219</v>
      </c>
      <c r="O19" s="214" t="s">
        <v>1219</v>
      </c>
      <c r="P19" s="214" t="s">
        <v>1219</v>
      </c>
      <c r="Q19" s="214" t="s">
        <v>1219</v>
      </c>
      <c r="R19" s="214" t="s">
        <v>1102</v>
      </c>
      <c r="S19" s="214" t="s">
        <v>1219</v>
      </c>
      <c r="T19" s="214" t="s">
        <v>1219</v>
      </c>
      <c r="U19" s="214" t="s">
        <v>1219</v>
      </c>
      <c r="V19" s="214" t="s">
        <v>1219</v>
      </c>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5">
      <c r="B21" s="503" t="s">
        <v>1108</v>
      </c>
      <c r="C21" s="214"/>
      <c r="D21" s="287" t="s">
        <v>1104</v>
      </c>
      <c r="E21" s="287" t="s">
        <v>1104</v>
      </c>
      <c r="F21" s="287" t="s">
        <v>1104</v>
      </c>
      <c r="G21" s="287" t="s">
        <v>1104</v>
      </c>
      <c r="H21" s="287" t="s">
        <v>1104</v>
      </c>
      <c r="I21" s="287" t="s">
        <v>1104</v>
      </c>
      <c r="J21" s="287" t="s">
        <v>1104</v>
      </c>
      <c r="K21" s="287" t="s">
        <v>1104</v>
      </c>
      <c r="L21" s="287" t="s">
        <v>1104</v>
      </c>
      <c r="M21" s="287" t="s">
        <v>1104</v>
      </c>
      <c r="N21" s="287" t="s">
        <v>1104</v>
      </c>
      <c r="O21" s="287" t="s">
        <v>1104</v>
      </c>
      <c r="P21" s="287" t="s">
        <v>1104</v>
      </c>
      <c r="Q21" s="287" t="s">
        <v>1104</v>
      </c>
      <c r="R21" s="287" t="s">
        <v>1104</v>
      </c>
      <c r="S21" s="287" t="s">
        <v>1104</v>
      </c>
      <c r="T21" s="287" t="s">
        <v>1104</v>
      </c>
      <c r="U21" s="287" t="s">
        <v>1104</v>
      </c>
      <c r="V21" s="214"/>
      <c r="W21" s="197"/>
    </row>
    <row r="22" spans="2:23" ht="15.5">
      <c r="B22" s="504"/>
      <c r="C22" s="286">
        <v>3.1</v>
      </c>
      <c r="D22" s="214" t="s">
        <v>1101</v>
      </c>
      <c r="E22" s="214" t="s">
        <v>1101</v>
      </c>
      <c r="F22" s="214" t="s">
        <v>1101</v>
      </c>
      <c r="G22" s="214" t="s">
        <v>1101</v>
      </c>
      <c r="H22" s="214" t="s">
        <v>1101</v>
      </c>
      <c r="I22" s="214" t="s">
        <v>1101</v>
      </c>
      <c r="J22" s="214" t="s">
        <v>1101</v>
      </c>
      <c r="K22" s="214" t="s">
        <v>1101</v>
      </c>
      <c r="L22" s="214" t="s">
        <v>1101</v>
      </c>
      <c r="M22" s="214" t="s">
        <v>1101</v>
      </c>
      <c r="N22" s="214" t="s">
        <v>1101</v>
      </c>
      <c r="O22" s="214" t="s">
        <v>1101</v>
      </c>
      <c r="P22" s="214" t="s">
        <v>1101</v>
      </c>
      <c r="Q22" s="214" t="s">
        <v>1101</v>
      </c>
      <c r="R22" s="214" t="s">
        <v>1101</v>
      </c>
      <c r="S22" s="214" t="s">
        <v>1101</v>
      </c>
      <c r="T22" s="214" t="s">
        <v>1101</v>
      </c>
      <c r="U22" s="214" t="s">
        <v>1101</v>
      </c>
      <c r="V22" s="214" t="s">
        <v>1219</v>
      </c>
      <c r="W22" s="197" t="s">
        <v>1103</v>
      </c>
    </row>
    <row r="23" spans="2:23" ht="15.5">
      <c r="B23" s="504"/>
      <c r="C23" s="286">
        <v>3.2</v>
      </c>
      <c r="D23" s="214" t="s">
        <v>1101</v>
      </c>
      <c r="E23" s="214" t="s">
        <v>1101</v>
      </c>
      <c r="F23" s="214" t="s">
        <v>1101</v>
      </c>
      <c r="G23" s="214" t="s">
        <v>1101</v>
      </c>
      <c r="H23" s="214" t="s">
        <v>1219</v>
      </c>
      <c r="I23" s="214" t="s">
        <v>1101</v>
      </c>
      <c r="J23" s="214" t="s">
        <v>1219</v>
      </c>
      <c r="K23" s="214" t="s">
        <v>1101</v>
      </c>
      <c r="L23" s="214" t="s">
        <v>1101</v>
      </c>
      <c r="M23" s="214" t="s">
        <v>1102</v>
      </c>
      <c r="N23" s="214" t="s">
        <v>1101</v>
      </c>
      <c r="O23" s="214" t="s">
        <v>1101</v>
      </c>
      <c r="P23" s="214" t="s">
        <v>1101</v>
      </c>
      <c r="Q23" s="214" t="s">
        <v>1101</v>
      </c>
      <c r="R23" s="214" t="s">
        <v>1101</v>
      </c>
      <c r="S23" s="214" t="s">
        <v>1101</v>
      </c>
      <c r="T23" s="214" t="s">
        <v>1102</v>
      </c>
      <c r="U23" s="214" t="s">
        <v>1219</v>
      </c>
      <c r="V23" s="214" t="s">
        <v>1219</v>
      </c>
      <c r="W23" s="197" t="s">
        <v>1103</v>
      </c>
    </row>
    <row r="24" spans="2:23" ht="15.5">
      <c r="B24" s="504"/>
      <c r="C24" s="286">
        <v>3.3</v>
      </c>
      <c r="D24" s="214"/>
      <c r="E24" s="214" t="s">
        <v>1101</v>
      </c>
      <c r="F24" s="214" t="s">
        <v>1101</v>
      </c>
      <c r="G24" s="214" t="s">
        <v>1101</v>
      </c>
      <c r="H24" s="214" t="s">
        <v>1219</v>
      </c>
      <c r="I24" s="214" t="s">
        <v>1219</v>
      </c>
      <c r="J24" s="214" t="s">
        <v>1219</v>
      </c>
      <c r="K24" s="214" t="s">
        <v>1101</v>
      </c>
      <c r="L24" s="214" t="s">
        <v>1101</v>
      </c>
      <c r="M24" s="214" t="s">
        <v>1101</v>
      </c>
      <c r="N24" s="214" t="s">
        <v>1101</v>
      </c>
      <c r="O24" s="214" t="s">
        <v>1102</v>
      </c>
      <c r="P24" s="214" t="s">
        <v>1101</v>
      </c>
      <c r="Q24" s="214" t="s">
        <v>1101</v>
      </c>
      <c r="R24" s="214" t="s">
        <v>1101</v>
      </c>
      <c r="S24" s="214" t="s">
        <v>1219</v>
      </c>
      <c r="T24" s="214" t="s">
        <v>1102</v>
      </c>
      <c r="U24" s="214" t="s">
        <v>1219</v>
      </c>
      <c r="V24" s="214" t="s">
        <v>1219</v>
      </c>
      <c r="W24" s="197"/>
    </row>
    <row r="25" spans="2:23" ht="15.5">
      <c r="B25" s="504"/>
      <c r="C25" s="286">
        <v>3.4</v>
      </c>
      <c r="D25" s="214"/>
      <c r="E25" s="214"/>
      <c r="F25" s="214" t="s">
        <v>1101</v>
      </c>
      <c r="G25" s="214" t="s">
        <v>1219</v>
      </c>
      <c r="H25" s="214" t="s">
        <v>1219</v>
      </c>
      <c r="I25" s="214" t="s">
        <v>1219</v>
      </c>
      <c r="J25" s="214" t="s">
        <v>1219</v>
      </c>
      <c r="K25" s="214" t="s">
        <v>1101</v>
      </c>
      <c r="L25" s="214" t="s">
        <v>1101</v>
      </c>
      <c r="M25" s="214" t="s">
        <v>1101</v>
      </c>
      <c r="N25" s="214" t="s">
        <v>1101</v>
      </c>
      <c r="O25" s="214" t="s">
        <v>1101</v>
      </c>
      <c r="P25" s="214" t="s">
        <v>1101</v>
      </c>
      <c r="Q25" s="214" t="s">
        <v>1101</v>
      </c>
      <c r="R25" s="214" t="s">
        <v>1101</v>
      </c>
      <c r="S25" s="214" t="s">
        <v>1219</v>
      </c>
      <c r="T25" s="214" t="s">
        <v>1101</v>
      </c>
      <c r="U25" s="214" t="s">
        <v>1219</v>
      </c>
      <c r="V25" s="214" t="s">
        <v>1219</v>
      </c>
      <c r="W25" s="197"/>
    </row>
    <row r="26" spans="2:23" ht="15.5">
      <c r="B26" s="504"/>
      <c r="C26" s="286">
        <v>3.5</v>
      </c>
      <c r="D26" s="214"/>
      <c r="E26" s="214"/>
      <c r="F26" s="214" t="s">
        <v>1101</v>
      </c>
      <c r="G26" s="214" t="s">
        <v>1219</v>
      </c>
      <c r="H26" s="214" t="s">
        <v>1219</v>
      </c>
      <c r="I26" s="214" t="s">
        <v>1219</v>
      </c>
      <c r="J26" s="214" t="s">
        <v>1219</v>
      </c>
      <c r="K26" s="214" t="s">
        <v>1101</v>
      </c>
      <c r="L26" s="214" t="s">
        <v>1101</v>
      </c>
      <c r="M26" s="214" t="s">
        <v>1101</v>
      </c>
      <c r="N26" s="214" t="s">
        <v>1101</v>
      </c>
      <c r="O26" s="214" t="s">
        <v>1102</v>
      </c>
      <c r="P26" s="214" t="s">
        <v>1101</v>
      </c>
      <c r="Q26" s="214" t="s">
        <v>1219</v>
      </c>
      <c r="R26" s="214" t="s">
        <v>1219</v>
      </c>
      <c r="S26" s="214" t="s">
        <v>1219</v>
      </c>
      <c r="T26" s="214" t="s">
        <v>1101</v>
      </c>
      <c r="U26" s="214" t="s">
        <v>1219</v>
      </c>
      <c r="V26" s="214" t="s">
        <v>1219</v>
      </c>
      <c r="W26" s="197"/>
    </row>
    <row r="27" spans="2:23" ht="15.5">
      <c r="B27" s="504"/>
      <c r="C27" s="286">
        <v>3.6</v>
      </c>
      <c r="D27" s="214"/>
      <c r="E27" s="214"/>
      <c r="F27" s="214" t="s">
        <v>1101</v>
      </c>
      <c r="G27" s="214" t="s">
        <v>1219</v>
      </c>
      <c r="H27" s="214" t="s">
        <v>1219</v>
      </c>
      <c r="I27" s="214" t="s">
        <v>1219</v>
      </c>
      <c r="J27" s="214" t="s">
        <v>1219</v>
      </c>
      <c r="K27" s="214" t="s">
        <v>1101</v>
      </c>
      <c r="L27" s="214" t="s">
        <v>1101</v>
      </c>
      <c r="M27" s="214" t="s">
        <v>1101</v>
      </c>
      <c r="N27" s="214" t="s">
        <v>1101</v>
      </c>
      <c r="O27" s="214" t="s">
        <v>1219</v>
      </c>
      <c r="P27" s="214" t="s">
        <v>1101</v>
      </c>
      <c r="Q27" s="214" t="s">
        <v>1219</v>
      </c>
      <c r="R27" s="214" t="s">
        <v>1219</v>
      </c>
      <c r="S27" s="214" t="s">
        <v>1219</v>
      </c>
      <c r="T27" s="214" t="s">
        <v>1219</v>
      </c>
      <c r="U27" s="214" t="s">
        <v>1219</v>
      </c>
      <c r="V27" s="214" t="s">
        <v>1219</v>
      </c>
      <c r="W27" s="197"/>
    </row>
    <row r="28" spans="2:23" ht="15.5">
      <c r="B28" s="505"/>
      <c r="C28" s="286">
        <v>3.7</v>
      </c>
      <c r="D28" s="214"/>
      <c r="E28" s="214"/>
      <c r="F28" s="214" t="s">
        <v>1219</v>
      </c>
      <c r="G28" s="214" t="s">
        <v>1219</v>
      </c>
      <c r="H28" s="214" t="s">
        <v>1219</v>
      </c>
      <c r="I28" s="214" t="s">
        <v>1219</v>
      </c>
      <c r="J28" s="214" t="s">
        <v>1219</v>
      </c>
      <c r="K28" s="214" t="s">
        <v>1101</v>
      </c>
      <c r="L28" s="214" t="s">
        <v>1219</v>
      </c>
      <c r="M28" s="214" t="s">
        <v>1101</v>
      </c>
      <c r="N28" s="214" t="s">
        <v>1219</v>
      </c>
      <c r="O28" s="214" t="s">
        <v>1219</v>
      </c>
      <c r="P28" s="214" t="s">
        <v>1219</v>
      </c>
      <c r="Q28" s="214" t="s">
        <v>1219</v>
      </c>
      <c r="R28" s="214" t="s">
        <v>1219</v>
      </c>
      <c r="S28" s="214" t="s">
        <v>1219</v>
      </c>
      <c r="T28" s="214" t="s">
        <v>1219</v>
      </c>
      <c r="U28" s="214" t="s">
        <v>1219</v>
      </c>
      <c r="V28" s="214" t="s">
        <v>1219</v>
      </c>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5">
      <c r="B30" s="503" t="s">
        <v>1109</v>
      </c>
      <c r="C30" s="214"/>
      <c r="D30" s="287" t="s">
        <v>1104</v>
      </c>
      <c r="E30" s="214"/>
      <c r="F30" s="214"/>
      <c r="G30" s="214"/>
      <c r="H30" s="214"/>
      <c r="I30" s="214"/>
      <c r="J30" s="214"/>
      <c r="K30" s="214"/>
      <c r="L30" s="287" t="s">
        <v>1104</v>
      </c>
      <c r="M30" s="214"/>
      <c r="N30" s="287" t="s">
        <v>1104</v>
      </c>
      <c r="O30" s="214"/>
      <c r="P30" s="214"/>
      <c r="Q30" s="214"/>
      <c r="R30" s="287" t="s">
        <v>1104</v>
      </c>
      <c r="S30" s="214"/>
      <c r="T30" s="287" t="s">
        <v>1104</v>
      </c>
      <c r="U30" s="214"/>
      <c r="V30" s="214"/>
      <c r="W30" s="197"/>
    </row>
    <row r="31" spans="2:23" ht="15.5">
      <c r="B31" s="504"/>
      <c r="C31" s="286">
        <v>4.0999999999999996</v>
      </c>
      <c r="D31" s="214" t="s">
        <v>1101</v>
      </c>
      <c r="E31" s="214"/>
      <c r="F31" s="214" t="s">
        <v>1219</v>
      </c>
      <c r="G31" s="214" t="s">
        <v>1219</v>
      </c>
      <c r="H31" s="214" t="s">
        <v>1219</v>
      </c>
      <c r="I31" s="214" t="s">
        <v>1219</v>
      </c>
      <c r="J31" s="214" t="s">
        <v>1219</v>
      </c>
      <c r="K31" s="214" t="s">
        <v>1219</v>
      </c>
      <c r="L31" s="214" t="s">
        <v>1101</v>
      </c>
      <c r="M31" s="214" t="s">
        <v>1219</v>
      </c>
      <c r="N31" s="214" t="s">
        <v>1102</v>
      </c>
      <c r="O31" s="214" t="s">
        <v>1219</v>
      </c>
      <c r="P31" s="214" t="s">
        <v>1219</v>
      </c>
      <c r="Q31" s="214" t="s">
        <v>1219</v>
      </c>
      <c r="R31" s="214" t="s">
        <v>1101</v>
      </c>
      <c r="S31" s="214" t="s">
        <v>1219</v>
      </c>
      <c r="T31" s="214" t="s">
        <v>1101</v>
      </c>
      <c r="U31" s="214" t="s">
        <v>1219</v>
      </c>
      <c r="V31" s="214" t="s">
        <v>1219</v>
      </c>
      <c r="W31" s="197" t="s">
        <v>1103</v>
      </c>
    </row>
    <row r="32" spans="2:23" ht="15.5">
      <c r="B32" s="504"/>
      <c r="C32" s="286">
        <v>4.2</v>
      </c>
      <c r="D32" s="214"/>
      <c r="E32" s="214"/>
      <c r="F32" s="214" t="s">
        <v>1219</v>
      </c>
      <c r="G32" s="214" t="s">
        <v>1219</v>
      </c>
      <c r="H32" s="214" t="s">
        <v>1219</v>
      </c>
      <c r="I32" s="214" t="s">
        <v>1219</v>
      </c>
      <c r="J32" s="214" t="s">
        <v>1219</v>
      </c>
      <c r="K32" s="214" t="s">
        <v>1219</v>
      </c>
      <c r="L32" s="214" t="s">
        <v>1219</v>
      </c>
      <c r="M32" s="214" t="s">
        <v>1219</v>
      </c>
      <c r="N32" s="214" t="s">
        <v>1101</v>
      </c>
      <c r="O32" s="214" t="s">
        <v>1219</v>
      </c>
      <c r="P32" s="214" t="s">
        <v>1219</v>
      </c>
      <c r="Q32" s="214" t="s">
        <v>1219</v>
      </c>
      <c r="R32" s="214" t="s">
        <v>1219</v>
      </c>
      <c r="S32" s="214" t="s">
        <v>1219</v>
      </c>
      <c r="T32" s="214" t="s">
        <v>1101</v>
      </c>
      <c r="U32" s="214" t="s">
        <v>1219</v>
      </c>
      <c r="V32" s="214" t="s">
        <v>1219</v>
      </c>
      <c r="W32" s="197"/>
    </row>
    <row r="33" spans="2:23" ht="15.5">
      <c r="B33" s="504"/>
      <c r="C33" s="286">
        <v>4.3</v>
      </c>
      <c r="D33" s="214"/>
      <c r="E33" s="214"/>
      <c r="F33" s="214" t="s">
        <v>1219</v>
      </c>
      <c r="G33" s="214" t="s">
        <v>1219</v>
      </c>
      <c r="H33" s="214" t="s">
        <v>1219</v>
      </c>
      <c r="I33" s="214" t="s">
        <v>1219</v>
      </c>
      <c r="J33" s="214" t="s">
        <v>1219</v>
      </c>
      <c r="K33" s="214" t="s">
        <v>1219</v>
      </c>
      <c r="L33" s="214" t="s">
        <v>1219</v>
      </c>
      <c r="M33" s="214" t="s">
        <v>1219</v>
      </c>
      <c r="N33" s="214" t="s">
        <v>1101</v>
      </c>
      <c r="O33" s="214" t="s">
        <v>1219</v>
      </c>
      <c r="P33" s="214" t="s">
        <v>1219</v>
      </c>
      <c r="Q33" s="214" t="s">
        <v>1219</v>
      </c>
      <c r="R33" s="214" t="s">
        <v>1219</v>
      </c>
      <c r="S33" s="214" t="s">
        <v>1219</v>
      </c>
      <c r="T33" s="214" t="s">
        <v>1219</v>
      </c>
      <c r="U33" s="214" t="s">
        <v>1219</v>
      </c>
      <c r="V33" s="214" t="s">
        <v>1219</v>
      </c>
      <c r="W33" s="197"/>
    </row>
    <row r="34" spans="2:23" ht="15.5">
      <c r="B34" s="504"/>
      <c r="C34" s="286">
        <v>4.4000000000000004</v>
      </c>
      <c r="D34" s="214"/>
      <c r="E34" s="214"/>
      <c r="F34" s="214" t="s">
        <v>1219</v>
      </c>
      <c r="G34" s="214" t="s">
        <v>1219</v>
      </c>
      <c r="H34" s="214" t="s">
        <v>1219</v>
      </c>
      <c r="I34" s="214" t="s">
        <v>1219</v>
      </c>
      <c r="J34" s="214" t="s">
        <v>1219</v>
      </c>
      <c r="K34" s="214" t="s">
        <v>1219</v>
      </c>
      <c r="L34" s="214" t="s">
        <v>1219</v>
      </c>
      <c r="M34" s="214" t="s">
        <v>1219</v>
      </c>
      <c r="N34" s="214" t="s">
        <v>1102</v>
      </c>
      <c r="O34" s="214" t="s">
        <v>1219</v>
      </c>
      <c r="P34" s="214" t="s">
        <v>1219</v>
      </c>
      <c r="Q34" s="214" t="s">
        <v>1219</v>
      </c>
      <c r="R34" s="214" t="s">
        <v>1219</v>
      </c>
      <c r="S34" s="214" t="s">
        <v>1219</v>
      </c>
      <c r="T34" s="214" t="s">
        <v>1219</v>
      </c>
      <c r="U34" s="214" t="s">
        <v>1219</v>
      </c>
      <c r="V34" s="214" t="s">
        <v>1219</v>
      </c>
      <c r="W34" s="197"/>
    </row>
    <row r="35" spans="2:23" ht="15.5">
      <c r="B35" s="505"/>
      <c r="C35" s="286">
        <v>4.5</v>
      </c>
      <c r="D35" s="214"/>
      <c r="E35" s="214"/>
      <c r="F35" s="214" t="s">
        <v>1219</v>
      </c>
      <c r="G35" s="214" t="s">
        <v>1219</v>
      </c>
      <c r="H35" s="214" t="s">
        <v>1219</v>
      </c>
      <c r="I35" s="214" t="s">
        <v>1219</v>
      </c>
      <c r="J35" s="214" t="s">
        <v>1219</v>
      </c>
      <c r="K35" s="214" t="s">
        <v>1219</v>
      </c>
      <c r="L35" s="214" t="s">
        <v>1219</v>
      </c>
      <c r="M35" s="214" t="s">
        <v>1219</v>
      </c>
      <c r="N35" s="214" t="s">
        <v>1101</v>
      </c>
      <c r="O35" s="214" t="s">
        <v>1219</v>
      </c>
      <c r="P35" s="214" t="s">
        <v>1219</v>
      </c>
      <c r="Q35" s="214" t="s">
        <v>1219</v>
      </c>
      <c r="R35" s="214" t="s">
        <v>1219</v>
      </c>
      <c r="S35" s="214" t="s">
        <v>1219</v>
      </c>
      <c r="T35" s="214" t="s">
        <v>1219</v>
      </c>
      <c r="U35" s="214" t="s">
        <v>1219</v>
      </c>
      <c r="V35" s="214" t="s">
        <v>1219</v>
      </c>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5">
      <c r="B37" s="493" t="s">
        <v>1110</v>
      </c>
      <c r="C37" s="214"/>
      <c r="D37" s="214"/>
      <c r="E37" s="214"/>
      <c r="F37" s="214"/>
      <c r="G37" s="214"/>
      <c r="H37" s="214"/>
      <c r="I37" s="214"/>
      <c r="J37" s="214"/>
      <c r="K37" s="214"/>
      <c r="L37" s="214"/>
      <c r="M37" s="214"/>
      <c r="N37" s="287" t="s">
        <v>1104</v>
      </c>
      <c r="O37" s="214"/>
      <c r="P37" s="214"/>
      <c r="Q37" s="214"/>
      <c r="R37" s="214"/>
      <c r="S37" s="214"/>
      <c r="T37" s="287" t="s">
        <v>1104</v>
      </c>
      <c r="U37" s="214"/>
      <c r="V37" s="214"/>
      <c r="W37" s="197"/>
    </row>
    <row r="38" spans="2:23" ht="15.5">
      <c r="B38" s="493"/>
      <c r="C38" s="213">
        <v>5.0999999999999996</v>
      </c>
      <c r="D38" s="214"/>
      <c r="E38" s="214"/>
      <c r="F38" s="214" t="s">
        <v>1219</v>
      </c>
      <c r="G38" s="214" t="s">
        <v>1219</v>
      </c>
      <c r="H38" s="214" t="s">
        <v>1219</v>
      </c>
      <c r="I38" s="214" t="s">
        <v>1219</v>
      </c>
      <c r="J38" s="214" t="s">
        <v>1219</v>
      </c>
      <c r="K38" s="214" t="s">
        <v>1219</v>
      </c>
      <c r="L38" s="214" t="s">
        <v>1219</v>
      </c>
      <c r="M38" s="214" t="s">
        <v>1219</v>
      </c>
      <c r="N38" s="214" t="s">
        <v>1101</v>
      </c>
      <c r="O38" s="214" t="s">
        <v>1219</v>
      </c>
      <c r="P38" s="214" t="s">
        <v>1219</v>
      </c>
      <c r="Q38" s="214" t="s">
        <v>1219</v>
      </c>
      <c r="R38" s="214" t="s">
        <v>1219</v>
      </c>
      <c r="S38" s="214" t="s">
        <v>1219</v>
      </c>
      <c r="T38" s="214" t="s">
        <v>1101</v>
      </c>
      <c r="U38" s="214" t="s">
        <v>1219</v>
      </c>
      <c r="V38" s="214" t="s">
        <v>1219</v>
      </c>
      <c r="W38" s="197"/>
    </row>
    <row r="39" spans="2:23" ht="15.5">
      <c r="B39" s="493"/>
      <c r="C39" s="213">
        <v>5.2</v>
      </c>
      <c r="D39" s="214"/>
      <c r="E39" s="214"/>
      <c r="F39" s="214" t="s">
        <v>1219</v>
      </c>
      <c r="G39" s="214" t="s">
        <v>1219</v>
      </c>
      <c r="H39" s="214" t="s">
        <v>1219</v>
      </c>
      <c r="I39" s="214" t="s">
        <v>1219</v>
      </c>
      <c r="J39" s="214" t="s">
        <v>1219</v>
      </c>
      <c r="K39" s="214" t="s">
        <v>1219</v>
      </c>
      <c r="L39" s="214" t="s">
        <v>1219</v>
      </c>
      <c r="M39" s="214" t="s">
        <v>1219</v>
      </c>
      <c r="N39" s="214" t="s">
        <v>1101</v>
      </c>
      <c r="O39" s="214" t="s">
        <v>1219</v>
      </c>
      <c r="P39" s="214" t="s">
        <v>1219</v>
      </c>
      <c r="Q39" s="214" t="s">
        <v>1219</v>
      </c>
      <c r="R39" s="214" t="s">
        <v>1219</v>
      </c>
      <c r="S39" s="214" t="s">
        <v>1219</v>
      </c>
      <c r="T39" s="214" t="s">
        <v>1219</v>
      </c>
      <c r="U39" s="214" t="s">
        <v>1219</v>
      </c>
      <c r="V39" s="214" t="s">
        <v>1219</v>
      </c>
      <c r="W39" s="197"/>
    </row>
    <row r="40" spans="2:23" ht="15.5">
      <c r="B40" s="493"/>
      <c r="C40" s="213">
        <v>5.3</v>
      </c>
      <c r="D40" s="214"/>
      <c r="E40" s="214"/>
      <c r="F40" s="214" t="s">
        <v>1219</v>
      </c>
      <c r="G40" s="214" t="s">
        <v>1219</v>
      </c>
      <c r="H40" s="214" t="s">
        <v>1219</v>
      </c>
      <c r="I40" s="214" t="s">
        <v>1219</v>
      </c>
      <c r="J40" s="214" t="s">
        <v>1219</v>
      </c>
      <c r="K40" s="214" t="s">
        <v>1219</v>
      </c>
      <c r="L40" s="214" t="s">
        <v>1219</v>
      </c>
      <c r="M40" s="214" t="s">
        <v>1219</v>
      </c>
      <c r="N40" s="214" t="s">
        <v>1101</v>
      </c>
      <c r="O40" s="214" t="s">
        <v>1219</v>
      </c>
      <c r="P40" s="214" t="s">
        <v>1219</v>
      </c>
      <c r="Q40" s="214" t="s">
        <v>1219</v>
      </c>
      <c r="R40" s="214" t="s">
        <v>1219</v>
      </c>
      <c r="S40" s="214" t="s">
        <v>1219</v>
      </c>
      <c r="T40" s="214" t="s">
        <v>1219</v>
      </c>
      <c r="U40" s="214" t="s">
        <v>1219</v>
      </c>
      <c r="V40" s="214" t="s">
        <v>1219</v>
      </c>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1116</v>
      </c>
      <c r="C48" s="196" t="s">
        <v>1116</v>
      </c>
      <c r="D48" s="196" t="s">
        <v>1116</v>
      </c>
      <c r="E48" s="196" t="s">
        <v>1116</v>
      </c>
      <c r="F48" s="196" t="s">
        <v>1116</v>
      </c>
      <c r="G48" s="196" t="s">
        <v>1116</v>
      </c>
      <c r="H48" s="196" t="s">
        <v>1116</v>
      </c>
      <c r="I48" s="196" t="s">
        <v>1116</v>
      </c>
      <c r="J48" s="196" t="s">
        <v>1116</v>
      </c>
      <c r="K48" s="196" t="s">
        <v>1116</v>
      </c>
      <c r="L48" s="196" t="s">
        <v>1116</v>
      </c>
      <c r="M48" s="196" t="s">
        <v>1116</v>
      </c>
      <c r="N48" s="196" t="s">
        <v>1116</v>
      </c>
      <c r="O48" s="196" t="s">
        <v>1116</v>
      </c>
      <c r="P48" s="196" t="s">
        <v>1116</v>
      </c>
      <c r="Q48" s="196" t="s">
        <v>1116</v>
      </c>
      <c r="R48" s="196" t="s">
        <v>1116</v>
      </c>
      <c r="S48" s="196" t="s">
        <v>1116</v>
      </c>
      <c r="T48" s="196" t="s">
        <v>1116</v>
      </c>
      <c r="U48" s="196" t="s">
        <v>1116</v>
      </c>
      <c r="V48" s="196" t="s">
        <v>1116</v>
      </c>
      <c r="W48" s="196" t="s">
        <v>1116</v>
      </c>
    </row>
    <row r="50" spans="2:28" ht="93">
      <c r="B50" s="496" t="s">
        <v>1089</v>
      </c>
      <c r="C50" s="496" t="s">
        <v>1090</v>
      </c>
      <c r="D50" s="494" t="s">
        <v>1091</v>
      </c>
      <c r="E50" s="494"/>
      <c r="F50" s="495" t="s">
        <v>1092</v>
      </c>
      <c r="G50" s="495"/>
      <c r="H50" s="494" t="s">
        <v>1093</v>
      </c>
      <c r="I50" s="494"/>
      <c r="J50" s="494"/>
      <c r="K50" s="494"/>
      <c r="L50" s="495" t="s">
        <v>1094</v>
      </c>
      <c r="M50" s="495"/>
      <c r="N50" s="495"/>
      <c r="O50" s="210" t="s">
        <v>1095</v>
      </c>
      <c r="P50" s="211" t="s">
        <v>1096</v>
      </c>
      <c r="Q50" s="494" t="s">
        <v>1097</v>
      </c>
      <c r="R50" s="494"/>
      <c r="S50" s="494"/>
      <c r="T50" s="495" t="s">
        <v>1098</v>
      </c>
      <c r="U50" s="495"/>
      <c r="V50" s="495"/>
      <c r="W50" s="207" t="s">
        <v>1099</v>
      </c>
    </row>
    <row r="51" spans="2:28" ht="15.5">
      <c r="B51" s="496"/>
      <c r="C51" s="496"/>
      <c r="D51" s="212" t="s">
        <v>910</v>
      </c>
      <c r="E51" s="212" t="s">
        <v>911</v>
      </c>
      <c r="F51" s="213" t="s">
        <v>884</v>
      </c>
      <c r="G51" s="213" t="s">
        <v>883</v>
      </c>
      <c r="H51" s="212" t="s">
        <v>885</v>
      </c>
      <c r="I51" s="212" t="s">
        <v>887</v>
      </c>
      <c r="J51" s="212" t="s">
        <v>836</v>
      </c>
      <c r="K51" s="212" t="s">
        <v>886</v>
      </c>
      <c r="L51" s="213" t="s">
        <v>890</v>
      </c>
      <c r="M51" s="213" t="s">
        <v>889</v>
      </c>
      <c r="N51" s="213" t="s">
        <v>888</v>
      </c>
      <c r="O51" s="212" t="s">
        <v>891</v>
      </c>
      <c r="P51" s="213" t="s">
        <v>753</v>
      </c>
      <c r="Q51" s="212" t="s">
        <v>893</v>
      </c>
      <c r="R51" s="212" t="s">
        <v>894</v>
      </c>
      <c r="S51" s="212" t="s">
        <v>892</v>
      </c>
      <c r="T51" s="213" t="s">
        <v>895</v>
      </c>
      <c r="U51" s="213" t="s">
        <v>896</v>
      </c>
      <c r="V51" s="213" t="s">
        <v>751</v>
      </c>
      <c r="W51" s="207" t="s">
        <v>897</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5">
      <c r="B53" s="493" t="s">
        <v>1100</v>
      </c>
      <c r="C53" s="214"/>
      <c r="D53" s="214" t="s">
        <v>1104</v>
      </c>
      <c r="E53" s="214" t="s">
        <v>1104</v>
      </c>
      <c r="F53" s="214" t="s">
        <v>1104</v>
      </c>
      <c r="G53" s="214" t="s">
        <v>1104</v>
      </c>
      <c r="H53" s="214" t="s">
        <v>1104</v>
      </c>
      <c r="I53" s="214" t="s">
        <v>1104</v>
      </c>
      <c r="J53" s="214" t="s">
        <v>1104</v>
      </c>
      <c r="K53" s="214" t="s">
        <v>1104</v>
      </c>
      <c r="L53" s="214" t="s">
        <v>1104</v>
      </c>
      <c r="M53" s="214" t="s">
        <v>1104</v>
      </c>
      <c r="N53" s="214" t="s">
        <v>1104</v>
      </c>
      <c r="O53" s="214" t="s">
        <v>1104</v>
      </c>
      <c r="P53" s="214" t="s">
        <v>1104</v>
      </c>
      <c r="Q53" s="214" t="s">
        <v>1104</v>
      </c>
      <c r="R53" s="214" t="s">
        <v>1104</v>
      </c>
      <c r="S53" s="214" t="s">
        <v>1104</v>
      </c>
      <c r="T53" s="214" t="s">
        <v>1104</v>
      </c>
      <c r="U53" s="214" t="s">
        <v>1104</v>
      </c>
      <c r="V53" s="214" t="s">
        <v>1104</v>
      </c>
      <c r="W53" s="197" t="s">
        <v>1105</v>
      </c>
    </row>
    <row r="54" spans="2:28" ht="15.5">
      <c r="B54" s="493"/>
      <c r="C54" s="213">
        <v>1.1000000000000001</v>
      </c>
      <c r="D54" s="214" t="s">
        <v>1101</v>
      </c>
      <c r="E54" s="214" t="s">
        <v>1101</v>
      </c>
      <c r="F54" s="214" t="s">
        <v>1101</v>
      </c>
      <c r="G54" s="214" t="s">
        <v>1101</v>
      </c>
      <c r="H54" s="214" t="s">
        <v>1101</v>
      </c>
      <c r="I54" s="214" t="s">
        <v>1101</v>
      </c>
      <c r="J54" s="214" t="s">
        <v>1101</v>
      </c>
      <c r="K54" s="214" t="s">
        <v>1101</v>
      </c>
      <c r="L54" s="214" t="s">
        <v>1101</v>
      </c>
      <c r="M54" s="214" t="s">
        <v>1101</v>
      </c>
      <c r="N54" s="214" t="s">
        <v>1101</v>
      </c>
      <c r="O54" s="214" t="s">
        <v>1101</v>
      </c>
      <c r="P54" s="214" t="s">
        <v>1101</v>
      </c>
      <c r="Q54" s="214" t="s">
        <v>1101</v>
      </c>
      <c r="R54" s="214" t="s">
        <v>1101</v>
      </c>
      <c r="S54" s="214" t="s">
        <v>1101</v>
      </c>
      <c r="T54" s="214" t="s">
        <v>1101</v>
      </c>
      <c r="U54" s="214" t="s">
        <v>1101</v>
      </c>
      <c r="V54" s="214" t="s">
        <v>1101</v>
      </c>
      <c r="W54" s="197" t="s">
        <v>1103</v>
      </c>
      <c r="Z54" s="196" t="s">
        <v>1101</v>
      </c>
      <c r="AB54" s="196" t="s">
        <v>1104</v>
      </c>
    </row>
    <row r="55" spans="2:28" ht="15.5">
      <c r="B55" s="493"/>
      <c r="C55" s="213">
        <v>1.2</v>
      </c>
      <c r="D55" s="214"/>
      <c r="E55" s="214"/>
      <c r="F55" s="214"/>
      <c r="G55" s="214"/>
      <c r="H55" s="214"/>
      <c r="I55" s="214" t="s">
        <v>1101</v>
      </c>
      <c r="J55" s="214"/>
      <c r="K55" s="214"/>
      <c r="L55" s="214" t="s">
        <v>1101</v>
      </c>
      <c r="M55" s="214"/>
      <c r="N55" s="214" t="s">
        <v>1101</v>
      </c>
      <c r="O55" s="214"/>
      <c r="P55" s="214"/>
      <c r="Q55" s="214" t="s">
        <v>1101</v>
      </c>
      <c r="R55" s="214" t="s">
        <v>1101</v>
      </c>
      <c r="S55" s="214"/>
      <c r="T55" s="214"/>
      <c r="U55" s="214" t="s">
        <v>1101</v>
      </c>
      <c r="V55" s="214"/>
      <c r="W55" s="197" t="s">
        <v>914</v>
      </c>
      <c r="Z55" s="196" t="s">
        <v>1102</v>
      </c>
      <c r="AB55" s="196" t="s">
        <v>1105</v>
      </c>
    </row>
    <row r="56" spans="2:28" ht="15.5">
      <c r="B56" s="493"/>
      <c r="C56" s="213">
        <v>1.3</v>
      </c>
      <c r="D56" s="214"/>
      <c r="E56" s="214"/>
      <c r="F56" s="214"/>
      <c r="G56" s="214"/>
      <c r="H56" s="214"/>
      <c r="I56" s="214"/>
      <c r="J56" s="214"/>
      <c r="K56" s="214"/>
      <c r="L56" s="214" t="s">
        <v>1101</v>
      </c>
      <c r="M56" s="214"/>
      <c r="N56" s="214"/>
      <c r="O56" s="214"/>
      <c r="P56" s="214"/>
      <c r="Q56" s="214"/>
      <c r="R56" s="214"/>
      <c r="S56" s="214"/>
      <c r="T56" s="214"/>
      <c r="U56" s="214"/>
      <c r="V56" s="214"/>
      <c r="W56" s="197" t="s">
        <v>1102</v>
      </c>
      <c r="Z56" s="196" t="s">
        <v>914</v>
      </c>
    </row>
    <row r="57" spans="2:28" ht="15.5">
      <c r="B57" s="493"/>
      <c r="C57" s="213">
        <v>1.4</v>
      </c>
      <c r="D57" s="214"/>
      <c r="E57" s="214"/>
      <c r="F57" s="214"/>
      <c r="G57" s="214"/>
      <c r="H57" s="214"/>
      <c r="I57" s="214"/>
      <c r="J57" s="214"/>
      <c r="K57" s="214"/>
      <c r="L57" s="214" t="s">
        <v>1101</v>
      </c>
      <c r="M57" s="214"/>
      <c r="N57" s="214"/>
      <c r="O57" s="214"/>
      <c r="P57" s="214"/>
      <c r="Q57" s="214"/>
      <c r="R57" s="214"/>
      <c r="S57" s="214"/>
      <c r="T57" s="214"/>
      <c r="U57" s="214"/>
      <c r="V57" s="214"/>
      <c r="W57" s="197" t="s">
        <v>1102</v>
      </c>
      <c r="Z57" s="196" t="s">
        <v>914</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1103</v>
      </c>
    </row>
    <row r="59" spans="2:28" ht="15.5">
      <c r="B59" s="493" t="s">
        <v>1106</v>
      </c>
      <c r="C59" s="214"/>
      <c r="D59" s="214" t="s">
        <v>1104</v>
      </c>
      <c r="E59" s="214" t="s">
        <v>1104</v>
      </c>
      <c r="F59" s="214" t="s">
        <v>1104</v>
      </c>
      <c r="G59" s="214" t="s">
        <v>1104</v>
      </c>
      <c r="H59" s="214" t="s">
        <v>1104</v>
      </c>
      <c r="I59" s="214" t="s">
        <v>1104</v>
      </c>
      <c r="J59" s="214" t="s">
        <v>1104</v>
      </c>
      <c r="K59" s="214" t="s">
        <v>1104</v>
      </c>
      <c r="L59" s="214" t="s">
        <v>1104</v>
      </c>
      <c r="M59" s="214" t="s">
        <v>1104</v>
      </c>
      <c r="N59" s="214" t="s">
        <v>1104</v>
      </c>
      <c r="O59" s="214" t="s">
        <v>1104</v>
      </c>
      <c r="P59" s="214" t="s">
        <v>1104</v>
      </c>
      <c r="Q59" s="214" t="s">
        <v>1104</v>
      </c>
      <c r="R59" s="214" t="s">
        <v>1104</v>
      </c>
      <c r="S59" s="214" t="s">
        <v>1104</v>
      </c>
      <c r="T59" s="214" t="s">
        <v>1104</v>
      </c>
      <c r="U59" s="214" t="s">
        <v>1104</v>
      </c>
      <c r="V59" s="214" t="s">
        <v>1104</v>
      </c>
      <c r="W59" s="197"/>
      <c r="Z59" s="196" t="s">
        <v>1107</v>
      </c>
    </row>
    <row r="60" spans="2:28" ht="15.5">
      <c r="B60" s="493"/>
      <c r="C60" s="213">
        <v>2.1</v>
      </c>
      <c r="D60" s="214" t="s">
        <v>1101</v>
      </c>
      <c r="E60" s="214" t="s">
        <v>1102</v>
      </c>
      <c r="F60" s="214" t="s">
        <v>1101</v>
      </c>
      <c r="G60" s="214" t="s">
        <v>1101</v>
      </c>
      <c r="H60" s="214" t="s">
        <v>1101</v>
      </c>
      <c r="I60" s="214" t="s">
        <v>1101</v>
      </c>
      <c r="J60" s="214" t="s">
        <v>1101</v>
      </c>
      <c r="K60" s="214" t="s">
        <v>1101</v>
      </c>
      <c r="L60" s="214" t="s">
        <v>1101</v>
      </c>
      <c r="M60" s="214" t="s">
        <v>1101</v>
      </c>
      <c r="N60" s="214" t="s">
        <v>1101</v>
      </c>
      <c r="O60" s="214" t="s">
        <v>1102</v>
      </c>
      <c r="P60" s="214" t="s">
        <v>1101</v>
      </c>
      <c r="Q60" s="214" t="s">
        <v>1101</v>
      </c>
      <c r="R60" s="214" t="s">
        <v>1101</v>
      </c>
      <c r="S60" s="214" t="s">
        <v>1101</v>
      </c>
      <c r="T60" s="214" t="s">
        <v>1101</v>
      </c>
      <c r="U60" s="214" t="s">
        <v>1101</v>
      </c>
      <c r="V60" s="214" t="s">
        <v>1101</v>
      </c>
      <c r="W60" s="197" t="s">
        <v>1103</v>
      </c>
    </row>
    <row r="61" spans="2:28" ht="15.5">
      <c r="B61" s="493"/>
      <c r="C61" s="213">
        <v>2.2000000000000002</v>
      </c>
      <c r="D61" s="214" t="s">
        <v>1101</v>
      </c>
      <c r="E61" s="214" t="s">
        <v>1101</v>
      </c>
      <c r="F61" s="214" t="s">
        <v>1101</v>
      </c>
      <c r="G61" s="214" t="s">
        <v>1101</v>
      </c>
      <c r="H61" s="214" t="s">
        <v>1101</v>
      </c>
      <c r="I61" s="214" t="s">
        <v>1101</v>
      </c>
      <c r="J61" s="214" t="s">
        <v>1101</v>
      </c>
      <c r="K61" s="214" t="s">
        <v>1101</v>
      </c>
      <c r="L61" s="214" t="s">
        <v>1101</v>
      </c>
      <c r="M61" s="214" t="s">
        <v>1101</v>
      </c>
      <c r="N61" s="214" t="s">
        <v>1101</v>
      </c>
      <c r="O61" s="214" t="s">
        <v>1101</v>
      </c>
      <c r="P61" s="214" t="s">
        <v>1101</v>
      </c>
      <c r="Q61" s="214" t="s">
        <v>1101</v>
      </c>
      <c r="R61" s="214" t="s">
        <v>1101</v>
      </c>
      <c r="S61" s="214" t="s">
        <v>1101</v>
      </c>
      <c r="T61" s="214" t="s">
        <v>1101</v>
      </c>
      <c r="U61" s="214" t="s">
        <v>1101</v>
      </c>
      <c r="V61" s="214" t="s">
        <v>1101</v>
      </c>
      <c r="W61" s="197" t="s">
        <v>1103</v>
      </c>
    </row>
    <row r="62" spans="2:28" ht="15.5">
      <c r="B62" s="493"/>
      <c r="C62" s="213">
        <v>2.2999999999999998</v>
      </c>
      <c r="D62" s="214" t="s">
        <v>1101</v>
      </c>
      <c r="E62" s="214"/>
      <c r="F62" s="214" t="s">
        <v>1101</v>
      </c>
      <c r="G62" s="214" t="s">
        <v>1101</v>
      </c>
      <c r="H62" s="214" t="s">
        <v>1101</v>
      </c>
      <c r="I62" s="214" t="s">
        <v>1101</v>
      </c>
      <c r="J62" s="214" t="s">
        <v>1101</v>
      </c>
      <c r="K62" s="214" t="s">
        <v>1101</v>
      </c>
      <c r="L62" s="214"/>
      <c r="M62" s="214" t="s">
        <v>1101</v>
      </c>
      <c r="N62" s="214" t="s">
        <v>1101</v>
      </c>
      <c r="O62" s="214"/>
      <c r="P62" s="214"/>
      <c r="Q62" s="214" t="s">
        <v>1101</v>
      </c>
      <c r="R62" s="214" t="s">
        <v>1101</v>
      </c>
      <c r="S62" s="214" t="s">
        <v>1101</v>
      </c>
      <c r="T62" s="214"/>
      <c r="U62" s="214" t="s">
        <v>1101</v>
      </c>
      <c r="V62" s="214" t="s">
        <v>1101</v>
      </c>
      <c r="W62" s="197" t="s">
        <v>1101</v>
      </c>
    </row>
    <row r="63" spans="2:28" ht="15.5">
      <c r="B63" s="493"/>
      <c r="C63" s="213">
        <v>2.4</v>
      </c>
      <c r="D63" s="214" t="s">
        <v>1101</v>
      </c>
      <c r="E63" s="214"/>
      <c r="F63" s="214"/>
      <c r="G63" s="214" t="s">
        <v>1101</v>
      </c>
      <c r="H63" s="214" t="s">
        <v>1101</v>
      </c>
      <c r="I63" s="214"/>
      <c r="J63" s="214" t="s">
        <v>1101</v>
      </c>
      <c r="K63" s="214" t="s">
        <v>1101</v>
      </c>
      <c r="L63" s="214"/>
      <c r="M63" s="214"/>
      <c r="N63" s="214" t="s">
        <v>1101</v>
      </c>
      <c r="O63" s="214"/>
      <c r="P63" s="214"/>
      <c r="Q63" s="214" t="s">
        <v>1101</v>
      </c>
      <c r="R63" s="214" t="s">
        <v>1101</v>
      </c>
      <c r="S63" s="214" t="s">
        <v>1101</v>
      </c>
      <c r="T63" s="214"/>
      <c r="U63" s="214" t="s">
        <v>1101</v>
      </c>
      <c r="V63" s="214" t="s">
        <v>1101</v>
      </c>
      <c r="W63" s="197" t="s">
        <v>1102</v>
      </c>
    </row>
    <row r="64" spans="2:28" ht="15.5">
      <c r="B64" s="493"/>
      <c r="C64" s="213">
        <v>2.5</v>
      </c>
      <c r="D64" s="214"/>
      <c r="E64" s="214"/>
      <c r="F64" s="214"/>
      <c r="G64" s="214" t="s">
        <v>1101</v>
      </c>
      <c r="H64" s="214"/>
      <c r="I64" s="214"/>
      <c r="J64" s="214"/>
      <c r="K64" s="214" t="s">
        <v>1101</v>
      </c>
      <c r="L64" s="214"/>
      <c r="M64" s="214"/>
      <c r="N64" s="214" t="s">
        <v>1101</v>
      </c>
      <c r="O64" s="214"/>
      <c r="P64" s="214"/>
      <c r="Q64" s="214"/>
      <c r="R64" s="214" t="s">
        <v>1101</v>
      </c>
      <c r="S64" s="214"/>
      <c r="T64" s="214"/>
      <c r="U64" s="214" t="s">
        <v>1101</v>
      </c>
      <c r="V64" s="214" t="s">
        <v>1101</v>
      </c>
      <c r="W64" s="197"/>
    </row>
    <row r="65" spans="2:23" ht="15.5">
      <c r="B65" s="493"/>
      <c r="C65" s="213">
        <v>2.6</v>
      </c>
      <c r="D65" s="214"/>
      <c r="E65" s="214"/>
      <c r="F65" s="214"/>
      <c r="G65" s="214" t="s">
        <v>1101</v>
      </c>
      <c r="H65" s="214"/>
      <c r="I65" s="214"/>
      <c r="J65" s="214"/>
      <c r="K65" s="214" t="s">
        <v>1101</v>
      </c>
      <c r="L65" s="214"/>
      <c r="M65" s="214"/>
      <c r="N65" s="214" t="s">
        <v>1101</v>
      </c>
      <c r="O65" s="214"/>
      <c r="P65" s="214"/>
      <c r="Q65" s="214"/>
      <c r="R65" s="214" t="s">
        <v>1101</v>
      </c>
      <c r="S65" s="214"/>
      <c r="T65" s="214"/>
      <c r="U65" s="214"/>
      <c r="V65" s="214"/>
      <c r="W65" s="197"/>
    </row>
    <row r="66" spans="2:23" ht="15.5">
      <c r="B66" s="493"/>
      <c r="C66" s="213">
        <v>2.7</v>
      </c>
      <c r="D66" s="214"/>
      <c r="E66" s="214"/>
      <c r="F66" s="214"/>
      <c r="G66" s="214"/>
      <c r="H66" s="214"/>
      <c r="I66" s="214"/>
      <c r="J66" s="214"/>
      <c r="K66" s="214"/>
      <c r="L66" s="214"/>
      <c r="M66" s="214"/>
      <c r="N66" s="214"/>
      <c r="O66" s="214"/>
      <c r="P66" s="214"/>
      <c r="Q66" s="214"/>
      <c r="R66" s="214" t="s">
        <v>1101</v>
      </c>
      <c r="S66" s="214"/>
      <c r="T66" s="214"/>
      <c r="U66" s="214"/>
      <c r="V66" s="214"/>
      <c r="W66" s="197"/>
    </row>
    <row r="67" spans="2:23" ht="15.5">
      <c r="B67" s="493"/>
      <c r="C67" s="213">
        <v>2.8</v>
      </c>
      <c r="D67" s="214"/>
      <c r="E67" s="214"/>
      <c r="F67" s="214"/>
      <c r="G67" s="214"/>
      <c r="H67" s="214"/>
      <c r="I67" s="214"/>
      <c r="J67" s="214"/>
      <c r="K67" s="214"/>
      <c r="L67" s="214"/>
      <c r="M67" s="214"/>
      <c r="N67" s="214"/>
      <c r="O67" s="214"/>
      <c r="P67" s="214"/>
      <c r="Q67" s="214"/>
      <c r="R67" s="214" t="s">
        <v>1101</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5">
      <c r="B69" s="493" t="s">
        <v>1108</v>
      </c>
      <c r="C69" s="214"/>
      <c r="D69" s="214" t="s">
        <v>1105</v>
      </c>
      <c r="E69" s="214" t="s">
        <v>1104</v>
      </c>
      <c r="F69" s="214" t="s">
        <v>1104</v>
      </c>
      <c r="G69" s="214" t="s">
        <v>1104</v>
      </c>
      <c r="H69" s="214" t="s">
        <v>1104</v>
      </c>
      <c r="I69" s="214" t="s">
        <v>1104</v>
      </c>
      <c r="J69" s="214" t="s">
        <v>1105</v>
      </c>
      <c r="K69" s="214" t="s">
        <v>1104</v>
      </c>
      <c r="L69" s="214" t="s">
        <v>1104</v>
      </c>
      <c r="M69" s="214" t="s">
        <v>1104</v>
      </c>
      <c r="N69" s="214" t="s">
        <v>1104</v>
      </c>
      <c r="O69" s="214" t="s">
        <v>1104</v>
      </c>
      <c r="P69" s="214" t="s">
        <v>1104</v>
      </c>
      <c r="Q69" s="214" t="s">
        <v>1104</v>
      </c>
      <c r="R69" s="214" t="s">
        <v>1104</v>
      </c>
      <c r="S69" s="214" t="s">
        <v>1104</v>
      </c>
      <c r="T69" s="214" t="s">
        <v>1104</v>
      </c>
      <c r="U69" s="214" t="s">
        <v>1104</v>
      </c>
      <c r="V69" s="214"/>
      <c r="W69" s="197"/>
    </row>
    <row r="70" spans="2:23" ht="15.5">
      <c r="B70" s="493"/>
      <c r="C70" s="213">
        <v>3.1</v>
      </c>
      <c r="D70" s="214" t="s">
        <v>1101</v>
      </c>
      <c r="E70" s="214" t="s">
        <v>1101</v>
      </c>
      <c r="F70" s="214" t="s">
        <v>1101</v>
      </c>
      <c r="G70" s="214" t="s">
        <v>1101</v>
      </c>
      <c r="H70" s="214" t="s">
        <v>1101</v>
      </c>
      <c r="I70" s="214" t="s">
        <v>1101</v>
      </c>
      <c r="J70" s="214" t="s">
        <v>914</v>
      </c>
      <c r="K70" s="214" t="s">
        <v>1101</v>
      </c>
      <c r="L70" s="214" t="s">
        <v>1101</v>
      </c>
      <c r="M70" s="214" t="s">
        <v>1101</v>
      </c>
      <c r="N70" s="214" t="s">
        <v>1101</v>
      </c>
      <c r="O70" s="214" t="s">
        <v>1101</v>
      </c>
      <c r="P70" s="214" t="s">
        <v>1101</v>
      </c>
      <c r="Q70" s="214" t="s">
        <v>1101</v>
      </c>
      <c r="R70" s="214" t="s">
        <v>1101</v>
      </c>
      <c r="S70" s="214" t="s">
        <v>1102</v>
      </c>
      <c r="T70" s="214" t="s">
        <v>1101</v>
      </c>
      <c r="U70" s="214" t="s">
        <v>1101</v>
      </c>
      <c r="V70" s="214"/>
      <c r="W70" s="197" t="s">
        <v>1103</v>
      </c>
    </row>
    <row r="71" spans="2:23" ht="15.5">
      <c r="B71" s="493"/>
      <c r="C71" s="213">
        <v>3.2</v>
      </c>
      <c r="D71" s="214" t="s">
        <v>914</v>
      </c>
      <c r="E71" s="214" t="s">
        <v>1101</v>
      </c>
      <c r="F71" s="214" t="s">
        <v>1101</v>
      </c>
      <c r="G71" s="214" t="s">
        <v>1101</v>
      </c>
      <c r="H71" s="214"/>
      <c r="I71" s="214"/>
      <c r="J71" s="214"/>
      <c r="K71" s="214" t="s">
        <v>1101</v>
      </c>
      <c r="L71" s="214" t="s">
        <v>1101</v>
      </c>
      <c r="M71" s="214" t="s">
        <v>1101</v>
      </c>
      <c r="N71" s="214" t="s">
        <v>1101</v>
      </c>
      <c r="O71" s="214" t="s">
        <v>1101</v>
      </c>
      <c r="P71" s="214" t="s">
        <v>1101</v>
      </c>
      <c r="Q71" s="214" t="s">
        <v>1101</v>
      </c>
      <c r="R71" s="214" t="s">
        <v>1101</v>
      </c>
      <c r="S71" s="214" t="s">
        <v>1101</v>
      </c>
      <c r="T71" s="214" t="s">
        <v>1101</v>
      </c>
      <c r="U71" s="214"/>
      <c r="V71" s="214"/>
      <c r="W71" s="197" t="s">
        <v>1103</v>
      </c>
    </row>
    <row r="72" spans="2:23" ht="15.5">
      <c r="B72" s="493"/>
      <c r="C72" s="213">
        <v>3.3</v>
      </c>
      <c r="D72" s="214"/>
      <c r="E72" s="214" t="s">
        <v>1101</v>
      </c>
      <c r="F72" s="214" t="s">
        <v>1101</v>
      </c>
      <c r="G72" s="214" t="s">
        <v>1101</v>
      </c>
      <c r="H72" s="214"/>
      <c r="I72" s="214"/>
      <c r="J72" s="214"/>
      <c r="K72" s="214" t="s">
        <v>1101</v>
      </c>
      <c r="L72" s="214" t="s">
        <v>1101</v>
      </c>
      <c r="M72" s="214" t="s">
        <v>1101</v>
      </c>
      <c r="N72" s="214" t="s">
        <v>1101</v>
      </c>
      <c r="O72" s="214" t="s">
        <v>1101</v>
      </c>
      <c r="P72" s="214" t="s">
        <v>1101</v>
      </c>
      <c r="Q72" s="214" t="s">
        <v>1101</v>
      </c>
      <c r="R72" s="214" t="s">
        <v>1101</v>
      </c>
      <c r="S72" s="214"/>
      <c r="T72" s="214" t="s">
        <v>1101</v>
      </c>
      <c r="U72" s="214"/>
      <c r="V72" s="214"/>
      <c r="W72" s="197"/>
    </row>
    <row r="73" spans="2:23" ht="15.5">
      <c r="B73" s="493"/>
      <c r="C73" s="213">
        <v>3.4</v>
      </c>
      <c r="D73" s="214"/>
      <c r="E73" s="214"/>
      <c r="F73" s="214" t="s">
        <v>1101</v>
      </c>
      <c r="G73" s="214"/>
      <c r="H73" s="214"/>
      <c r="I73" s="214"/>
      <c r="J73" s="214"/>
      <c r="K73" s="214" t="s">
        <v>1101</v>
      </c>
      <c r="L73" s="214" t="s">
        <v>1101</v>
      </c>
      <c r="M73" s="214" t="s">
        <v>1101</v>
      </c>
      <c r="N73" s="214" t="s">
        <v>1101</v>
      </c>
      <c r="O73" s="214" t="s">
        <v>1101</v>
      </c>
      <c r="P73" s="214" t="s">
        <v>1101</v>
      </c>
      <c r="Q73" s="214" t="s">
        <v>1101</v>
      </c>
      <c r="R73" s="214" t="s">
        <v>1102</v>
      </c>
      <c r="S73" s="214"/>
      <c r="T73" s="214" t="s">
        <v>1101</v>
      </c>
      <c r="U73" s="214"/>
      <c r="V73" s="214"/>
      <c r="W73" s="197"/>
    </row>
    <row r="74" spans="2:23" ht="15.5">
      <c r="B74" s="493"/>
      <c r="C74" s="213">
        <v>3.5</v>
      </c>
      <c r="D74" s="214"/>
      <c r="E74" s="214"/>
      <c r="F74" s="214" t="s">
        <v>1101</v>
      </c>
      <c r="G74" s="214"/>
      <c r="H74" s="214"/>
      <c r="I74" s="214"/>
      <c r="J74" s="214"/>
      <c r="K74" s="214" t="s">
        <v>1101</v>
      </c>
      <c r="L74" s="214" t="s">
        <v>1101</v>
      </c>
      <c r="M74" s="214" t="s">
        <v>1101</v>
      </c>
      <c r="N74" s="214" t="s">
        <v>1101</v>
      </c>
      <c r="O74" s="214" t="s">
        <v>1101</v>
      </c>
      <c r="P74" s="214" t="s">
        <v>1101</v>
      </c>
      <c r="Q74" s="214"/>
      <c r="R74" s="214"/>
      <c r="S74" s="214"/>
      <c r="T74" s="214" t="s">
        <v>1101</v>
      </c>
      <c r="U74" s="214"/>
      <c r="V74" s="214"/>
      <c r="W74" s="197"/>
    </row>
    <row r="75" spans="2:23" ht="15.5">
      <c r="B75" s="493"/>
      <c r="C75" s="213">
        <v>3.6</v>
      </c>
      <c r="D75" s="214"/>
      <c r="E75" s="214"/>
      <c r="F75" s="214" t="s">
        <v>1101</v>
      </c>
      <c r="G75" s="214"/>
      <c r="H75" s="214"/>
      <c r="I75" s="214"/>
      <c r="J75" s="214"/>
      <c r="K75" s="214" t="s">
        <v>1101</v>
      </c>
      <c r="L75" s="214" t="s">
        <v>1101</v>
      </c>
      <c r="M75" s="214" t="s">
        <v>1102</v>
      </c>
      <c r="N75" s="214" t="s">
        <v>1101</v>
      </c>
      <c r="O75" s="214"/>
      <c r="P75" s="214" t="s">
        <v>1101</v>
      </c>
      <c r="Q75" s="214"/>
      <c r="R75" s="214"/>
      <c r="S75" s="214"/>
      <c r="T75" s="214"/>
      <c r="U75" s="214"/>
      <c r="V75" s="214"/>
      <c r="W75" s="197"/>
    </row>
    <row r="76" spans="2:23" ht="15.5">
      <c r="B76" s="493"/>
      <c r="C76" s="213">
        <v>3.7</v>
      </c>
      <c r="D76" s="214"/>
      <c r="E76" s="214"/>
      <c r="F76" s="214"/>
      <c r="G76" s="214"/>
      <c r="H76" s="214"/>
      <c r="I76" s="214"/>
      <c r="J76" s="214"/>
      <c r="K76" s="214" t="s">
        <v>1101</v>
      </c>
      <c r="L76" s="214"/>
      <c r="M76" s="214" t="s">
        <v>1101</v>
      </c>
      <c r="N76" s="214"/>
      <c r="O76" s="214"/>
      <c r="P76" s="214" t="s">
        <v>1101</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5">
      <c r="B78" s="493" t="s">
        <v>1109</v>
      </c>
      <c r="C78" s="214"/>
      <c r="D78" s="214" t="s">
        <v>1105</v>
      </c>
      <c r="E78" s="214"/>
      <c r="F78" s="214"/>
      <c r="G78" s="214"/>
      <c r="H78" s="214"/>
      <c r="I78" s="214"/>
      <c r="J78" s="214"/>
      <c r="K78" s="214"/>
      <c r="L78" s="214" t="s">
        <v>1104</v>
      </c>
      <c r="M78" s="214"/>
      <c r="N78" s="214" t="s">
        <v>1104</v>
      </c>
      <c r="O78" s="214"/>
      <c r="P78" s="214"/>
      <c r="Q78" s="214"/>
      <c r="R78" s="214" t="s">
        <v>1104</v>
      </c>
      <c r="S78" s="214"/>
      <c r="T78" s="214" t="s">
        <v>1104</v>
      </c>
      <c r="U78" s="214"/>
      <c r="V78" s="214"/>
      <c r="W78" s="197"/>
    </row>
    <row r="79" spans="2:23" ht="15.5">
      <c r="B79" s="493"/>
      <c r="C79" s="213">
        <v>4.0999999999999996</v>
      </c>
      <c r="D79" s="214" t="s">
        <v>1101</v>
      </c>
      <c r="E79" s="214"/>
      <c r="F79" s="214"/>
      <c r="G79" s="214"/>
      <c r="H79" s="214"/>
      <c r="I79" s="214"/>
      <c r="J79" s="214"/>
      <c r="K79" s="214"/>
      <c r="L79" s="214" t="s">
        <v>1101</v>
      </c>
      <c r="M79" s="214"/>
      <c r="N79" s="214" t="s">
        <v>1101</v>
      </c>
      <c r="O79" s="214"/>
      <c r="P79" s="214"/>
      <c r="Q79" s="214"/>
      <c r="R79" s="214" t="s">
        <v>1101</v>
      </c>
      <c r="S79" s="214"/>
      <c r="T79" s="214" t="s">
        <v>1101</v>
      </c>
      <c r="U79" s="214"/>
      <c r="V79" s="214"/>
      <c r="W79" s="197" t="s">
        <v>1103</v>
      </c>
    </row>
    <row r="80" spans="2:23" ht="15.5">
      <c r="B80" s="493"/>
      <c r="C80" s="213">
        <v>4.2</v>
      </c>
      <c r="D80" s="214"/>
      <c r="E80" s="214"/>
      <c r="F80" s="214"/>
      <c r="G80" s="214"/>
      <c r="H80" s="214"/>
      <c r="I80" s="214"/>
      <c r="J80" s="214"/>
      <c r="K80" s="214"/>
      <c r="L80" s="214"/>
      <c r="M80" s="214"/>
      <c r="N80" s="214" t="s">
        <v>1101</v>
      </c>
      <c r="O80" s="214"/>
      <c r="P80" s="214"/>
      <c r="Q80" s="214"/>
      <c r="R80" s="214"/>
      <c r="S80" s="214"/>
      <c r="T80" s="214" t="s">
        <v>1101</v>
      </c>
      <c r="U80" s="214"/>
      <c r="V80" s="214"/>
      <c r="W80" s="197"/>
    </row>
    <row r="81" spans="2:23" ht="15.5">
      <c r="B81" s="493"/>
      <c r="C81" s="213">
        <v>4.3</v>
      </c>
      <c r="D81" s="214"/>
      <c r="E81" s="214"/>
      <c r="F81" s="214"/>
      <c r="G81" s="214"/>
      <c r="H81" s="214"/>
      <c r="I81" s="214"/>
      <c r="J81" s="214"/>
      <c r="K81" s="214"/>
      <c r="L81" s="214"/>
      <c r="M81" s="214"/>
      <c r="N81" s="214" t="s">
        <v>1101</v>
      </c>
      <c r="O81" s="214"/>
      <c r="P81" s="214"/>
      <c r="Q81" s="214"/>
      <c r="R81" s="214"/>
      <c r="S81" s="214"/>
      <c r="T81" s="214"/>
      <c r="U81" s="214"/>
      <c r="V81" s="214"/>
      <c r="W81" s="197"/>
    </row>
    <row r="82" spans="2:23" ht="15.5">
      <c r="B82" s="493"/>
      <c r="C82" s="213">
        <v>4.4000000000000004</v>
      </c>
      <c r="D82" s="214"/>
      <c r="E82" s="214"/>
      <c r="F82" s="214"/>
      <c r="G82" s="214"/>
      <c r="H82" s="214"/>
      <c r="I82" s="214"/>
      <c r="J82" s="214"/>
      <c r="K82" s="214"/>
      <c r="L82" s="214"/>
      <c r="M82" s="214"/>
      <c r="N82" s="214" t="s">
        <v>1101</v>
      </c>
      <c r="O82" s="214"/>
      <c r="P82" s="214"/>
      <c r="Q82" s="214"/>
      <c r="R82" s="214"/>
      <c r="S82" s="214"/>
      <c r="T82" s="214"/>
      <c r="U82" s="214"/>
      <c r="V82" s="214"/>
      <c r="W82" s="197"/>
    </row>
    <row r="83" spans="2:23" ht="15.5">
      <c r="B83" s="493"/>
      <c r="C83" s="213">
        <v>4.5</v>
      </c>
      <c r="D83" s="214"/>
      <c r="E83" s="214"/>
      <c r="F83" s="214"/>
      <c r="G83" s="214"/>
      <c r="H83" s="214"/>
      <c r="I83" s="214"/>
      <c r="J83" s="214"/>
      <c r="K83" s="214"/>
      <c r="L83" s="214"/>
      <c r="M83" s="214"/>
      <c r="N83" s="214" t="s">
        <v>1101</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5">
      <c r="B85" s="493" t="s">
        <v>1110</v>
      </c>
      <c r="C85" s="214"/>
      <c r="D85" s="214"/>
      <c r="E85" s="214"/>
      <c r="F85" s="214"/>
      <c r="G85" s="214"/>
      <c r="H85" s="214"/>
      <c r="I85" s="214"/>
      <c r="J85" s="214"/>
      <c r="K85" s="214"/>
      <c r="L85" s="214"/>
      <c r="M85" s="214"/>
      <c r="N85" s="214" t="s">
        <v>1104</v>
      </c>
      <c r="O85" s="214"/>
      <c r="P85" s="214"/>
      <c r="Q85" s="214"/>
      <c r="R85" s="214"/>
      <c r="S85" s="214"/>
      <c r="T85" s="214" t="s">
        <v>1104</v>
      </c>
      <c r="U85" s="214"/>
      <c r="V85" s="214"/>
      <c r="W85" s="197"/>
    </row>
    <row r="86" spans="2:23" ht="15.5">
      <c r="B86" s="493"/>
      <c r="C86" s="213">
        <v>5.0999999999999996</v>
      </c>
      <c r="D86" s="214"/>
      <c r="E86" s="214"/>
      <c r="F86" s="214"/>
      <c r="G86" s="214"/>
      <c r="H86" s="214"/>
      <c r="I86" s="214"/>
      <c r="J86" s="214"/>
      <c r="K86" s="214"/>
      <c r="L86" s="214"/>
      <c r="M86" s="214"/>
      <c r="N86" s="214" t="s">
        <v>1101</v>
      </c>
      <c r="O86" s="214"/>
      <c r="P86" s="214"/>
      <c r="Q86" s="214"/>
      <c r="R86" s="214"/>
      <c r="S86" s="214"/>
      <c r="T86" s="214" t="s">
        <v>1101</v>
      </c>
      <c r="U86" s="214"/>
      <c r="V86" s="214"/>
      <c r="W86" s="197"/>
    </row>
    <row r="87" spans="2:23" ht="15.5">
      <c r="B87" s="493"/>
      <c r="C87" s="213">
        <v>5.2</v>
      </c>
      <c r="D87" s="214"/>
      <c r="E87" s="214"/>
      <c r="F87" s="214"/>
      <c r="G87" s="214"/>
      <c r="H87" s="214"/>
      <c r="I87" s="214"/>
      <c r="J87" s="214"/>
      <c r="K87" s="214"/>
      <c r="L87" s="214"/>
      <c r="M87" s="214"/>
      <c r="N87" s="214" t="s">
        <v>1101</v>
      </c>
      <c r="O87" s="214"/>
      <c r="P87" s="214"/>
      <c r="Q87" s="214"/>
      <c r="R87" s="214"/>
      <c r="S87" s="214"/>
      <c r="T87" s="214"/>
      <c r="U87" s="214"/>
      <c r="V87" s="214"/>
      <c r="W87" s="197"/>
    </row>
    <row r="88" spans="2:23" ht="15.5">
      <c r="B88" s="493"/>
      <c r="C88" s="213">
        <v>5.3</v>
      </c>
      <c r="D88" s="214"/>
      <c r="E88" s="214"/>
      <c r="F88" s="214"/>
      <c r="G88" s="214"/>
      <c r="H88" s="214"/>
      <c r="I88" s="214"/>
      <c r="J88" s="214"/>
      <c r="K88" s="214"/>
      <c r="L88" s="214"/>
      <c r="M88" s="214"/>
      <c r="N88" s="214" t="s">
        <v>1101</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11" t="s">
        <v>917</v>
      </c>
      <c r="B3" t="s">
        <v>915</v>
      </c>
    </row>
    <row r="4" spans="1:2">
      <c r="A4" s="309" t="s">
        <v>411</v>
      </c>
      <c r="B4" s="312">
        <v>17</v>
      </c>
    </row>
    <row r="5" spans="1:2">
      <c r="A5" s="126" t="s">
        <v>912</v>
      </c>
      <c r="B5" s="312">
        <v>1</v>
      </c>
    </row>
    <row r="6" spans="1:2">
      <c r="A6" s="281" t="s">
        <v>1320</v>
      </c>
      <c r="B6" s="312">
        <v>1</v>
      </c>
    </row>
    <row r="7" spans="1:2">
      <c r="A7" s="126" t="s">
        <v>1156</v>
      </c>
      <c r="B7" s="312">
        <v>1</v>
      </c>
    </row>
    <row r="8" spans="1:2">
      <c r="A8" s="281" t="s">
        <v>1314</v>
      </c>
      <c r="B8" s="312">
        <v>1</v>
      </c>
    </row>
    <row r="9" spans="1:2">
      <c r="A9" s="126" t="s">
        <v>913</v>
      </c>
      <c r="B9" s="312">
        <v>1</v>
      </c>
    </row>
    <row r="10" spans="1:2">
      <c r="A10" s="281" t="s">
        <v>1321</v>
      </c>
      <c r="B10" s="312">
        <v>1</v>
      </c>
    </row>
    <row r="11" spans="1:2">
      <c r="A11" s="126" t="s">
        <v>1158</v>
      </c>
      <c r="B11" s="312">
        <v>2</v>
      </c>
    </row>
    <row r="12" spans="1:2">
      <c r="A12" s="281" t="s">
        <v>1322</v>
      </c>
      <c r="B12" s="312">
        <v>1</v>
      </c>
    </row>
    <row r="13" spans="1:2">
      <c r="A13" s="281" t="s">
        <v>1323</v>
      </c>
      <c r="B13" s="312">
        <v>1</v>
      </c>
    </row>
    <row r="14" spans="1:2">
      <c r="A14" s="126" t="s">
        <v>1159</v>
      </c>
      <c r="B14" s="312">
        <v>5</v>
      </c>
    </row>
    <row r="15" spans="1:2">
      <c r="A15" s="281" t="s">
        <v>1313</v>
      </c>
      <c r="B15" s="312">
        <v>5</v>
      </c>
    </row>
    <row r="16" spans="1:2">
      <c r="A16" s="126" t="s">
        <v>1157</v>
      </c>
      <c r="B16" s="312">
        <v>5</v>
      </c>
    </row>
    <row r="17" spans="1:2">
      <c r="A17" s="281" t="s">
        <v>1317</v>
      </c>
      <c r="B17" s="312">
        <v>3</v>
      </c>
    </row>
    <row r="18" spans="1:2">
      <c r="A18" s="281" t="s">
        <v>1318</v>
      </c>
      <c r="B18" s="312">
        <v>1</v>
      </c>
    </row>
    <row r="19" spans="1:2">
      <c r="A19" s="281" t="s">
        <v>1319</v>
      </c>
      <c r="B19" s="312">
        <v>1</v>
      </c>
    </row>
    <row r="20" spans="1:2">
      <c r="A20" s="126" t="s">
        <v>1257</v>
      </c>
      <c r="B20" s="312">
        <v>1</v>
      </c>
    </row>
    <row r="21" spans="1:2">
      <c r="A21" s="281" t="s">
        <v>1315</v>
      </c>
      <c r="B21" s="312">
        <v>1</v>
      </c>
    </row>
    <row r="22" spans="1:2">
      <c r="A22" s="126" t="s">
        <v>1310</v>
      </c>
      <c r="B22" s="312">
        <v>1</v>
      </c>
    </row>
    <row r="23" spans="1:2">
      <c r="A23" s="281" t="s">
        <v>1316</v>
      </c>
      <c r="B23" s="312">
        <v>1</v>
      </c>
    </row>
    <row r="24" spans="1:2">
      <c r="A24" s="309" t="s">
        <v>918</v>
      </c>
      <c r="B24" s="312"/>
    </row>
    <row r="25" spans="1:2">
      <c r="A25" s="126" t="s">
        <v>918</v>
      </c>
      <c r="B25" s="312"/>
    </row>
    <row r="26" spans="1:2">
      <c r="A26" s="281" t="s">
        <v>918</v>
      </c>
      <c r="B26" s="312"/>
    </row>
    <row r="27" spans="1:2">
      <c r="A27" s="309" t="s">
        <v>919</v>
      </c>
      <c r="B27"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1012</v>
      </c>
      <c r="B1" s="117"/>
      <c r="C1" s="117"/>
      <c r="D1" s="117"/>
      <c r="E1" s="117"/>
      <c r="F1" s="117"/>
    </row>
    <row r="3" spans="1:6">
      <c r="A3" s="311" t="s">
        <v>917</v>
      </c>
    </row>
    <row r="4" spans="1:6">
      <c r="A4" s="309" t="s">
        <v>1319</v>
      </c>
    </row>
    <row r="5" spans="1:6">
      <c r="A5" s="126" t="s">
        <v>891</v>
      </c>
    </row>
    <row r="6" spans="1:6">
      <c r="A6" s="309" t="s">
        <v>1322</v>
      </c>
    </row>
    <row r="7" spans="1:6">
      <c r="A7" s="126" t="s">
        <v>883</v>
      </c>
    </row>
    <row r="8" spans="1:6">
      <c r="A8" s="309" t="s">
        <v>1320</v>
      </c>
    </row>
    <row r="9" spans="1:6">
      <c r="A9" s="126" t="s">
        <v>886</v>
      </c>
    </row>
    <row r="10" spans="1:6">
      <c r="A10" s="309" t="s">
        <v>1313</v>
      </c>
    </row>
    <row r="11" spans="1:6">
      <c r="A11" s="126" t="s">
        <v>895</v>
      </c>
    </row>
    <row r="12" spans="1:6">
      <c r="A12" s="126" t="s">
        <v>896</v>
      </c>
    </row>
    <row r="13" spans="1:6">
      <c r="A13" s="126" t="s">
        <v>888</v>
      </c>
    </row>
    <row r="14" spans="1:6">
      <c r="A14" s="126" t="s">
        <v>889</v>
      </c>
    </row>
    <row r="15" spans="1:6">
      <c r="A15" s="126" t="s">
        <v>890</v>
      </c>
    </row>
    <row r="16" spans="1:6">
      <c r="A16" s="309" t="s">
        <v>1317</v>
      </c>
    </row>
    <row r="17" spans="1:1">
      <c r="A17" s="126" t="s">
        <v>892</v>
      </c>
    </row>
    <row r="18" spans="1:1">
      <c r="A18" s="126" t="s">
        <v>893</v>
      </c>
    </row>
    <row r="19" spans="1:1">
      <c r="A19" s="126" t="s">
        <v>894</v>
      </c>
    </row>
    <row r="20" spans="1:1">
      <c r="A20" s="309" t="s">
        <v>1321</v>
      </c>
    </row>
    <row r="21" spans="1:1">
      <c r="A21" s="126" t="s">
        <v>884</v>
      </c>
    </row>
    <row r="22" spans="1:1">
      <c r="A22" s="309" t="s">
        <v>1318</v>
      </c>
    </row>
    <row r="23" spans="1:1">
      <c r="A23" s="126" t="s">
        <v>885</v>
      </c>
    </row>
    <row r="24" spans="1:1">
      <c r="A24" s="309" t="s">
        <v>1323</v>
      </c>
    </row>
    <row r="25" spans="1:1">
      <c r="A25" s="126" t="s">
        <v>887</v>
      </c>
    </row>
    <row r="26" spans="1:1">
      <c r="A26" s="309" t="s">
        <v>1314</v>
      </c>
    </row>
    <row r="27" spans="1:1">
      <c r="A27" s="126" t="s">
        <v>751</v>
      </c>
    </row>
    <row r="28" spans="1:1">
      <c r="A28" s="309" t="s">
        <v>1316</v>
      </c>
    </row>
    <row r="29" spans="1:1">
      <c r="A29" s="126" t="s">
        <v>753</v>
      </c>
    </row>
    <row r="30" spans="1:1">
      <c r="A30" s="309" t="s">
        <v>1315</v>
      </c>
    </row>
    <row r="31" spans="1:1">
      <c r="A31" s="126" t="s">
        <v>836</v>
      </c>
    </row>
    <row r="32" spans="1:1">
      <c r="A32" s="309" t="s">
        <v>918</v>
      </c>
    </row>
    <row r="33" spans="1:1">
      <c r="A33" s="126" t="s">
        <v>918</v>
      </c>
    </row>
    <row r="34" spans="1:1">
      <c r="A34" s="309" t="s">
        <v>919</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1011</v>
      </c>
      <c r="B1" s="117"/>
      <c r="C1" s="117"/>
      <c r="D1" s="117"/>
      <c r="E1" s="117"/>
      <c r="F1" s="117"/>
    </row>
    <row r="3" spans="1:6">
      <c r="A3" s="311" t="s">
        <v>917</v>
      </c>
    </row>
    <row r="4" spans="1:6">
      <c r="A4" s="309" t="s">
        <v>968</v>
      </c>
    </row>
    <row r="5" spans="1:6">
      <c r="A5" s="126" t="s">
        <v>1314</v>
      </c>
    </row>
    <row r="6" spans="1:6">
      <c r="A6" s="309" t="s">
        <v>969</v>
      </c>
    </row>
    <row r="7" spans="1:6">
      <c r="A7" s="126" t="s">
        <v>1313</v>
      </c>
    </row>
    <row r="8" spans="1:6">
      <c r="A8" s="309" t="s">
        <v>970</v>
      </c>
    </row>
    <row r="9" spans="1:6">
      <c r="A9" s="126" t="s">
        <v>1315</v>
      </c>
    </row>
    <row r="10" spans="1:6">
      <c r="A10" s="309" t="s">
        <v>918</v>
      </c>
    </row>
    <row r="11" spans="1:6">
      <c r="A11" s="126" t="s">
        <v>918</v>
      </c>
    </row>
    <row r="12" spans="1:6">
      <c r="A12" s="309" t="s">
        <v>1306</v>
      </c>
    </row>
    <row r="13" spans="1:6">
      <c r="A13" s="126" t="s">
        <v>1317</v>
      </c>
    </row>
    <row r="14" spans="1:6">
      <c r="A14" s="309" t="s">
        <v>1307</v>
      </c>
    </row>
    <row r="15" spans="1:6">
      <c r="A15" s="126" t="s">
        <v>1322</v>
      </c>
    </row>
    <row r="16" spans="1:6">
      <c r="A16" s="126" t="s">
        <v>1321</v>
      </c>
    </row>
    <row r="17" spans="1:1">
      <c r="A17" s="309" t="s">
        <v>1308</v>
      </c>
    </row>
    <row r="18" spans="1:1">
      <c r="A18" s="126" t="s">
        <v>1318</v>
      </c>
    </row>
    <row r="19" spans="1:1">
      <c r="A19" s="126" t="s">
        <v>1320</v>
      </c>
    </row>
    <row r="20" spans="1:1">
      <c r="A20" s="126" t="s">
        <v>1323</v>
      </c>
    </row>
    <row r="21" spans="1:1">
      <c r="A21" s="309" t="s">
        <v>1309</v>
      </c>
    </row>
    <row r="22" spans="1:1">
      <c r="A22" s="126" t="s">
        <v>1319</v>
      </c>
    </row>
    <row r="23" spans="1:1">
      <c r="A23" s="309" t="s">
        <v>1311</v>
      </c>
    </row>
    <row r="24" spans="1:1">
      <c r="A24" s="126" t="s">
        <v>1316</v>
      </c>
    </row>
    <row r="25" spans="1:1">
      <c r="A25" s="309" t="s">
        <v>919</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11" t="s">
        <v>917</v>
      </c>
    </row>
    <row r="4" spans="1:1">
      <c r="A4" s="309" t="s">
        <v>918</v>
      </c>
    </row>
    <row r="5" spans="1:1">
      <c r="A5" s="126" t="s">
        <v>918</v>
      </c>
    </row>
    <row r="6" spans="1:1">
      <c r="A6" s="309" t="s">
        <v>992</v>
      </c>
    </row>
    <row r="7" spans="1:1">
      <c r="A7" s="126" t="s">
        <v>1317</v>
      </c>
    </row>
    <row r="8" spans="1:1">
      <c r="A8" s="126" t="s">
        <v>1318</v>
      </c>
    </row>
    <row r="9" spans="1:1">
      <c r="A9" s="126" t="s">
        <v>1319</v>
      </c>
    </row>
    <row r="10" spans="1:1">
      <c r="A10" s="309" t="s">
        <v>993</v>
      </c>
    </row>
    <row r="11" spans="1:1">
      <c r="A11" s="126" t="s">
        <v>1322</v>
      </c>
    </row>
    <row r="12" spans="1:1">
      <c r="A12" s="126" t="s">
        <v>1321</v>
      </c>
    </row>
    <row r="13" spans="1:1">
      <c r="A13" s="126" t="s">
        <v>1320</v>
      </c>
    </row>
    <row r="14" spans="1:1">
      <c r="A14" s="126" t="s">
        <v>1323</v>
      </c>
    </row>
    <row r="15" spans="1:1">
      <c r="A15" s="309" t="s">
        <v>994</v>
      </c>
    </row>
    <row r="16" spans="1:1">
      <c r="A16" s="126" t="s">
        <v>1314</v>
      </c>
    </row>
    <row r="17" spans="1:1">
      <c r="A17" s="309" t="s">
        <v>995</v>
      </c>
    </row>
    <row r="18" spans="1:1">
      <c r="A18" s="126" t="s">
        <v>1313</v>
      </c>
    </row>
    <row r="19" spans="1:1">
      <c r="A19" s="309" t="s">
        <v>996</v>
      </c>
    </row>
    <row r="20" spans="1:1">
      <c r="A20" s="126" t="s">
        <v>1316</v>
      </c>
    </row>
    <row r="21" spans="1:1">
      <c r="A21" s="309" t="s">
        <v>1002</v>
      </c>
    </row>
    <row r="22" spans="1:1">
      <c r="A22" s="126" t="s">
        <v>1315</v>
      </c>
    </row>
    <row r="23" spans="1:1">
      <c r="A23" s="309" t="s">
        <v>919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tabSelected="1" workbookViewId="0">
      <selection activeCell="B4" sqref="B4:I4"/>
    </sheetView>
  </sheetViews>
  <sheetFormatPr defaultColWidth="9" defaultRowHeight="26"/>
  <cols>
    <col min="1" max="5" width="9" style="235"/>
    <col min="6" max="6" width="8.1796875" style="235" customWidth="1"/>
    <col min="7" max="9" width="18.1796875" style="235" customWidth="1"/>
    <col min="10" max="16384" width="9" style="235"/>
  </cols>
  <sheetData>
    <row r="1" spans="1:11" ht="23.25" customHeight="1">
      <c r="B1" s="423"/>
      <c r="C1" s="423"/>
      <c r="D1" s="423"/>
      <c r="E1" s="423"/>
      <c r="F1" s="423"/>
      <c r="G1" s="423"/>
      <c r="H1" s="423"/>
      <c r="I1" s="423"/>
      <c r="J1" s="423"/>
      <c r="K1" s="423"/>
    </row>
    <row r="2" spans="1:11" ht="23.5" customHeight="1">
      <c r="A2" s="423"/>
      <c r="B2" s="509" t="str">
        <f>StartupInfo!B3</f>
        <v>Software for Mars (Pty) Ltd</v>
      </c>
      <c r="C2" s="509"/>
      <c r="D2" s="509"/>
      <c r="E2" s="509"/>
      <c r="F2" s="509"/>
      <c r="G2" s="509"/>
      <c r="H2" s="509"/>
      <c r="I2" s="509"/>
      <c r="J2" s="423"/>
      <c r="K2" s="423"/>
    </row>
    <row r="3" spans="1:11" ht="19.5" customHeight="1">
      <c r="B3" s="509" t="str">
        <f>StartupInfo!B4</f>
        <v>Mars</v>
      </c>
      <c r="C3" s="509"/>
      <c r="D3" s="509"/>
      <c r="E3" s="509"/>
      <c r="F3" s="509"/>
      <c r="G3" s="509"/>
      <c r="H3" s="509"/>
      <c r="I3" s="509"/>
      <c r="J3" s="424"/>
      <c r="K3" s="236"/>
    </row>
    <row r="4" spans="1:11" ht="24" customHeight="1">
      <c r="A4" s="237"/>
      <c r="B4" s="510" t="str">
        <f>IF(StartupInfo!B20="","",StartupInfo!B20)</f>
        <v>R&amp;D Department</v>
      </c>
      <c r="C4" s="510"/>
      <c r="D4" s="510"/>
      <c r="E4" s="510"/>
      <c r="F4" s="510"/>
      <c r="G4" s="510"/>
      <c r="H4" s="510"/>
      <c r="I4" s="510"/>
    </row>
    <row r="5" spans="1:11">
      <c r="A5" s="237"/>
      <c r="B5" s="511" t="str">
        <f>IF(StartupInfo!B21="","",StartupInfo!B21)</f>
        <v/>
      </c>
      <c r="C5" s="511"/>
      <c r="D5" s="511"/>
      <c r="E5" s="511"/>
      <c r="F5" s="511"/>
      <c r="G5" s="511"/>
      <c r="H5" s="511"/>
      <c r="I5" s="511"/>
      <c r="J5" s="237"/>
      <c r="K5" s="237"/>
    </row>
    <row r="6" spans="1:11">
      <c r="A6" s="236"/>
      <c r="B6" s="424"/>
      <c r="C6" s="424"/>
      <c r="D6" s="424"/>
      <c r="E6" s="424"/>
      <c r="F6" s="424"/>
      <c r="G6" s="424"/>
      <c r="H6" s="424"/>
      <c r="I6" s="424"/>
      <c r="J6" s="424"/>
      <c r="K6" s="236"/>
    </row>
    <row r="7" spans="1:11" s="427" customFormat="1">
      <c r="A7" s="425"/>
      <c r="B7" s="512" t="str">
        <f>CONCATENATE("was rated on ",TEXT(Planning!B33,"dd mmmm yyyy")," at ",Planning!B10)</f>
        <v>was rated on 16 April 2021 at Maturity Level 5</v>
      </c>
      <c r="C7" s="512"/>
      <c r="D7" s="512"/>
      <c r="E7" s="512"/>
      <c r="F7" s="512"/>
      <c r="G7" s="512"/>
      <c r="H7" s="512"/>
      <c r="I7" s="512"/>
      <c r="J7" s="426"/>
      <c r="K7" s="425"/>
    </row>
    <row r="8" spans="1:11">
      <c r="A8" s="237"/>
      <c r="B8" s="237"/>
      <c r="C8" s="237"/>
      <c r="E8" s="513"/>
      <c r="F8" s="513"/>
      <c r="G8" s="513"/>
      <c r="H8" s="237"/>
      <c r="I8" s="237"/>
      <c r="J8" s="237"/>
      <c r="K8" s="237"/>
    </row>
    <row r="9" spans="1:11">
      <c r="A9" s="237"/>
      <c r="B9" s="237"/>
      <c r="C9" s="237"/>
      <c r="D9" s="237"/>
      <c r="E9" s="513"/>
      <c r="F9" s="513"/>
      <c r="G9" s="513"/>
      <c r="H9" s="237"/>
      <c r="I9" s="237"/>
      <c r="J9" s="237"/>
      <c r="K9" s="237"/>
    </row>
    <row r="10" spans="1:11">
      <c r="A10" s="237"/>
      <c r="B10" s="237"/>
      <c r="C10" s="237"/>
      <c r="D10" s="237"/>
      <c r="E10" s="237"/>
      <c r="F10" s="237"/>
      <c r="G10" s="237"/>
      <c r="H10" s="237"/>
      <c r="I10" s="237"/>
      <c r="J10" s="237"/>
      <c r="K10" s="237"/>
    </row>
    <row r="11" spans="1:11" ht="19" customHeight="1">
      <c r="A11" s="237"/>
      <c r="B11" s="237"/>
      <c r="C11" s="237"/>
      <c r="D11" s="237"/>
      <c r="E11" s="237"/>
      <c r="F11" s="514" t="str">
        <f>_xlfn.CONCAT("CAS ID",'Agreement 3'!B5)</f>
        <v>CAS ID53517</v>
      </c>
      <c r="G11" s="514"/>
      <c r="H11" s="514"/>
      <c r="I11" s="237"/>
      <c r="J11" s="237"/>
      <c r="K11" s="237"/>
    </row>
    <row r="12" spans="1:11" ht="19" customHeight="1">
      <c r="A12" s="237"/>
      <c r="B12" s="237"/>
      <c r="C12" s="237"/>
      <c r="D12" s="237"/>
      <c r="E12" s="237"/>
      <c r="F12" s="237"/>
      <c r="G12" s="237"/>
      <c r="H12" s="237"/>
      <c r="I12" s="237"/>
      <c r="J12" s="237"/>
      <c r="K12" s="237"/>
    </row>
    <row r="13" spans="1:11" ht="19" customHeight="1">
      <c r="A13" s="237"/>
      <c r="B13" s="237"/>
      <c r="C13" s="237"/>
      <c r="D13" s="237"/>
      <c r="E13" s="237"/>
      <c r="F13" s="237"/>
      <c r="G13" s="508" t="str">
        <f>'Agreement 3'!B7</f>
        <v>van Zyl, Pieter</v>
      </c>
      <c r="H13" s="508"/>
      <c r="I13" s="508"/>
      <c r="J13" s="237"/>
      <c r="K13" s="237"/>
    </row>
    <row r="14" spans="1:11">
      <c r="A14" s="237"/>
      <c r="B14" s="237"/>
      <c r="C14" s="237"/>
      <c r="D14" s="237"/>
      <c r="E14" s="237"/>
      <c r="F14" s="237"/>
      <c r="G14" s="508" t="str">
        <f>'Agreement 3'!B9</f>
        <v>CMMI V2.0 High Maturity Lead Appraiser</v>
      </c>
      <c r="H14" s="508"/>
      <c r="I14" s="508"/>
      <c r="J14" s="237"/>
      <c r="K14" s="237"/>
    </row>
    <row r="15" spans="1:11">
      <c r="A15" s="237"/>
      <c r="B15" s="237"/>
      <c r="C15" s="237"/>
      <c r="D15" s="237"/>
      <c r="E15" s="237"/>
      <c r="F15" s="237"/>
      <c r="G15" s="508" t="str">
        <f>'Agreement 3'!B11</f>
        <v>0500535-01</v>
      </c>
      <c r="H15" s="508"/>
      <c r="I15" s="508"/>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2" workbookViewId="0">
      <selection activeCell="C32" sqref="C32"/>
    </sheetView>
  </sheetViews>
  <sheetFormatPr defaultColWidth="8.81640625" defaultRowHeight="14.5"/>
  <cols>
    <col min="1" max="1" width="40.7265625" style="129" customWidth="1"/>
    <col min="2" max="2" width="75.7265625" style="130" customWidth="1"/>
    <col min="3" max="3" width="40.7265625" style="160"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4"/>
      <c r="B1" s="154"/>
      <c r="C1" s="154"/>
      <c r="D1" s="129"/>
    </row>
    <row r="2" spans="1:5" s="8" customFormat="1">
      <c r="A2" s="155" t="s">
        <v>1039</v>
      </c>
      <c r="B2" s="156"/>
      <c r="C2" s="156"/>
      <c r="D2" s="157"/>
      <c r="E2" s="158"/>
    </row>
    <row r="3" spans="1:5" s="8" customFormat="1">
      <c r="A3" s="159"/>
      <c r="B3" s="160"/>
      <c r="C3" s="160"/>
      <c r="E3" s="161"/>
    </row>
    <row r="4" spans="1:5" s="8" customFormat="1" ht="21">
      <c r="A4" s="159"/>
      <c r="B4" s="162" t="s">
        <v>1117</v>
      </c>
      <c r="C4" s="160"/>
      <c r="E4" s="161"/>
    </row>
    <row r="5" spans="1:5" s="8" customFormat="1" ht="21">
      <c r="A5" s="159"/>
      <c r="B5" s="162" t="str">
        <f>'P1PA-SS'!B76</f>
        <v>CMMI Development V2.0 (CMMI-DEV) without SAM</v>
      </c>
      <c r="C5" s="160"/>
      <c r="E5" s="161"/>
    </row>
    <row r="6" spans="1:5" s="8" customFormat="1" ht="21">
      <c r="A6" s="159" t="s">
        <v>1040</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902</v>
      </c>
      <c r="E10" s="161"/>
    </row>
    <row r="11" spans="1:5" s="8" customFormat="1">
      <c r="A11" s="159"/>
      <c r="B11" s="163" t="str">
        <f>CONCATENATE("Organisational Unit: ",StartupInfo!B20)</f>
        <v>Organisational Unit: R&amp;D Department</v>
      </c>
      <c r="C11" s="160"/>
      <c r="E11" s="161"/>
    </row>
    <row r="12" spans="1:5" s="8" customFormat="1" ht="15.5">
      <c r="A12" s="159"/>
      <c r="B12" s="166" t="str">
        <f>CONCATENATE("Sponsor: ",'Agreement 3'!B28)</f>
        <v>Sponsor: Prof Kessler, Donald</v>
      </c>
      <c r="C12" s="160"/>
      <c r="E12" s="161"/>
    </row>
    <row r="13" spans="1:5" s="8" customFormat="1" ht="15.5">
      <c r="A13" s="159"/>
      <c r="B13" s="167"/>
      <c r="C13" s="160"/>
      <c r="E13" s="161"/>
    </row>
    <row r="14" spans="1:5" s="8" customFormat="1" ht="15.5">
      <c r="A14" s="159"/>
      <c r="B14" s="167"/>
      <c r="C14" s="160"/>
      <c r="E14" s="161"/>
    </row>
    <row r="15" spans="1:5" s="8" customFormat="1" ht="21">
      <c r="A15" s="159"/>
      <c r="B15" s="169" t="str">
        <f>'Agreement 3'!B45</f>
        <v>Demix (Pty) Ltd</v>
      </c>
      <c r="C15" s="160"/>
      <c r="E15" s="161"/>
    </row>
    <row r="16" spans="1:5" s="8" customFormat="1" ht="15.5">
      <c r="A16" s="159"/>
      <c r="B16" s="166" t="str">
        <f>CONCATENATE("Lead Appraiser: ",'Agreement 3'!B7," ",'Agreement 3'!B11)</f>
        <v>Lead Appraiser: van Zyl, Pieter 0500535-01</v>
      </c>
      <c r="C16" s="160"/>
      <c r="E16" s="161"/>
    </row>
    <row r="17" spans="1:9" s="8" customFormat="1" ht="15.5">
      <c r="A17" s="159"/>
      <c r="B17" s="185" t="str">
        <f>'Agreement 3'!B9</f>
        <v>CMMI V2.0 High Maturity Lead Appraiser</v>
      </c>
      <c r="C17" s="160"/>
      <c r="E17" s="161"/>
    </row>
    <row r="18" spans="1:9" s="8" customFormat="1" ht="18.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1041</v>
      </c>
    </row>
    <row r="21" spans="1:9" s="8" customFormat="1" ht="21">
      <c r="A21" s="159" t="s">
        <v>756</v>
      </c>
      <c r="B21" s="169">
        <f>Planning!B33</f>
        <v>44302</v>
      </c>
      <c r="C21" s="160"/>
      <c r="E21" s="161"/>
      <c r="G21" s="170"/>
    </row>
    <row r="22" spans="1:9" s="8" customFormat="1" ht="55.5">
      <c r="B22" s="169"/>
      <c r="C22" s="160"/>
      <c r="E22" s="161"/>
      <c r="G22" s="240" t="str">
        <f>_xlfn.CONCAT("Expiry benchmark", CHAR(13),CHAR(10),"appraisal",CHAR(13),CHAR(10),G23)</f>
        <v>Expiry benchmark_x000D_
appraisal_x000D_
16 Apr 2024</v>
      </c>
      <c r="H22" s="220"/>
      <c r="I22" s="219"/>
    </row>
    <row r="23" spans="1:9" s="8" customFormat="1" ht="23.5">
      <c r="A23" s="159" t="s">
        <v>876</v>
      </c>
      <c r="B23" s="277">
        <f>Planning!B26</f>
        <v>44294</v>
      </c>
      <c r="C23" s="160"/>
      <c r="E23" s="161"/>
      <c r="G23" s="241" t="str">
        <f>TEXT(DATE(YEAR(B21)+3,MONTH(B21),DAY(B21)),"dd mmm yyyy")</f>
        <v>16 Apr 2024</v>
      </c>
      <c r="H23" s="221"/>
      <c r="I23" s="219"/>
    </row>
    <row r="24" spans="1:9" s="8" customFormat="1" ht="23.5">
      <c r="A24" s="159"/>
      <c r="B24" s="277"/>
      <c r="C24" s="160"/>
      <c r="E24" s="161"/>
      <c r="G24" s="241"/>
      <c r="H24" s="221"/>
      <c r="I24" s="219"/>
    </row>
    <row r="25" spans="1:9" s="8" customFormat="1" ht="15.5">
      <c r="A25" s="171" t="s">
        <v>1042</v>
      </c>
      <c r="B25" s="280" t="s">
        <v>1043</v>
      </c>
      <c r="C25" s="278" t="s">
        <v>1044</v>
      </c>
      <c r="D25" s="172" t="s">
        <v>848</v>
      </c>
      <c r="E25" s="161"/>
      <c r="G25" s="173"/>
    </row>
    <row r="26" spans="1:9" s="8" customFormat="1" ht="15.5">
      <c r="A26" s="159"/>
      <c r="B26" s="279" t="s">
        <v>1045</v>
      </c>
      <c r="C26" s="174" t="s">
        <v>1046</v>
      </c>
      <c r="D26" s="175">
        <f>'P1PA-SS'!B70</f>
        <v>44315</v>
      </c>
      <c r="E26" s="161"/>
      <c r="G26" s="176" t="str">
        <f>G23</f>
        <v>16 Apr 2024</v>
      </c>
      <c r="H26" s="170" t="s">
        <v>1047</v>
      </c>
    </row>
    <row r="27" spans="1:9" s="8" customFormat="1" ht="15.5">
      <c r="A27" s="159"/>
      <c r="B27" s="174" t="s">
        <v>1048</v>
      </c>
      <c r="C27" s="174" t="s">
        <v>1049</v>
      </c>
      <c r="D27" s="175">
        <f>D26+14</f>
        <v>44329</v>
      </c>
      <c r="E27" s="161"/>
      <c r="G27" s="176"/>
    </row>
    <row r="28" spans="1:9" s="8" customFormat="1" ht="15.5">
      <c r="A28" s="159"/>
      <c r="B28" s="174" t="str">
        <f>CONCATENATE("Review with ",C32," on progress against the plan.")</f>
        <v>Review with  on progress against the plan.</v>
      </c>
      <c r="C28" s="174" t="str">
        <f>CONCATENATE("Sponsor and ",C32)</f>
        <v xml:space="preserve">Sponsor and </v>
      </c>
      <c r="D28" s="175">
        <f>D27+14</f>
        <v>44343</v>
      </c>
      <c r="E28" s="161"/>
    </row>
    <row r="29" spans="1:9" s="8" customFormat="1" ht="15.5">
      <c r="A29" s="159"/>
      <c r="B29" s="177"/>
      <c r="C29" s="177"/>
      <c r="D29" s="177"/>
      <c r="E29" s="161"/>
    </row>
    <row r="30" spans="1:9" s="8" customFormat="1" ht="31.5" customHeight="1">
      <c r="A30" s="159"/>
      <c r="B30" s="515" t="s">
        <v>1050</v>
      </c>
      <c r="C30" s="515"/>
      <c r="D30" s="515"/>
      <c r="E30" s="161"/>
    </row>
    <row r="31" spans="1:9" s="8" customFormat="1" ht="18.5">
      <c r="A31" s="159"/>
      <c r="B31" s="168"/>
      <c r="C31" s="160"/>
      <c r="E31" s="161"/>
    </row>
    <row r="32" spans="1:9" s="8" customFormat="1" ht="15.5">
      <c r="A32" s="159"/>
      <c r="B32" s="178" t="str">
        <f>B12</f>
        <v>Sponsor: Prof Kessler, Donald</v>
      </c>
      <c r="C32" s="179"/>
      <c r="E32" s="161"/>
    </row>
    <row r="33" spans="1:5" s="8" customFormat="1" ht="18.5">
      <c r="A33" s="159"/>
      <c r="B33" s="168"/>
      <c r="C33" s="160"/>
      <c r="E33" s="161"/>
    </row>
    <row r="34" spans="1:5" s="8" customFormat="1" ht="18.5">
      <c r="A34" s="159"/>
      <c r="B34" s="168"/>
      <c r="C34" s="160"/>
      <c r="E34" s="161"/>
    </row>
    <row r="35" spans="1:5" s="8" customFormat="1" ht="18.5">
      <c r="A35" s="159"/>
      <c r="B35" s="168"/>
      <c r="C35" s="160"/>
      <c r="E35" s="161"/>
    </row>
    <row r="36" spans="1:5" s="8" customFormat="1" ht="18.5">
      <c r="A36" s="159"/>
      <c r="B36" s="168"/>
      <c r="C36" s="160"/>
      <c r="E36" s="161"/>
    </row>
    <row r="37" spans="1:5" s="8" customFormat="1" ht="19" thickBot="1">
      <c r="A37" s="180"/>
      <c r="B37" s="181"/>
      <c r="C37" s="182"/>
      <c r="D37" s="183"/>
      <c r="E37" s="184"/>
    </row>
    <row r="38" spans="1:5" s="8" customFormat="1" ht="18.5">
      <c r="B38" s="168"/>
      <c r="C38" s="160"/>
    </row>
    <row r="39" spans="1:5" s="8" customFormat="1" ht="18.5">
      <c r="B39" s="168"/>
      <c r="C39" s="160"/>
    </row>
    <row r="40" spans="1:5" s="8" customFormat="1" ht="18.5">
      <c r="B40" s="168"/>
      <c r="C40" s="160"/>
    </row>
    <row r="41" spans="1:5" s="8" customFormat="1" ht="18.5">
      <c r="B41" s="168"/>
      <c r="C41" s="160"/>
    </row>
    <row r="42" spans="1:5" s="8" customFormat="1" ht="18.5">
      <c r="B42" s="168"/>
      <c r="C42" s="160"/>
    </row>
    <row r="43" spans="1:5" s="8" customFormat="1" ht="18.5">
      <c r="B43" s="168"/>
      <c r="C43" s="160"/>
    </row>
    <row r="44" spans="1:5" s="8" customFormat="1" ht="18.5">
      <c r="B44" s="168"/>
      <c r="C44" s="160"/>
    </row>
    <row r="45" spans="1:5" s="8" customFormat="1" ht="18.5">
      <c r="B45" s="168"/>
      <c r="C45" s="160"/>
    </row>
    <row r="46" spans="1:5" s="8" customFormat="1" ht="18.5">
      <c r="B46" s="168"/>
      <c r="C46" s="160"/>
    </row>
    <row r="47" spans="1:5" s="8" customFormat="1" ht="18.5">
      <c r="B47" s="168"/>
      <c r="C47" s="160"/>
    </row>
    <row r="48" spans="1:5" s="8" customFormat="1" ht="18.5">
      <c r="B48" s="168"/>
      <c r="C48" s="160"/>
    </row>
    <row r="49" spans="2:3" s="8" customFormat="1" ht="18.5">
      <c r="B49" s="168"/>
      <c r="C49" s="160"/>
    </row>
    <row r="50" spans="2:3" s="8" customFormat="1" ht="18.5">
      <c r="B50" s="168"/>
      <c r="C50" s="160"/>
    </row>
    <row r="51" spans="2:3" s="8" customFormat="1" ht="18.5">
      <c r="B51" s="168"/>
      <c r="C51" s="160"/>
    </row>
    <row r="52" spans="2:3" s="8" customFormat="1" ht="18.5">
      <c r="B52" s="168"/>
      <c r="C52" s="160"/>
    </row>
    <row r="53" spans="2:3" s="8" customFormat="1" ht="18.5">
      <c r="B53" s="168"/>
      <c r="C53" s="160"/>
    </row>
    <row r="54" spans="2:3" s="8" customFormat="1" ht="18.5">
      <c r="B54" s="168"/>
      <c r="C54" s="160"/>
    </row>
    <row r="55" spans="2:3" s="8" customFormat="1" ht="18.5">
      <c r="B55" s="168"/>
      <c r="C55" s="160"/>
    </row>
    <row r="56" spans="2:3" s="8" customFormat="1" ht="18.5">
      <c r="B56" s="168"/>
      <c r="C56" s="160"/>
    </row>
    <row r="57" spans="2:3" s="8" customFormat="1" ht="18.5">
      <c r="B57" s="168"/>
      <c r="C57" s="160"/>
    </row>
    <row r="58" spans="2:3" s="8" customFormat="1" ht="18.5">
      <c r="B58" s="168"/>
      <c r="C58" s="160"/>
    </row>
    <row r="59" spans="2:3" s="8" customFormat="1" ht="18.5">
      <c r="B59" s="168"/>
      <c r="C59" s="160"/>
    </row>
    <row r="60" spans="2:3" s="8" customFormat="1" ht="18.5">
      <c r="B60" s="168"/>
      <c r="C60" s="160"/>
    </row>
    <row r="61" spans="2:3" s="8" customFormat="1" ht="18.5">
      <c r="B61" s="168"/>
      <c r="C61" s="160"/>
    </row>
    <row r="62" spans="2:3" s="8" customFormat="1" ht="18.5">
      <c r="B62" s="168"/>
      <c r="C62" s="160"/>
    </row>
    <row r="63" spans="2:3" s="8" customFormat="1" ht="18.5">
      <c r="B63" s="168"/>
      <c r="C63" s="160"/>
    </row>
    <row r="64" spans="2:3" s="8" customFormat="1" ht="18.5">
      <c r="B64" s="168"/>
      <c r="C64" s="160"/>
    </row>
    <row r="65" spans="2:3" s="8" customFormat="1" ht="18.5">
      <c r="B65" s="168"/>
      <c r="C65" s="160"/>
    </row>
    <row r="66" spans="2:3" s="8" customFormat="1" ht="18.5">
      <c r="B66" s="168"/>
      <c r="C66" s="160"/>
    </row>
    <row r="67" spans="2:3" s="8" customFormat="1" ht="18.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390" customWidth="1"/>
    <col min="2" max="2" width="83.453125" style="390" customWidth="1"/>
    <col min="3" max="3" width="6.81640625" style="390" customWidth="1"/>
    <col min="4" max="4" width="48.453125" style="390" customWidth="1"/>
    <col min="5" max="20" width="6.81640625" style="390" customWidth="1"/>
    <col min="21" max="21" width="5.81640625" style="390" customWidth="1"/>
    <col min="22" max="16384" width="8.7265625" style="390"/>
  </cols>
  <sheetData>
    <row r="1" spans="1:10">
      <c r="A1" s="386" t="s">
        <v>389</v>
      </c>
      <c r="B1" s="387" t="str">
        <f>IF(StartupInfo!B3="","",StartupInfo!B3)</f>
        <v>Software for Mars (Pty) Ltd</v>
      </c>
      <c r="D1" s="393"/>
      <c r="J1" s="394"/>
    </row>
    <row r="2" spans="1:10">
      <c r="A2" s="395" t="str">
        <f>StartupInfo!A10</f>
        <v>Country</v>
      </c>
      <c r="B2" s="388" t="str">
        <f>IF(StartupInfo!B4="","",StartupInfo!B4)</f>
        <v>Mars</v>
      </c>
      <c r="D2" s="393"/>
      <c r="J2" s="394"/>
    </row>
    <row r="3" spans="1:10" ht="29.5" customHeight="1">
      <c r="A3" s="395" t="str">
        <f>StartupInfo!A11</f>
        <v>Organization main address including City, ZIP/Postal Code, and Country</v>
      </c>
      <c r="B3" s="389" t="str">
        <f>StartupInfo!B11</f>
        <v>Room 1, Dome 1, No. 1 First Street, Base Alpha City, Tharsis, Planet04, China</v>
      </c>
    </row>
    <row r="5" spans="1:10">
      <c r="A5" s="386" t="s">
        <v>978</v>
      </c>
      <c r="B5" s="387" t="str">
        <f>StartupInfo!B20</f>
        <v>R&amp;D Department</v>
      </c>
    </row>
    <row r="6" spans="1:10">
      <c r="A6" s="395" t="s">
        <v>979</v>
      </c>
      <c r="B6" s="388" t="str">
        <f>StartupInfo!B22</f>
        <v>The company provides space exploration services…</v>
      </c>
      <c r="D6" s="403" t="str">
        <f>StartupInfo!B26</f>
        <v xml:space="preserve">If address is different from the organisation, manually enter the address in StartupInfo/below, and unhide the new address in pptxLink1, so it displays in the pptx	  </v>
      </c>
    </row>
    <row r="7" spans="1:10" hidden="1">
      <c r="A7" s="395" t="s">
        <v>429</v>
      </c>
      <c r="B7" s="389" t="str">
        <f>IF(StartupInfo!B33="","",StartupInfo!B33)</f>
        <v>Room 1, Dome 1, No. 1 First Street, Base Alpha City, Tharsis, Planet04, China</v>
      </c>
    </row>
    <row r="9" spans="1:10">
      <c r="A9" s="386" t="s">
        <v>981</v>
      </c>
      <c r="B9" s="387" t="str">
        <f>'Agreement 3'!B28</f>
        <v>Prof Kessler, Donald</v>
      </c>
    </row>
    <row r="10" spans="1:10">
      <c r="A10" s="395" t="s">
        <v>866</v>
      </c>
      <c r="B10" s="388" t="str">
        <f>'Agreement 3'!B29</f>
        <v>The Boss</v>
      </c>
    </row>
    <row r="11" spans="1:10">
      <c r="A11" s="395" t="s">
        <v>976</v>
      </c>
      <c r="B11" s="389" t="str">
        <f>StartupInfo!B39</f>
        <v>Internal</v>
      </c>
    </row>
    <row r="13" spans="1:10">
      <c r="A13" s="386" t="s">
        <v>977</v>
      </c>
      <c r="B13" s="387" t="str">
        <f>'Agreement 3'!B7</f>
        <v>van Zyl, Pieter</v>
      </c>
    </row>
    <row r="14" spans="1:10">
      <c r="A14" s="395" t="s">
        <v>982</v>
      </c>
      <c r="B14" s="388" t="str">
        <f>'Agreement 3'!B11</f>
        <v>0500535-01</v>
      </c>
    </row>
    <row r="15" spans="1:10">
      <c r="A15" s="395" t="s">
        <v>983</v>
      </c>
      <c r="B15" s="388" t="str">
        <f>'Agreement 3'!B8</f>
        <v>Demix (Pty) Ltd</v>
      </c>
    </row>
    <row r="16" spans="1:10">
      <c r="A16" s="395" t="s">
        <v>984</v>
      </c>
      <c r="B16" s="388" t="str">
        <f>'Agreement 3'!B45</f>
        <v>Demix (Pty) Ltd</v>
      </c>
    </row>
    <row r="17" spans="1:2">
      <c r="A17" s="395" t="s">
        <v>10</v>
      </c>
      <c r="B17" s="388" t="str">
        <f>'Agreement 3'!B13</f>
        <v>pieter.vanzyl@demix.org</v>
      </c>
    </row>
    <row r="19" spans="1:2">
      <c r="A19" s="386" t="s">
        <v>985</v>
      </c>
      <c r="B19" s="387" t="str">
        <f>_xlfn.CONCAT('Agreement 3'!B7," - ",'Agreement 3'!B8)</f>
        <v>van Zyl, Pieter - Demix (Pty) Ltd</v>
      </c>
    </row>
    <row r="20" spans="1:2">
      <c r="A20" s="395" t="s">
        <v>986</v>
      </c>
      <c r="B20" s="388" t="str">
        <f>_xlfn.CONCAT('P1PA-SS'!B91," - ",'P1PA-SS'!D91)</f>
        <v>ATM-1 - Demix (Pty) Ltd</v>
      </c>
    </row>
    <row r="21" spans="1:2">
      <c r="A21" s="395" t="s">
        <v>986</v>
      </c>
      <c r="B21" s="388" t="str">
        <f>_xlfn.CONCAT('P1PA-SS'!B92," - ",'P1PA-SS'!D92)</f>
        <v>ATM-2 - Demix (Pty) Ltd</v>
      </c>
    </row>
    <row r="22" spans="1:2">
      <c r="A22" s="395" t="s">
        <v>986</v>
      </c>
      <c r="B22" s="388" t="str">
        <f>_xlfn.CONCAT('P1PA-SS'!B93," - ",'P1PA-SS'!D93)</f>
        <v>ATM-3 - Demix (Pty) Ltd</v>
      </c>
    </row>
    <row r="23" spans="1:2">
      <c r="A23" s="395" t="s">
        <v>986</v>
      </c>
      <c r="B23" s="388" t="str">
        <f>_xlfn.CONCAT('P1PA-SS'!B94," - ",'P1PA-SS'!D94)</f>
        <v>ATM-4 - Demix (Pty) Ltd</v>
      </c>
    </row>
    <row r="24" spans="1:2">
      <c r="A24" s="395" t="s">
        <v>986</v>
      </c>
      <c r="B24" s="388" t="str">
        <f>_xlfn.CONCAT('P1PA-SS'!B95," - ",'P1PA-SS'!D95)</f>
        <v>ATM-5 - Demix (Pty) Ltd</v>
      </c>
    </row>
    <row r="25" spans="1:2">
      <c r="A25" s="395" t="s">
        <v>986</v>
      </c>
      <c r="B25" s="388" t="str">
        <f>_xlfn.CONCAT('P1PA-SS'!B96," - ",'P1PA-SS'!D96)</f>
        <v>ATM-6 - Demix (Pty) Ltd</v>
      </c>
    </row>
    <row r="26" spans="1:2">
      <c r="A26" s="395" t="s">
        <v>986</v>
      </c>
      <c r="B26" s="388" t="str">
        <f>_xlfn.CONCAT('P1PA-SS'!B97," - ",'P1PA-SS'!D97)</f>
        <v>ATM-7 - Demix (Pty) Ltd</v>
      </c>
    </row>
    <row r="27" spans="1:2">
      <c r="A27" s="395" t="s">
        <v>986</v>
      </c>
      <c r="B27" s="388" t="str">
        <f>_xlfn.CONCAT('P1PA-SS'!B98," - ",'P1PA-SS'!D98)</f>
        <v>ATM-8 - Demix (Pty) Ltd</v>
      </c>
    </row>
    <row r="28" spans="1:2">
      <c r="A28" s="395" t="s">
        <v>986</v>
      </c>
      <c r="B28" s="388" t="str">
        <f>_xlfn.CONCAT('P1PA-SS'!B99," - ",'P1PA-SS'!D99)</f>
        <v>ATM-9 - Demix (Pty) Ltd</v>
      </c>
    </row>
    <row r="29" spans="1:2">
      <c r="A29" s="395" t="s">
        <v>987</v>
      </c>
      <c r="B29" s="388" t="str">
        <f>_xlfn.CONCAT('Agreement 3'!B33," - ",'Agreement 3'!B34)</f>
        <v>Miss Lake, Nathalie - Software for Mars (Pty) Ltd</v>
      </c>
    </row>
    <row r="30" spans="1:2">
      <c r="A30" s="395" t="s">
        <v>27</v>
      </c>
      <c r="B30" s="388" t="str">
        <f>_xlfn.CONCAT('P1PA-SS'!B87," - ",'P1PA-SS'!D87)</f>
        <v>Miss Land, Barbara - Freelance</v>
      </c>
    </row>
    <row r="32" spans="1:2">
      <c r="A32" s="386" t="s">
        <v>1560</v>
      </c>
      <c r="B32" s="386" t="s">
        <v>382</v>
      </c>
    </row>
    <row r="33" spans="1:2" ht="32" customHeight="1">
      <c r="A33" s="395" t="s">
        <v>795</v>
      </c>
      <c r="B33" s="391" t="s">
        <v>1561</v>
      </c>
    </row>
    <row r="34" spans="1:2" ht="32" customHeight="1">
      <c r="A34" s="395" t="s">
        <v>1562</v>
      </c>
      <c r="B34" s="392" t="s">
        <v>1444</v>
      </c>
    </row>
    <row r="35" spans="1:2" ht="32" customHeight="1">
      <c r="A35" s="395" t="s">
        <v>796</v>
      </c>
      <c r="B35" s="392" t="s">
        <v>1441</v>
      </c>
    </row>
    <row r="36" spans="1:2" ht="32" customHeight="1">
      <c r="A36" s="395" t="s">
        <v>1563</v>
      </c>
      <c r="B36" s="392" t="s">
        <v>1442</v>
      </c>
    </row>
    <row r="37" spans="1:2" ht="32" customHeight="1">
      <c r="A37" s="395" t="s">
        <v>672</v>
      </c>
      <c r="B37" s="392" t="s">
        <v>1564</v>
      </c>
    </row>
    <row r="38" spans="1:2">
      <c r="A38" s="386" t="s">
        <v>1565</v>
      </c>
      <c r="B38" s="386" t="s">
        <v>382</v>
      </c>
    </row>
    <row r="39" spans="1:2" ht="35" customHeight="1">
      <c r="A39" s="395" t="s">
        <v>1566</v>
      </c>
      <c r="B39" s="392" t="s">
        <v>1567</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7" customWidth="1"/>
    <col min="2" max="19" width="6.81640625" style="384" customWidth="1"/>
    <col min="20" max="20" width="5.81640625" style="384" customWidth="1"/>
    <col min="21" max="16384" width="8.7265625" style="385"/>
  </cols>
  <sheetData>
    <row r="1" spans="1:1">
      <c r="A1" s="396" t="str">
        <f>Planning!A42</f>
        <v>Business objectives</v>
      </c>
    </row>
    <row r="2" spans="1:1" ht="46.5">
      <c r="A2" s="397" t="str">
        <f>Planning!B42</f>
        <v>[BO-1] Improve production efficiency to improve productivity 
[BO-2] Improve delivery capacity
[BO-3] Reduce Code Acceptance Defects</v>
      </c>
    </row>
    <row r="3" spans="1:1">
      <c r="A3" s="396" t="str">
        <f>Planning!A54</f>
        <v>Appraisal objectives</v>
      </c>
    </row>
    <row r="4" spans="1:1" ht="31">
      <c r="A4" s="397" t="str">
        <f>Planning!B54</f>
        <v>[A1]: In support of the business objectives, understand the current strength and weaknesses of the CMMI maturity level 3 practices within the organisation [BO-1, BO-2 &amp; BO-3].</v>
      </c>
    </row>
    <row r="6" spans="1:1">
      <c r="A6" s="383" t="str">
        <f>'P1PA-R'!A3</f>
        <v>Final Findings</v>
      </c>
    </row>
    <row r="7" spans="1:1" ht="31">
      <c r="A7" s="398" t="str">
        <f>'P1PA-R'!B4</f>
        <v>The Final Findings will be presented as a PowerPoint presentation on the last on-site day, highlighting the strengths and weaknesses identified.</v>
      </c>
    </row>
    <row r="9" spans="1:1">
      <c r="A9" s="383" t="str">
        <f>'P1PA-R'!A8</f>
        <v>Sampled Project and OSF-level Practice Characterization Worksheets</v>
      </c>
    </row>
    <row r="10" spans="1:1">
      <c r="A10" s="398" t="str">
        <f>'P1PA-R'!B9</f>
        <v>OSF-level Practice Characterization Worksheets and Matrix included in the Final Findings presentation.</v>
      </c>
    </row>
    <row r="12" spans="1:1">
      <c r="A12" s="383" t="str">
        <f>'P1PA-R'!A13</f>
        <v>Sampled Project and OSF-level Ratings Worksheets</v>
      </c>
    </row>
    <row r="13" spans="1:1">
      <c r="A13" s="398" t="str">
        <f>'P1PA-R'!B14</f>
        <v>OSF-level Practice Ratings Worksheets and Matrix included in the Final Findings presentation.</v>
      </c>
    </row>
    <row r="15" spans="1:1">
      <c r="A15" s="383" t="str">
        <f>'P1PA-R'!A23</f>
        <v>Performance Report Output</v>
      </c>
    </row>
    <row r="16" spans="1:1" ht="31">
      <c r="A16" s="398" t="str">
        <f>'P1PA-R'!B24</f>
        <v>The Performance Report records the Appraisal Team's consolidated judgment as to how performance is managed and improved in the OU.</v>
      </c>
    </row>
    <row r="18" spans="1:1">
      <c r="A18" s="383" t="str">
        <f>'P1PA-R'!A28</f>
        <v>Other Optional Output</v>
      </c>
    </row>
    <row r="19" spans="1:1">
      <c r="A19" s="398" t="str">
        <f>'P1PA-R'!B29</f>
        <v>Immediately follow-up actions after the final findings are presented.</v>
      </c>
    </row>
    <row r="30" spans="1:1">
      <c r="A30" s="383" t="str">
        <f>StartupInfo!B20</f>
        <v>R&amp;D Department</v>
      </c>
    </row>
    <row r="31" spans="1:1">
      <c r="A31" s="398" t="str">
        <f>StartupInfo!B22</f>
        <v>The company provides space exploration services…</v>
      </c>
    </row>
    <row r="33" spans="1:1">
      <c r="A33" s="383" t="str">
        <f>'P1PA-SS'!A127</f>
        <v>Sampling Factors</v>
      </c>
    </row>
    <row r="34" spans="1:1">
      <c r="A34" s="404" t="str">
        <f>'P1PA-SS'!B128</f>
        <v>Type of Work</v>
      </c>
    </row>
    <row r="35" spans="1:1">
      <c r="A35" s="405"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59" customWidth="1"/>
    <col min="2" max="2" width="52.36328125" style="359" customWidth="1"/>
    <col min="3" max="3" width="10.90625" style="359" customWidth="1"/>
    <col min="4" max="4" width="2.453125" style="359" customWidth="1"/>
    <col min="5" max="9" width="8.7265625" style="359"/>
    <col min="10" max="10" width="49.453125" style="359" customWidth="1"/>
    <col min="11" max="16384" width="8.7265625" style="359"/>
  </cols>
  <sheetData>
    <row r="2" spans="1:20" ht="13" customHeight="1">
      <c r="A2" s="518" t="str">
        <f>'P1PA-SS'!B76</f>
        <v>CMMI Development V2.0 (CMMI-DEV) without SAM</v>
      </c>
      <c r="B2" s="519"/>
      <c r="C2" s="519"/>
      <c r="E2" s="361" t="s">
        <v>1330</v>
      </c>
      <c r="F2" s="361">
        <f>VALUE(RIGHT(Planning!B10,1))</f>
        <v>5</v>
      </c>
      <c r="G2" s="349" t="s">
        <v>1331</v>
      </c>
      <c r="J2" s="518" t="str">
        <f>'P1PA-SS'!B76</f>
        <v>CMMI Development V2.0 (CMMI-DEV) without SAM</v>
      </c>
      <c r="K2" s="519"/>
      <c r="L2" s="519"/>
      <c r="M2" s="519"/>
      <c r="N2" s="519"/>
      <c r="O2" s="519"/>
    </row>
    <row r="3" spans="1:20" s="348" customFormat="1">
      <c r="A3" s="520" t="str">
        <f>'P1PA-SS'!B75</f>
        <v>Maturity Level 5</v>
      </c>
      <c r="B3" s="521"/>
      <c r="C3" s="521"/>
      <c r="D3" s="359"/>
      <c r="E3" s="359"/>
      <c r="F3" s="359"/>
      <c r="G3" s="364"/>
      <c r="H3" s="364"/>
      <c r="I3" s="364"/>
      <c r="J3" s="520" t="str">
        <f>'P1PA-SS'!B75</f>
        <v>Maturity Level 5</v>
      </c>
      <c r="K3" s="521"/>
      <c r="L3" s="521"/>
      <c r="M3" s="521"/>
      <c r="N3" s="521"/>
      <c r="O3" s="521"/>
      <c r="P3" s="364"/>
      <c r="Q3" s="364"/>
      <c r="R3" s="364"/>
      <c r="S3" s="364"/>
      <c r="T3" s="364"/>
    </row>
    <row r="4" spans="1:20">
      <c r="A4" s="365" t="s">
        <v>1540</v>
      </c>
      <c r="B4" s="365" t="s">
        <v>920</v>
      </c>
      <c r="C4" s="366" t="s">
        <v>1541</v>
      </c>
      <c r="F4" s="359" t="s">
        <v>1557</v>
      </c>
      <c r="J4" s="379" t="s">
        <v>920</v>
      </c>
      <c r="K4" s="380">
        <v>1</v>
      </c>
      <c r="L4" s="380">
        <v>2</v>
      </c>
      <c r="M4" s="380">
        <v>3</v>
      </c>
      <c r="N4" s="380">
        <v>4</v>
      </c>
      <c r="O4" s="380">
        <v>5</v>
      </c>
    </row>
    <row r="5" spans="1:20" ht="20.5" customHeight="1">
      <c r="A5" s="522" t="s">
        <v>1545</v>
      </c>
      <c r="B5" s="367" t="s">
        <v>1036</v>
      </c>
      <c r="C5" s="360">
        <f t="shared" ref="C5:C24" si="0">IF(F5&gt;=$F$2,$F$2,F5)</f>
        <v>3</v>
      </c>
      <c r="F5" s="359">
        <v>3</v>
      </c>
      <c r="J5" s="381" t="s">
        <v>1036</v>
      </c>
      <c r="K5" s="382" t="str">
        <f>IF($C5&gt;=K$4,"x","")</f>
        <v>x</v>
      </c>
      <c r="L5" s="382" t="str">
        <f t="shared" ref="L5:O20" si="1">IF($C5&gt;=L$4,"x","")</f>
        <v>x</v>
      </c>
      <c r="M5" s="382" t="str">
        <f t="shared" si="1"/>
        <v>x</v>
      </c>
      <c r="N5" s="382" t="str">
        <f t="shared" si="1"/>
        <v/>
      </c>
      <c r="O5" s="382" t="str">
        <f t="shared" si="1"/>
        <v/>
      </c>
    </row>
    <row r="6" spans="1:20" ht="20.5" customHeight="1">
      <c r="A6" s="522"/>
      <c r="B6" s="367" t="s">
        <v>1051</v>
      </c>
      <c r="C6" s="360">
        <f t="shared" si="0"/>
        <v>3</v>
      </c>
      <c r="F6" s="359">
        <v>3</v>
      </c>
      <c r="J6" s="381" t="s">
        <v>1051</v>
      </c>
      <c r="K6" s="382" t="str">
        <f t="shared" ref="K6:O24" si="2">IF($C6&gt;=K$4,"x","")</f>
        <v>x</v>
      </c>
      <c r="L6" s="382" t="str">
        <f t="shared" si="1"/>
        <v>x</v>
      </c>
      <c r="M6" s="382" t="str">
        <f t="shared" si="1"/>
        <v>x</v>
      </c>
      <c r="N6" s="382" t="str">
        <f t="shared" si="1"/>
        <v/>
      </c>
      <c r="O6" s="382" t="str">
        <f t="shared" si="1"/>
        <v/>
      </c>
    </row>
    <row r="7" spans="1:20" ht="20.5" customHeight="1">
      <c r="A7" s="522"/>
      <c r="B7" s="367" t="s">
        <v>1030</v>
      </c>
      <c r="C7" s="360">
        <f t="shared" si="0"/>
        <v>3</v>
      </c>
      <c r="F7" s="359">
        <v>3</v>
      </c>
      <c r="J7" s="381" t="s">
        <v>1030</v>
      </c>
      <c r="K7" s="382" t="str">
        <f t="shared" si="2"/>
        <v>x</v>
      </c>
      <c r="L7" s="382" t="str">
        <f t="shared" si="1"/>
        <v>x</v>
      </c>
      <c r="M7" s="382" t="str">
        <f t="shared" si="1"/>
        <v>x</v>
      </c>
      <c r="N7" s="382" t="str">
        <f t="shared" si="1"/>
        <v/>
      </c>
      <c r="O7" s="382" t="str">
        <f t="shared" si="1"/>
        <v/>
      </c>
    </row>
    <row r="8" spans="1:20" ht="20.5" customHeight="1">
      <c r="A8" s="522"/>
      <c r="B8" s="367" t="s">
        <v>1546</v>
      </c>
      <c r="C8" s="360">
        <f t="shared" si="0"/>
        <v>3</v>
      </c>
      <c r="F8" s="359">
        <v>3</v>
      </c>
      <c r="J8" s="381" t="s">
        <v>1546</v>
      </c>
      <c r="K8" s="382" t="str">
        <f t="shared" si="2"/>
        <v>x</v>
      </c>
      <c r="L8" s="382" t="str">
        <f t="shared" si="1"/>
        <v>x</v>
      </c>
      <c r="M8" s="382" t="str">
        <f t="shared" si="1"/>
        <v>x</v>
      </c>
      <c r="N8" s="382" t="str">
        <f t="shared" si="1"/>
        <v/>
      </c>
      <c r="O8" s="382" t="str">
        <f t="shared" si="1"/>
        <v/>
      </c>
    </row>
    <row r="9" spans="1:20" ht="20.5" customHeight="1">
      <c r="A9" s="523" t="s">
        <v>1548</v>
      </c>
      <c r="B9" s="368" t="s">
        <v>1037</v>
      </c>
      <c r="C9" s="360">
        <f t="shared" si="0"/>
        <v>3</v>
      </c>
      <c r="F9" s="359">
        <v>3</v>
      </c>
      <c r="J9" s="381" t="s">
        <v>1037</v>
      </c>
      <c r="K9" s="382" t="str">
        <f t="shared" si="2"/>
        <v>x</v>
      </c>
      <c r="L9" s="382" t="str">
        <f t="shared" si="1"/>
        <v>x</v>
      </c>
      <c r="M9" s="382" t="str">
        <f t="shared" si="1"/>
        <v>x</v>
      </c>
      <c r="N9" s="382" t="str">
        <f t="shared" si="1"/>
        <v/>
      </c>
      <c r="O9" s="382" t="str">
        <f t="shared" si="1"/>
        <v/>
      </c>
    </row>
    <row r="10" spans="1:20" ht="20.5" customHeight="1">
      <c r="A10" s="523"/>
      <c r="B10" s="368" t="s">
        <v>1038</v>
      </c>
      <c r="C10" s="360">
        <f t="shared" si="0"/>
        <v>3</v>
      </c>
      <c r="F10" s="359">
        <v>3</v>
      </c>
      <c r="J10" s="381" t="s">
        <v>1038</v>
      </c>
      <c r="K10" s="382" t="str">
        <f t="shared" si="2"/>
        <v>x</v>
      </c>
      <c r="L10" s="382" t="str">
        <f t="shared" si="1"/>
        <v>x</v>
      </c>
      <c r="M10" s="382" t="str">
        <f t="shared" si="1"/>
        <v>x</v>
      </c>
      <c r="N10" s="382" t="str">
        <f t="shared" si="1"/>
        <v/>
      </c>
      <c r="O10" s="382" t="str">
        <f t="shared" si="1"/>
        <v/>
      </c>
    </row>
    <row r="11" spans="1:20" ht="20.5" customHeight="1">
      <c r="A11" s="369" t="s">
        <v>1558</v>
      </c>
      <c r="B11" s="370" t="s">
        <v>1559</v>
      </c>
      <c r="C11" s="360">
        <f t="shared" si="0"/>
        <v>4</v>
      </c>
      <c r="F11" s="359">
        <v>4</v>
      </c>
      <c r="J11" s="381" t="s">
        <v>1559</v>
      </c>
      <c r="K11" s="382" t="str">
        <f t="shared" si="2"/>
        <v>x</v>
      </c>
      <c r="L11" s="382" t="str">
        <f t="shared" si="1"/>
        <v>x</v>
      </c>
      <c r="M11" s="382" t="str">
        <f t="shared" si="1"/>
        <v>x</v>
      </c>
      <c r="N11" s="382" t="str">
        <f t="shared" si="1"/>
        <v>x</v>
      </c>
      <c r="O11" s="382" t="str">
        <f t="shared" si="1"/>
        <v/>
      </c>
    </row>
    <row r="12" spans="1:20" ht="20.5" customHeight="1">
      <c r="A12" s="524" t="s">
        <v>1556</v>
      </c>
      <c r="B12" s="371" t="s">
        <v>1034</v>
      </c>
      <c r="C12" s="360">
        <f t="shared" si="0"/>
        <v>3</v>
      </c>
      <c r="F12" s="359">
        <v>3</v>
      </c>
      <c r="J12" s="381" t="s">
        <v>1034</v>
      </c>
      <c r="K12" s="382" t="str">
        <f t="shared" si="2"/>
        <v>x</v>
      </c>
      <c r="L12" s="382" t="str">
        <f t="shared" si="1"/>
        <v>x</v>
      </c>
      <c r="M12" s="382" t="str">
        <f t="shared" si="1"/>
        <v>x</v>
      </c>
      <c r="N12" s="382" t="str">
        <f t="shared" si="1"/>
        <v/>
      </c>
      <c r="O12" s="382" t="str">
        <f t="shared" si="1"/>
        <v/>
      </c>
    </row>
    <row r="13" spans="1:20" ht="20.5" customHeight="1">
      <c r="A13" s="524"/>
      <c r="B13" s="371" t="s">
        <v>1033</v>
      </c>
      <c r="C13" s="360">
        <f t="shared" si="0"/>
        <v>4</v>
      </c>
      <c r="F13" s="359">
        <v>4</v>
      </c>
      <c r="J13" s="381" t="s">
        <v>1033</v>
      </c>
      <c r="K13" s="382" t="str">
        <f t="shared" si="2"/>
        <v>x</v>
      </c>
      <c r="L13" s="382" t="str">
        <f t="shared" si="1"/>
        <v>x</v>
      </c>
      <c r="M13" s="382" t="str">
        <f t="shared" si="1"/>
        <v>x</v>
      </c>
      <c r="N13" s="382" t="str">
        <f t="shared" si="1"/>
        <v>x</v>
      </c>
      <c r="O13" s="382" t="str">
        <f t="shared" si="1"/>
        <v/>
      </c>
    </row>
    <row r="14" spans="1:20" ht="20.5" customHeight="1">
      <c r="A14" s="524"/>
      <c r="B14" s="371" t="s">
        <v>1549</v>
      </c>
      <c r="C14" s="360">
        <f t="shared" si="0"/>
        <v>3</v>
      </c>
      <c r="F14" s="359">
        <v>3</v>
      </c>
      <c r="J14" s="381" t="s">
        <v>1549</v>
      </c>
      <c r="K14" s="382" t="str">
        <f t="shared" si="2"/>
        <v>x</v>
      </c>
      <c r="L14" s="382" t="str">
        <f t="shared" si="1"/>
        <v>x</v>
      </c>
      <c r="M14" s="382" t="str">
        <f t="shared" si="1"/>
        <v>x</v>
      </c>
      <c r="N14" s="382" t="str">
        <f t="shared" si="1"/>
        <v/>
      </c>
      <c r="O14" s="382" t="str">
        <f t="shared" si="1"/>
        <v/>
      </c>
    </row>
    <row r="15" spans="1:20" ht="20.5" customHeight="1">
      <c r="A15" s="372" t="s">
        <v>1555</v>
      </c>
      <c r="B15" s="373" t="s">
        <v>1035</v>
      </c>
      <c r="C15" s="360">
        <f t="shared" si="0"/>
        <v>3</v>
      </c>
      <c r="F15" s="359">
        <v>3</v>
      </c>
      <c r="J15" s="381" t="s">
        <v>1035</v>
      </c>
      <c r="K15" s="382" t="str">
        <f t="shared" si="2"/>
        <v>x</v>
      </c>
      <c r="L15" s="382" t="str">
        <f t="shared" si="1"/>
        <v>x</v>
      </c>
      <c r="M15" s="382" t="str">
        <f t="shared" si="1"/>
        <v>x</v>
      </c>
      <c r="N15" s="382" t="str">
        <f t="shared" si="1"/>
        <v/>
      </c>
      <c r="O15" s="382" t="str">
        <f t="shared" si="1"/>
        <v/>
      </c>
    </row>
    <row r="16" spans="1:20" ht="20.5" customHeight="1">
      <c r="A16" s="374" t="s">
        <v>1554</v>
      </c>
      <c r="B16" s="375" t="s">
        <v>1027</v>
      </c>
      <c r="C16" s="360">
        <f t="shared" si="0"/>
        <v>3</v>
      </c>
      <c r="F16" s="359">
        <v>3</v>
      </c>
      <c r="J16" s="381" t="s">
        <v>1027</v>
      </c>
      <c r="K16" s="382" t="str">
        <f t="shared" si="2"/>
        <v>x</v>
      </c>
      <c r="L16" s="382" t="str">
        <f t="shared" si="1"/>
        <v>x</v>
      </c>
      <c r="M16" s="382" t="str">
        <f t="shared" si="1"/>
        <v>x</v>
      </c>
      <c r="N16" s="382" t="str">
        <f t="shared" si="1"/>
        <v/>
      </c>
      <c r="O16" s="382" t="str">
        <f t="shared" si="1"/>
        <v/>
      </c>
    </row>
    <row r="17" spans="1:15" ht="20.5" customHeight="1">
      <c r="A17" s="525" t="s">
        <v>1553</v>
      </c>
      <c r="B17" s="376" t="s">
        <v>1025</v>
      </c>
      <c r="C17" s="360">
        <f t="shared" si="0"/>
        <v>5</v>
      </c>
      <c r="F17" s="359">
        <v>5</v>
      </c>
      <c r="J17" s="381" t="s">
        <v>1025</v>
      </c>
      <c r="K17" s="382" t="str">
        <f t="shared" si="2"/>
        <v>x</v>
      </c>
      <c r="L17" s="382" t="str">
        <f t="shared" si="1"/>
        <v>x</v>
      </c>
      <c r="M17" s="382" t="str">
        <f t="shared" si="1"/>
        <v>x</v>
      </c>
      <c r="N17" s="382" t="str">
        <f t="shared" si="1"/>
        <v>x</v>
      </c>
      <c r="O17" s="382" t="str">
        <f t="shared" si="1"/>
        <v>x</v>
      </c>
    </row>
    <row r="18" spans="1:15" ht="20.5" customHeight="1">
      <c r="A18" s="525"/>
      <c r="B18" s="376" t="s">
        <v>1026</v>
      </c>
      <c r="C18" s="360">
        <f t="shared" si="0"/>
        <v>3</v>
      </c>
      <c r="F18" s="359">
        <v>3</v>
      </c>
      <c r="J18" s="381" t="s">
        <v>1026</v>
      </c>
      <c r="K18" s="382" t="str">
        <f t="shared" si="2"/>
        <v>x</v>
      </c>
      <c r="L18" s="382" t="str">
        <f t="shared" si="1"/>
        <v>x</v>
      </c>
      <c r="M18" s="382" t="str">
        <f t="shared" si="1"/>
        <v>x</v>
      </c>
      <c r="N18" s="382" t="str">
        <f t="shared" si="1"/>
        <v/>
      </c>
      <c r="O18" s="382" t="str">
        <f t="shared" si="1"/>
        <v/>
      </c>
    </row>
    <row r="19" spans="1:15" ht="20.5" customHeight="1">
      <c r="A19" s="525"/>
      <c r="B19" s="376" t="s">
        <v>1032</v>
      </c>
      <c r="C19" s="360">
        <f t="shared" si="0"/>
        <v>2</v>
      </c>
      <c r="F19" s="359">
        <v>2</v>
      </c>
      <c r="J19" s="381" t="s">
        <v>1032</v>
      </c>
      <c r="K19" s="382" t="str">
        <f t="shared" si="2"/>
        <v>x</v>
      </c>
      <c r="L19" s="382" t="str">
        <f t="shared" si="1"/>
        <v>x</v>
      </c>
      <c r="M19" s="382" t="str">
        <f t="shared" si="1"/>
        <v/>
      </c>
      <c r="N19" s="382" t="str">
        <f t="shared" si="1"/>
        <v/>
      </c>
      <c r="O19" s="382" t="str">
        <f t="shared" si="1"/>
        <v/>
      </c>
    </row>
    <row r="20" spans="1:15" ht="20.5" customHeight="1">
      <c r="A20" s="516" t="s">
        <v>1552</v>
      </c>
      <c r="B20" s="377" t="s">
        <v>1551</v>
      </c>
      <c r="C20" s="360">
        <f t="shared" si="0"/>
        <v>4</v>
      </c>
      <c r="F20" s="359">
        <v>4</v>
      </c>
      <c r="J20" s="381" t="s">
        <v>1551</v>
      </c>
      <c r="K20" s="382" t="str">
        <f t="shared" si="2"/>
        <v>x</v>
      </c>
      <c r="L20" s="382" t="str">
        <f t="shared" si="1"/>
        <v>x</v>
      </c>
      <c r="M20" s="382" t="str">
        <f t="shared" si="1"/>
        <v>x</v>
      </c>
      <c r="N20" s="382" t="str">
        <f t="shared" si="1"/>
        <v>x</v>
      </c>
      <c r="O20" s="382" t="str">
        <f t="shared" si="1"/>
        <v/>
      </c>
    </row>
    <row r="21" spans="1:15" ht="20.5" customHeight="1">
      <c r="A21" s="516"/>
      <c r="B21" s="377" t="s">
        <v>1550</v>
      </c>
      <c r="C21" s="360">
        <f t="shared" si="0"/>
        <v>3</v>
      </c>
      <c r="F21" s="359">
        <v>3</v>
      </c>
      <c r="J21" s="381" t="s">
        <v>1550</v>
      </c>
      <c r="K21" s="382" t="str">
        <f t="shared" si="2"/>
        <v>x</v>
      </c>
      <c r="L21" s="382" t="str">
        <f t="shared" si="2"/>
        <v>x</v>
      </c>
      <c r="M21" s="382" t="str">
        <f t="shared" si="2"/>
        <v>x</v>
      </c>
      <c r="N21" s="382" t="str">
        <f t="shared" si="2"/>
        <v/>
      </c>
      <c r="O21" s="382" t="str">
        <f t="shared" si="2"/>
        <v/>
      </c>
    </row>
    <row r="22" spans="1:15" ht="20.5" customHeight="1">
      <c r="A22" s="517" t="s">
        <v>1547</v>
      </c>
      <c r="B22" s="378" t="s">
        <v>1031</v>
      </c>
      <c r="C22" s="360">
        <f t="shared" si="0"/>
        <v>5</v>
      </c>
      <c r="F22" s="359">
        <v>5</v>
      </c>
      <c r="J22" s="381" t="s">
        <v>1031</v>
      </c>
      <c r="K22" s="382" t="str">
        <f t="shared" si="2"/>
        <v>x</v>
      </c>
      <c r="L22" s="382" t="str">
        <f t="shared" si="2"/>
        <v>x</v>
      </c>
      <c r="M22" s="382" t="str">
        <f t="shared" si="2"/>
        <v>x</v>
      </c>
      <c r="N22" s="382" t="str">
        <f t="shared" si="2"/>
        <v>x</v>
      </c>
      <c r="O22" s="382" t="str">
        <f t="shared" si="2"/>
        <v>x</v>
      </c>
    </row>
    <row r="23" spans="1:15" ht="20.5" customHeight="1">
      <c r="A23" s="517"/>
      <c r="B23" s="378" t="s">
        <v>1028</v>
      </c>
      <c r="C23" s="360">
        <f t="shared" si="0"/>
        <v>4</v>
      </c>
      <c r="F23" s="359">
        <v>4</v>
      </c>
      <c r="J23" s="381" t="s">
        <v>1028</v>
      </c>
      <c r="K23" s="382" t="str">
        <f t="shared" si="2"/>
        <v>x</v>
      </c>
      <c r="L23" s="382" t="str">
        <f t="shared" si="2"/>
        <v>x</v>
      </c>
      <c r="M23" s="382" t="str">
        <f t="shared" si="2"/>
        <v>x</v>
      </c>
      <c r="N23" s="382" t="str">
        <f t="shared" si="2"/>
        <v>x</v>
      </c>
      <c r="O23" s="382" t="str">
        <f t="shared" si="2"/>
        <v/>
      </c>
    </row>
    <row r="24" spans="1:15" ht="20.5" customHeight="1">
      <c r="A24" s="517"/>
      <c r="B24" s="378" t="s">
        <v>1029</v>
      </c>
      <c r="C24" s="360">
        <f t="shared" si="0"/>
        <v>3</v>
      </c>
      <c r="F24" s="359">
        <v>3</v>
      </c>
      <c r="J24" s="381" t="s">
        <v>1029</v>
      </c>
      <c r="K24" s="382" t="str">
        <f t="shared" si="2"/>
        <v>x</v>
      </c>
      <c r="L24" s="382" t="str">
        <f t="shared" si="2"/>
        <v>x</v>
      </c>
      <c r="M24" s="382" t="str">
        <f t="shared" si="2"/>
        <v>x</v>
      </c>
      <c r="N24" s="382" t="str">
        <f t="shared" si="2"/>
        <v/>
      </c>
      <c r="O24" s="382" t="str">
        <f t="shared" si="2"/>
        <v/>
      </c>
    </row>
  </sheetData>
  <mergeCells count="10">
    <mergeCell ref="J2:O2"/>
    <mergeCell ref="J3:O3"/>
    <mergeCell ref="A9:A10"/>
    <mergeCell ref="A12:A14"/>
    <mergeCell ref="A17:A19"/>
    <mergeCell ref="A20:A21"/>
    <mergeCell ref="A22:A24"/>
    <mergeCell ref="A2:C2"/>
    <mergeCell ref="A3:C3"/>
    <mergeCell ref="A5:A8"/>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2" customWidth="1"/>
    <col min="2" max="3" width="18.36328125" style="152" customWidth="1"/>
    <col min="4" max="20" width="6.81640625" style="150" customWidth="1"/>
    <col min="21" max="21" width="6.81640625" style="150" hidden="1" customWidth="1"/>
    <col min="22" max="22" width="5.81640625" style="150" customWidth="1"/>
    <col min="23" max="16384" width="8.7265625" style="8"/>
  </cols>
  <sheetData>
    <row r="2" spans="1:22">
      <c r="A2" s="203" t="str">
        <f>'P1PA-SS'!A127</f>
        <v>Sampling Factors</v>
      </c>
      <c r="B2" s="243"/>
      <c r="C2" s="243"/>
    </row>
    <row r="3" spans="1:22">
      <c r="A3" s="205" t="str">
        <f>'P1PA-SS'!B128</f>
        <v>Type of Work</v>
      </c>
      <c r="B3" s="243"/>
      <c r="C3" s="243"/>
    </row>
    <row r="4" spans="1:22">
      <c r="A4" s="204" t="str">
        <f>'P1PA-SS'!B130</f>
        <v>All development projects</v>
      </c>
      <c r="B4" s="243"/>
      <c r="C4" s="243"/>
    </row>
    <row r="5" spans="1:22" ht="18.5">
      <c r="A5" s="243"/>
      <c r="B5" s="243"/>
      <c r="C5" s="243"/>
      <c r="D5" s="244"/>
      <c r="E5" s="244"/>
      <c r="F5" s="244"/>
      <c r="G5" s="244"/>
      <c r="H5" s="244"/>
      <c r="I5" s="244"/>
      <c r="J5" s="244"/>
      <c r="K5" s="244"/>
      <c r="L5" s="244"/>
      <c r="M5" s="244"/>
      <c r="N5" s="244"/>
      <c r="O5" s="244"/>
      <c r="P5" s="244"/>
      <c r="Q5" s="244"/>
      <c r="R5" s="244"/>
      <c r="S5" s="244"/>
      <c r="T5" s="244"/>
      <c r="U5" s="244"/>
    </row>
    <row r="6" spans="1:22" ht="18.5">
      <c r="A6" s="243"/>
      <c r="B6" s="243"/>
      <c r="C6" s="243"/>
      <c r="D6" s="244"/>
      <c r="E6" s="244"/>
      <c r="F6" s="244"/>
      <c r="G6" s="244"/>
      <c r="H6" s="244"/>
      <c r="I6" s="244"/>
      <c r="J6" s="244"/>
      <c r="K6" s="244"/>
      <c r="L6" s="244"/>
      <c r="M6" s="244"/>
      <c r="N6" s="244"/>
      <c r="O6" s="244"/>
      <c r="P6" s="244"/>
      <c r="Q6" s="244"/>
      <c r="R6" s="244"/>
      <c r="S6" s="244"/>
      <c r="T6" s="244"/>
      <c r="U6" s="244"/>
    </row>
    <row r="7" spans="1:22" ht="18.5">
      <c r="A7" s="243"/>
      <c r="B7" s="243"/>
      <c r="C7" s="243"/>
      <c r="D7" s="244"/>
      <c r="E7" s="244"/>
      <c r="F7" s="244"/>
      <c r="G7" s="244"/>
      <c r="H7" s="244"/>
      <c r="I7" s="244"/>
      <c r="J7" s="244"/>
      <c r="K7" s="244"/>
      <c r="L7" s="244"/>
      <c r="M7" s="244"/>
      <c r="N7" s="244"/>
      <c r="O7" s="244"/>
      <c r="P7" s="244"/>
      <c r="Q7" s="244"/>
      <c r="R7" s="244"/>
      <c r="S7" s="244"/>
      <c r="T7" s="244"/>
      <c r="U7" s="244"/>
    </row>
    <row r="8" spans="1:22" ht="18.5">
      <c r="A8" s="243"/>
      <c r="B8" s="243"/>
      <c r="C8" s="243"/>
      <c r="D8" s="244"/>
      <c r="E8" s="244"/>
      <c r="F8" s="244"/>
      <c r="G8" s="244"/>
      <c r="H8" s="244"/>
      <c r="I8" s="244"/>
      <c r="J8" s="244"/>
      <c r="K8" s="244"/>
      <c r="L8" s="244"/>
      <c r="M8" s="244"/>
      <c r="N8" s="244"/>
      <c r="O8" s="244"/>
      <c r="P8" s="244"/>
      <c r="Q8" s="244"/>
      <c r="R8" s="244"/>
      <c r="S8" s="244"/>
      <c r="T8" s="244"/>
      <c r="U8" s="244"/>
    </row>
    <row r="9" spans="1:22" ht="18.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c r="A15" s="153" t="str">
        <f>'Project&amp;Support'!B7</f>
        <v>S1-CM</v>
      </c>
      <c r="B15" s="153" t="str">
        <f>'Project&amp;Support'!H7</f>
        <v>All Projects</v>
      </c>
      <c r="C15" s="153" t="str">
        <f>'Project&amp;Support'!I7</f>
        <v>Support</v>
      </c>
      <c r="D15" s="247" t="str">
        <f>IF('Project&amp;Support'!J7&lt;&gt;"",'Project&amp;Support'!J7,"")</f>
        <v/>
      </c>
      <c r="E15" s="247" t="str">
        <f>IF('Project&amp;Support'!K7&lt;&gt;"",'Project&amp;Support'!K7,"")</f>
        <v/>
      </c>
      <c r="F15" s="247" t="str">
        <f>IF('Project&amp;Support'!L7&lt;&gt;"",'Project&amp;Support'!L7,"")</f>
        <v/>
      </c>
      <c r="G15" s="247" t="str">
        <f>IF('Project&amp;Support'!M7&lt;&gt;"",'Project&amp;Support'!M7,"")</f>
        <v/>
      </c>
      <c r="H15" s="247" t="str">
        <f>IF('Project&amp;Support'!N7&lt;&gt;"",'Project&amp;Support'!N7,"")</f>
        <v/>
      </c>
      <c r="I15" s="247" t="str">
        <f>IF('Project&amp;Support'!O7&lt;&gt;"",'Project&amp;Support'!O7,"")</f>
        <v/>
      </c>
      <c r="J15" s="247" t="str">
        <f>IF('Project&amp;Support'!P7&lt;&gt;"",'Project&amp;Support'!P7,"")</f>
        <v/>
      </c>
      <c r="K15" s="247" t="str">
        <f>IF('Project&amp;Support'!Q7&lt;&gt;"",'Project&amp;Support'!Q7,"")</f>
        <v/>
      </c>
      <c r="L15" s="247" t="str">
        <f>IF('Project&amp;Support'!R7&lt;&gt;"",'Project&amp;Support'!R7,"")</f>
        <v/>
      </c>
      <c r="M15" s="247" t="str">
        <f>IF('Project&amp;Support'!S7&lt;&gt;"",'Project&amp;Support'!S7,"")</f>
        <v/>
      </c>
      <c r="N15" s="247" t="str">
        <f>IF('Project&amp;Support'!T7&lt;&gt;"",'Project&amp;Support'!T7,"")</f>
        <v/>
      </c>
      <c r="O15" s="247" t="str">
        <f>IF('Project&amp;Support'!U7&lt;&gt;"",'Project&amp;Support'!U7,"")</f>
        <v/>
      </c>
      <c r="P15" s="247" t="str">
        <f>IF('Project&amp;Support'!V7&lt;&gt;"",'Project&amp;Support'!V7,"")</f>
        <v/>
      </c>
      <c r="Q15" s="247" t="str">
        <f>IF('Project&amp;Support'!W7&lt;&gt;"",'Project&amp;Support'!W7,"")</f>
        <v/>
      </c>
      <c r="R15" s="247" t="str">
        <f>IF('Project&amp;Support'!X7&lt;&gt;"",'Project&amp;Support'!X7,"")</f>
        <v/>
      </c>
      <c r="S15" s="247" t="str">
        <f>IF('Project&amp;Support'!Y7&lt;&gt;"",'Project&amp;Support'!Y7,"")</f>
        <v>s</v>
      </c>
      <c r="T15" s="247" t="str">
        <f>IF('Project&amp;Support'!Z7&lt;&gt;"",'Project&amp;Support'!Z7,"")</f>
        <v/>
      </c>
      <c r="U15" s="247" t="str">
        <f>IF('Project&amp;Support'!AA7&lt;&gt;"",'Project&amp;Support'!AA7,"")</f>
        <v/>
      </c>
      <c r="V15" s="245"/>
    </row>
    <row r="16" spans="1:22" s="246" customFormat="1">
      <c r="A16" s="153" t="str">
        <f>'Project&amp;Support'!B8</f>
        <v>S2-EPG-MA</v>
      </c>
      <c r="B16" s="153" t="str">
        <f>'Project&amp;Support'!H8</f>
        <v>All Projects</v>
      </c>
      <c r="C16" s="153" t="str">
        <f>'Project&amp;Support'!I8</f>
        <v>Support</v>
      </c>
      <c r="D16" s="247" t="str">
        <f>IF('Project&amp;Support'!J8&lt;&gt;"",'Project&amp;Support'!J8,"")</f>
        <v/>
      </c>
      <c r="E16" s="247" t="str">
        <f>IF('Project&amp;Support'!K8&lt;&gt;"",'Project&amp;Support'!K8,"")</f>
        <v/>
      </c>
      <c r="F16" s="247" t="str">
        <f>IF('Project&amp;Support'!L8&lt;&gt;"",'Project&amp;Support'!L8,"")</f>
        <v/>
      </c>
      <c r="G16" s="247" t="str">
        <f>IF('Project&amp;Support'!M8&lt;&gt;"",'Project&amp;Support'!M8,"")</f>
        <v/>
      </c>
      <c r="H16" s="247" t="str">
        <f>IF('Project&amp;Support'!N8&lt;&gt;"",'Project&amp;Support'!N8,"")</f>
        <v/>
      </c>
      <c r="I16" s="247" t="str">
        <f>IF('Project&amp;Support'!O8&lt;&gt;"",'Project&amp;Support'!O8,"")</f>
        <v/>
      </c>
      <c r="J16" s="247" t="str">
        <f>IF('Project&amp;Support'!P8&lt;&gt;"",'Project&amp;Support'!P8,"")</f>
        <v>s</v>
      </c>
      <c r="K16" s="247" t="str">
        <f>IF('Project&amp;Support'!Q8&lt;&gt;"",'Project&amp;Support'!Q8,"")</f>
        <v>s</v>
      </c>
      <c r="L16" s="247" t="str">
        <f>IF('Project&amp;Support'!R8&lt;&gt;"",'Project&amp;Support'!R8,"")</f>
        <v>s</v>
      </c>
      <c r="M16" s="247" t="str">
        <f>IF('Project&amp;Support'!S8&lt;&gt;"",'Project&amp;Support'!S8,"")</f>
        <v/>
      </c>
      <c r="N16" s="247" t="str">
        <f>IF('Project&amp;Support'!T8&lt;&gt;"",'Project&amp;Support'!T8,"")</f>
        <v/>
      </c>
      <c r="O16" s="247" t="str">
        <f>IF('Project&amp;Support'!U8&lt;&gt;"",'Project&amp;Support'!U8,"")</f>
        <v/>
      </c>
      <c r="P16" s="247" t="str">
        <f>IF('Project&amp;Support'!V8&lt;&gt;"",'Project&amp;Support'!V8,"")</f>
        <v/>
      </c>
      <c r="Q16" s="247" t="str">
        <f>IF('Project&amp;Support'!W8&lt;&gt;"",'Project&amp;Support'!W8,"")</f>
        <v/>
      </c>
      <c r="R16" s="247" t="str">
        <f>IF('Project&amp;Support'!X8&lt;&gt;"",'Project&amp;Support'!X8,"")</f>
        <v>s</v>
      </c>
      <c r="S16" s="247" t="str">
        <f>IF('Project&amp;Support'!Y8&lt;&gt;"",'Project&amp;Support'!Y8,"")</f>
        <v/>
      </c>
      <c r="T16" s="247" t="str">
        <f>IF('Project&amp;Support'!Z8&lt;&gt;"",'Project&amp;Support'!Z8,"")</f>
        <v>s</v>
      </c>
      <c r="U16" s="247" t="str">
        <f>IF('Project&amp;Support'!AA8&lt;&gt;"",'Project&amp;Support'!AA8,"")</f>
        <v/>
      </c>
      <c r="V16" s="245"/>
    </row>
    <row r="17" spans="1:22" s="246" customFormat="1">
      <c r="A17" s="153" t="str">
        <f>'Project&amp;Support'!B9</f>
        <v>S3-HR</v>
      </c>
      <c r="B17" s="153" t="str">
        <f>'Project&amp;Support'!H9</f>
        <v>All Projects</v>
      </c>
      <c r="C17" s="153" t="str">
        <f>'Project&amp;Support'!I9</f>
        <v>Support</v>
      </c>
      <c r="D17" s="247" t="str">
        <f>IF('Project&amp;Support'!J9&lt;&gt;"",'Project&amp;Support'!J9,"")</f>
        <v/>
      </c>
      <c r="E17" s="247" t="str">
        <f>IF('Project&amp;Support'!K9&lt;&gt;"",'Project&amp;Support'!K9,"")</f>
        <v/>
      </c>
      <c r="F17" s="247" t="str">
        <f>IF('Project&amp;Support'!L9&lt;&gt;"",'Project&amp;Support'!L9,"")</f>
        <v/>
      </c>
      <c r="G17" s="247" t="str">
        <f>IF('Project&amp;Support'!M9&lt;&gt;"",'Project&amp;Support'!M9,"")</f>
        <v/>
      </c>
      <c r="H17" s="247" t="str">
        <f>IF('Project&amp;Support'!N9&lt;&gt;"",'Project&amp;Support'!N9,"")</f>
        <v/>
      </c>
      <c r="I17" s="247" t="str">
        <f>IF('Project&amp;Support'!O9&lt;&gt;"",'Project&amp;Support'!O9,"")</f>
        <v/>
      </c>
      <c r="J17" s="247" t="str">
        <f>IF('Project&amp;Support'!P9&lt;&gt;"",'Project&amp;Support'!P9,"")</f>
        <v/>
      </c>
      <c r="K17" s="247" t="str">
        <f>IF('Project&amp;Support'!Q9&lt;&gt;"",'Project&amp;Support'!Q9,"")</f>
        <v/>
      </c>
      <c r="L17" s="247" t="str">
        <f>IF('Project&amp;Support'!R9&lt;&gt;"",'Project&amp;Support'!R9,"")</f>
        <v/>
      </c>
      <c r="M17" s="247" t="str">
        <f>IF('Project&amp;Support'!S9&lt;&gt;"",'Project&amp;Support'!S9,"")</f>
        <v/>
      </c>
      <c r="N17" s="247" t="str">
        <f>IF('Project&amp;Support'!T9&lt;&gt;"",'Project&amp;Support'!T9,"")</f>
        <v>s</v>
      </c>
      <c r="O17" s="247" t="str">
        <f>IF('Project&amp;Support'!U9&lt;&gt;"",'Project&amp;Support'!U9,"")</f>
        <v/>
      </c>
      <c r="P17" s="247" t="str">
        <f>IF('Project&amp;Support'!V9&lt;&gt;"",'Project&amp;Support'!V9,"")</f>
        <v/>
      </c>
      <c r="Q17" s="247" t="str">
        <f>IF('Project&amp;Support'!W9&lt;&gt;"",'Project&amp;Support'!W9,"")</f>
        <v/>
      </c>
      <c r="R17" s="247" t="str">
        <f>IF('Project&amp;Support'!X9&lt;&gt;"",'Project&amp;Support'!X9,"")</f>
        <v/>
      </c>
      <c r="S17" s="247" t="str">
        <f>IF('Project&amp;Support'!Y9&lt;&gt;"",'Project&amp;Support'!Y9,"")</f>
        <v/>
      </c>
      <c r="T17" s="247" t="str">
        <f>IF('Project&amp;Support'!Z9&lt;&gt;"",'Project&amp;Support'!Z9,"")</f>
        <v/>
      </c>
      <c r="U17" s="247" t="str">
        <f>IF('Project&amp;Support'!AA9&lt;&gt;"",'Project&amp;Support'!AA9,"")</f>
        <v/>
      </c>
      <c r="V17" s="245"/>
    </row>
    <row r="18" spans="1:22" s="246" customFormat="1">
      <c r="A18" s="153" t="str">
        <f>'Project&amp;Support'!B10</f>
        <v>S4-PPQA</v>
      </c>
      <c r="B18" s="153" t="str">
        <f>'Project&amp;Support'!H10</f>
        <v>All Projects</v>
      </c>
      <c r="C18" s="153" t="str">
        <f>'Project&amp;Support'!I10</f>
        <v>Support</v>
      </c>
      <c r="D18" s="247" t="str">
        <f>IF('Project&amp;Support'!J10&lt;&gt;"",'Project&amp;Support'!J10,"")</f>
        <v/>
      </c>
      <c r="E18" s="247" t="str">
        <f>IF('Project&amp;Support'!K10&lt;&gt;"",'Project&amp;Support'!K10,"")</f>
        <v/>
      </c>
      <c r="F18" s="247" t="str">
        <f>IF('Project&amp;Support'!L10&lt;&gt;"",'Project&amp;Support'!L10,"")</f>
        <v>s</v>
      </c>
      <c r="G18" s="247" t="str">
        <f>IF('Project&amp;Support'!M10&lt;&gt;"",'Project&amp;Support'!M10,"")</f>
        <v/>
      </c>
      <c r="H18" s="247" t="str">
        <f>IF('Project&amp;Support'!N10&lt;&gt;"",'Project&amp;Support'!N10,"")</f>
        <v/>
      </c>
      <c r="I18" s="247" t="str">
        <f>IF('Project&amp;Support'!O10&lt;&gt;"",'Project&amp;Support'!O10,"")</f>
        <v/>
      </c>
      <c r="J18" s="247" t="str">
        <f>IF('Project&amp;Support'!P10&lt;&gt;"",'Project&amp;Support'!P10,"")</f>
        <v/>
      </c>
      <c r="K18" s="247" t="str">
        <f>IF('Project&amp;Support'!Q10&lt;&gt;"",'Project&amp;Support'!Q10,"")</f>
        <v/>
      </c>
      <c r="L18" s="247" t="str">
        <f>IF('Project&amp;Support'!R10&lt;&gt;"",'Project&amp;Support'!R10,"")</f>
        <v/>
      </c>
      <c r="M18" s="247" t="str">
        <f>IF('Project&amp;Support'!S10&lt;&gt;"",'Project&amp;Support'!S10,"")</f>
        <v/>
      </c>
      <c r="N18" s="247" t="str">
        <f>IF('Project&amp;Support'!T10&lt;&gt;"",'Project&amp;Support'!T10,"")</f>
        <v/>
      </c>
      <c r="O18" s="247" t="str">
        <f>IF('Project&amp;Support'!U10&lt;&gt;"",'Project&amp;Support'!U10,"")</f>
        <v/>
      </c>
      <c r="P18" s="247" t="str">
        <f>IF('Project&amp;Support'!V10&lt;&gt;"",'Project&amp;Support'!V10,"")</f>
        <v/>
      </c>
      <c r="Q18" s="247" t="str">
        <f>IF('Project&amp;Support'!W10&lt;&gt;"",'Project&amp;Support'!W10,"")</f>
        <v/>
      </c>
      <c r="R18" s="247" t="str">
        <f>IF('Project&amp;Support'!X10&lt;&gt;"",'Project&amp;Support'!X10,"")</f>
        <v/>
      </c>
      <c r="S18" s="247" t="str">
        <f>IF('Project&amp;Support'!Y10&lt;&gt;"",'Project&amp;Support'!Y10,"")</f>
        <v/>
      </c>
      <c r="T18" s="247" t="str">
        <f>IF('Project&amp;Support'!Z10&lt;&gt;"",'Project&amp;Support'!Z10,"")</f>
        <v/>
      </c>
      <c r="U18" s="247" t="str">
        <f>IF('Project&amp;Support'!AA10&lt;&gt;"",'Project&amp;Support'!AA10,"")</f>
        <v/>
      </c>
      <c r="V18" s="245"/>
    </row>
    <row r="19" spans="1:22" s="246" customFormat="1" hidden="1">
      <c r="A19" s="153">
        <f>'Project&amp;Support'!B11</f>
        <v>0</v>
      </c>
      <c r="B19" s="153">
        <f>'Project&amp;Support'!H11</f>
        <v>0</v>
      </c>
      <c r="C19" s="153">
        <f>'Project&amp;Support'!I11</f>
        <v>0</v>
      </c>
      <c r="D19" s="247" t="str">
        <f>IF('Project&amp;Support'!J11&lt;&gt;"",'Project&amp;Support'!J11,"")</f>
        <v/>
      </c>
      <c r="E19" s="247" t="str">
        <f>IF('Project&amp;Support'!K11&lt;&gt;"",'Project&amp;Support'!K11,"")</f>
        <v/>
      </c>
      <c r="F19" s="247" t="str">
        <f>IF('Project&amp;Support'!L11&lt;&gt;"",'Project&amp;Support'!L11,"")</f>
        <v/>
      </c>
      <c r="G19" s="247" t="str">
        <f>IF('Project&amp;Support'!M11&lt;&gt;"",'Project&amp;Support'!M11,"")</f>
        <v/>
      </c>
      <c r="H19" s="247" t="str">
        <f>IF('Project&amp;Support'!N11&lt;&gt;"",'Project&amp;Support'!N11,"")</f>
        <v/>
      </c>
      <c r="I19" s="247" t="str">
        <f>IF('Project&amp;Support'!O11&lt;&gt;"",'Project&amp;Support'!O11,"")</f>
        <v/>
      </c>
      <c r="J19" s="247" t="str">
        <f>IF('Project&amp;Support'!P11&lt;&gt;"",'Project&amp;Support'!P11,"")</f>
        <v/>
      </c>
      <c r="K19" s="247" t="str">
        <f>IF('Project&amp;Support'!Q11&lt;&gt;"",'Project&amp;Support'!Q11,"")</f>
        <v/>
      </c>
      <c r="L19" s="247" t="str">
        <f>IF('Project&amp;Support'!R11&lt;&gt;"",'Project&amp;Support'!R11,"")</f>
        <v/>
      </c>
      <c r="M19" s="247" t="str">
        <f>IF('Project&amp;Support'!S11&lt;&gt;"",'Project&amp;Support'!S11,"")</f>
        <v/>
      </c>
      <c r="N19" s="247" t="str">
        <f>IF('Project&amp;Support'!T11&lt;&gt;"",'Project&amp;Support'!T11,"")</f>
        <v/>
      </c>
      <c r="O19" s="247" t="str">
        <f>IF('Project&amp;Support'!U11&lt;&gt;"",'Project&amp;Support'!U11,"")</f>
        <v/>
      </c>
      <c r="P19" s="247" t="str">
        <f>IF('Project&amp;Support'!V11&lt;&gt;"",'Project&amp;Support'!V11,"")</f>
        <v/>
      </c>
      <c r="Q19" s="247" t="str">
        <f>IF('Project&amp;Support'!W11&lt;&gt;"",'Project&amp;Support'!W11,"")</f>
        <v/>
      </c>
      <c r="R19" s="247" t="str">
        <f>IF('Project&amp;Support'!X11&lt;&gt;"",'Project&amp;Support'!X11,"")</f>
        <v/>
      </c>
      <c r="S19" s="247" t="str">
        <f>IF('Project&amp;Support'!Y11&lt;&gt;"",'Project&amp;Support'!Y11,"")</f>
        <v/>
      </c>
      <c r="T19" s="247" t="str">
        <f>IF('Project&amp;Support'!Z11&lt;&gt;"",'Project&amp;Support'!Z11,"")</f>
        <v/>
      </c>
      <c r="U19" s="247" t="str">
        <f>IF('Project&amp;Support'!AA11&lt;&gt;"",'Project&amp;Support'!AA11,"")</f>
        <v/>
      </c>
      <c r="V19" s="245"/>
    </row>
    <row r="20" spans="1:22" s="246" customFormat="1" hidden="1">
      <c r="A20" s="153">
        <f>'Project&amp;Support'!B12</f>
        <v>0</v>
      </c>
      <c r="B20" s="153">
        <f>'Project&amp;Support'!H12</f>
        <v>0</v>
      </c>
      <c r="C20" s="153">
        <f>'Project&amp;Support'!I12</f>
        <v>0</v>
      </c>
      <c r="D20" s="247" t="str">
        <f>IF('Project&amp;Support'!J12&lt;&gt;"",'Project&amp;Support'!J12,"")</f>
        <v/>
      </c>
      <c r="E20" s="247" t="str">
        <f>IF('Project&amp;Support'!K12&lt;&gt;"",'Project&amp;Support'!K12,"")</f>
        <v/>
      </c>
      <c r="F20" s="247" t="str">
        <f>IF('Project&amp;Support'!L12&lt;&gt;"",'Project&amp;Support'!L12,"")</f>
        <v/>
      </c>
      <c r="G20" s="247" t="str">
        <f>IF('Project&amp;Support'!M12&lt;&gt;"",'Project&amp;Support'!M12,"")</f>
        <v/>
      </c>
      <c r="H20" s="247" t="str">
        <f>IF('Project&amp;Support'!N12&lt;&gt;"",'Project&amp;Support'!N12,"")</f>
        <v/>
      </c>
      <c r="I20" s="247" t="str">
        <f>IF('Project&amp;Support'!O12&lt;&gt;"",'Project&amp;Support'!O12,"")</f>
        <v/>
      </c>
      <c r="J20" s="247" t="str">
        <f>IF('Project&amp;Support'!P12&lt;&gt;"",'Project&amp;Support'!P12,"")</f>
        <v/>
      </c>
      <c r="K20" s="247" t="str">
        <f>IF('Project&amp;Support'!Q12&lt;&gt;"",'Project&amp;Support'!Q12,"")</f>
        <v/>
      </c>
      <c r="L20" s="247" t="str">
        <f>IF('Project&amp;Support'!R12&lt;&gt;"",'Project&amp;Support'!R12,"")</f>
        <v/>
      </c>
      <c r="M20" s="247" t="str">
        <f>IF('Project&amp;Support'!S12&lt;&gt;"",'Project&amp;Support'!S12,"")</f>
        <v/>
      </c>
      <c r="N20" s="247" t="str">
        <f>IF('Project&amp;Support'!T12&lt;&gt;"",'Project&amp;Support'!T12,"")</f>
        <v/>
      </c>
      <c r="O20" s="247" t="str">
        <f>IF('Project&amp;Support'!U12&lt;&gt;"",'Project&amp;Support'!U12,"")</f>
        <v/>
      </c>
      <c r="P20" s="247" t="str">
        <f>IF('Project&amp;Support'!V12&lt;&gt;"",'Project&amp;Support'!V12,"")</f>
        <v/>
      </c>
      <c r="Q20" s="247" t="str">
        <f>IF('Project&amp;Support'!W12&lt;&gt;"",'Project&amp;Support'!W12,"")</f>
        <v/>
      </c>
      <c r="R20" s="247" t="str">
        <f>IF('Project&amp;Support'!X12&lt;&gt;"",'Project&amp;Support'!X12,"")</f>
        <v/>
      </c>
      <c r="S20" s="247" t="str">
        <f>IF('Project&amp;Support'!Y12&lt;&gt;"",'Project&amp;Support'!Y12,"")</f>
        <v/>
      </c>
      <c r="T20" s="247" t="str">
        <f>IF('Project&amp;Support'!Z12&lt;&gt;"",'Project&amp;Support'!Z12,"")</f>
        <v/>
      </c>
      <c r="U20" s="247" t="str">
        <f>IF('Project&amp;Support'!AA12&lt;&gt;"",'Project&amp;Support'!AA12,"")</f>
        <v/>
      </c>
      <c r="V20" s="245"/>
    </row>
    <row r="21" spans="1:22" s="246" customFormat="1" hidden="1">
      <c r="A21" s="153">
        <f>'Project&amp;Support'!B13</f>
        <v>0</v>
      </c>
      <c r="B21" s="153">
        <f>'Project&amp;Support'!H13</f>
        <v>0</v>
      </c>
      <c r="C21" s="153">
        <f>'Project&amp;Support'!I13</f>
        <v>0</v>
      </c>
      <c r="D21" s="247" t="str">
        <f>IF('Project&amp;Support'!J13&lt;&gt;"",'Project&amp;Support'!J13,"")</f>
        <v/>
      </c>
      <c r="E21" s="247" t="str">
        <f>IF('Project&amp;Support'!K13&lt;&gt;"",'Project&amp;Support'!K13,"")</f>
        <v/>
      </c>
      <c r="F21" s="247" t="str">
        <f>IF('Project&amp;Support'!L13&lt;&gt;"",'Project&amp;Support'!L13,"")</f>
        <v/>
      </c>
      <c r="G21" s="247" t="str">
        <f>IF('Project&amp;Support'!M13&lt;&gt;"",'Project&amp;Support'!M13,"")</f>
        <v/>
      </c>
      <c r="H21" s="247" t="str">
        <f>IF('Project&amp;Support'!N13&lt;&gt;"",'Project&amp;Support'!N13,"")</f>
        <v/>
      </c>
      <c r="I21" s="247" t="str">
        <f>IF('Project&amp;Support'!O13&lt;&gt;"",'Project&amp;Support'!O13,"")</f>
        <v/>
      </c>
      <c r="J21" s="247" t="str">
        <f>IF('Project&amp;Support'!P13&lt;&gt;"",'Project&amp;Support'!P13,"")</f>
        <v/>
      </c>
      <c r="K21" s="247" t="str">
        <f>IF('Project&amp;Support'!Q13&lt;&gt;"",'Project&amp;Support'!Q13,"")</f>
        <v/>
      </c>
      <c r="L21" s="247" t="str">
        <f>IF('Project&amp;Support'!R13&lt;&gt;"",'Project&amp;Support'!R13,"")</f>
        <v/>
      </c>
      <c r="M21" s="247" t="str">
        <f>IF('Project&amp;Support'!S13&lt;&gt;"",'Project&amp;Support'!S13,"")</f>
        <v/>
      </c>
      <c r="N21" s="247" t="str">
        <f>IF('Project&amp;Support'!T13&lt;&gt;"",'Project&amp;Support'!T13,"")</f>
        <v/>
      </c>
      <c r="O21" s="247" t="str">
        <f>IF('Project&amp;Support'!U13&lt;&gt;"",'Project&amp;Support'!U13,"")</f>
        <v/>
      </c>
      <c r="P21" s="247" t="str">
        <f>IF('Project&amp;Support'!V13&lt;&gt;"",'Project&amp;Support'!V13,"")</f>
        <v/>
      </c>
      <c r="Q21" s="247" t="str">
        <f>IF('Project&amp;Support'!W13&lt;&gt;"",'Project&amp;Support'!W13,"")</f>
        <v/>
      </c>
      <c r="R21" s="247" t="str">
        <f>IF('Project&amp;Support'!X13&lt;&gt;"",'Project&amp;Support'!X13,"")</f>
        <v/>
      </c>
      <c r="S21" s="247" t="str">
        <f>IF('Project&amp;Support'!Y13&lt;&gt;"",'Project&amp;Support'!Y13,"")</f>
        <v/>
      </c>
      <c r="T21" s="247" t="str">
        <f>IF('Project&amp;Support'!Z13&lt;&gt;"",'Project&amp;Support'!Z13,"")</f>
        <v/>
      </c>
      <c r="U21" s="247" t="str">
        <f>IF('Project&amp;Support'!AA13&lt;&gt;"",'Project&amp;Support'!AA13,"")</f>
        <v/>
      </c>
      <c r="V21" s="245"/>
    </row>
    <row r="22" spans="1:22" s="246" customFormat="1" hidden="1">
      <c r="A22" s="153">
        <f>'Project&amp;Support'!B14</f>
        <v>0</v>
      </c>
      <c r="B22" s="153">
        <f>'Project&amp;Support'!H14</f>
        <v>0</v>
      </c>
      <c r="C22" s="153">
        <f>'Project&amp;Support'!I14</f>
        <v>0</v>
      </c>
      <c r="D22" s="247" t="str">
        <f>IF('Project&amp;Support'!J14&lt;&gt;"",'Project&amp;Support'!J14,"")</f>
        <v/>
      </c>
      <c r="E22" s="247" t="str">
        <f>IF('Project&amp;Support'!K14&lt;&gt;"",'Project&amp;Support'!K14,"")</f>
        <v/>
      </c>
      <c r="F22" s="247" t="str">
        <f>IF('Project&amp;Support'!L14&lt;&gt;"",'Project&amp;Support'!L14,"")</f>
        <v/>
      </c>
      <c r="G22" s="247" t="str">
        <f>IF('Project&amp;Support'!M14&lt;&gt;"",'Project&amp;Support'!M14,"")</f>
        <v/>
      </c>
      <c r="H22" s="247" t="str">
        <f>IF('Project&amp;Support'!N14&lt;&gt;"",'Project&amp;Support'!N14,"")</f>
        <v/>
      </c>
      <c r="I22" s="247" t="str">
        <f>IF('Project&amp;Support'!O14&lt;&gt;"",'Project&amp;Support'!O14,"")</f>
        <v/>
      </c>
      <c r="J22" s="247" t="str">
        <f>IF('Project&amp;Support'!P14&lt;&gt;"",'Project&amp;Support'!P14,"")</f>
        <v/>
      </c>
      <c r="K22" s="247" t="str">
        <f>IF('Project&amp;Support'!Q14&lt;&gt;"",'Project&amp;Support'!Q14,"")</f>
        <v/>
      </c>
      <c r="L22" s="247" t="str">
        <f>IF('Project&amp;Support'!R14&lt;&gt;"",'Project&amp;Support'!R14,"")</f>
        <v/>
      </c>
      <c r="M22" s="247" t="str">
        <f>IF('Project&amp;Support'!S14&lt;&gt;"",'Project&amp;Support'!S14,"")</f>
        <v/>
      </c>
      <c r="N22" s="247" t="str">
        <f>IF('Project&amp;Support'!T14&lt;&gt;"",'Project&amp;Support'!T14,"")</f>
        <v/>
      </c>
      <c r="O22" s="247" t="str">
        <f>IF('Project&amp;Support'!U14&lt;&gt;"",'Project&amp;Support'!U14,"")</f>
        <v/>
      </c>
      <c r="P22" s="247" t="str">
        <f>IF('Project&amp;Support'!V14&lt;&gt;"",'Project&amp;Support'!V14,"")</f>
        <v/>
      </c>
      <c r="Q22" s="247" t="str">
        <f>IF('Project&amp;Support'!W14&lt;&gt;"",'Project&amp;Support'!W14,"")</f>
        <v/>
      </c>
      <c r="R22" s="247" t="str">
        <f>IF('Project&amp;Support'!X14&lt;&gt;"",'Project&amp;Support'!X14,"")</f>
        <v/>
      </c>
      <c r="S22" s="247" t="str">
        <f>IF('Project&amp;Support'!Y14&lt;&gt;"",'Project&amp;Support'!Y14,"")</f>
        <v/>
      </c>
      <c r="T22" s="247" t="str">
        <f>IF('Project&amp;Support'!Z14&lt;&gt;"",'Project&amp;Support'!Z14,"")</f>
        <v/>
      </c>
      <c r="U22" s="247" t="str">
        <f>IF('Project&amp;Support'!AA14&lt;&gt;"",'Project&amp;Support'!AA14,"")</f>
        <v/>
      </c>
      <c r="V22" s="245"/>
    </row>
    <row r="23" spans="1:22" s="246" customFormat="1" hidden="1">
      <c r="A23" s="153">
        <f>'Project&amp;Support'!B15</f>
        <v>0</v>
      </c>
      <c r="B23" s="153">
        <f>'Project&amp;Support'!H15</f>
        <v>0</v>
      </c>
      <c r="C23" s="153">
        <f>'Project&amp;Support'!I15</f>
        <v>0</v>
      </c>
      <c r="D23" s="247" t="str">
        <f>IF('Project&amp;Support'!J15&lt;&gt;"",'Project&amp;Support'!J15,"")</f>
        <v/>
      </c>
      <c r="E23" s="247" t="str">
        <f>IF('Project&amp;Support'!K15&lt;&gt;"",'Project&amp;Support'!K15,"")</f>
        <v/>
      </c>
      <c r="F23" s="247" t="str">
        <f>IF('Project&amp;Support'!L15&lt;&gt;"",'Project&amp;Support'!L15,"")</f>
        <v/>
      </c>
      <c r="G23" s="247" t="str">
        <f>IF('Project&amp;Support'!M15&lt;&gt;"",'Project&amp;Support'!M15,"")</f>
        <v/>
      </c>
      <c r="H23" s="247" t="str">
        <f>IF('Project&amp;Support'!N15&lt;&gt;"",'Project&amp;Support'!N15,"")</f>
        <v/>
      </c>
      <c r="I23" s="247" t="str">
        <f>IF('Project&amp;Support'!O15&lt;&gt;"",'Project&amp;Support'!O15,"")</f>
        <v/>
      </c>
      <c r="J23" s="247" t="str">
        <f>IF('Project&amp;Support'!P15&lt;&gt;"",'Project&amp;Support'!P15,"")</f>
        <v/>
      </c>
      <c r="K23" s="247" t="str">
        <f>IF('Project&amp;Support'!Q15&lt;&gt;"",'Project&amp;Support'!Q15,"")</f>
        <v/>
      </c>
      <c r="L23" s="247" t="str">
        <f>IF('Project&amp;Support'!R15&lt;&gt;"",'Project&amp;Support'!R15,"")</f>
        <v/>
      </c>
      <c r="M23" s="247" t="str">
        <f>IF('Project&amp;Support'!S15&lt;&gt;"",'Project&amp;Support'!S15,"")</f>
        <v/>
      </c>
      <c r="N23" s="247" t="str">
        <f>IF('Project&amp;Support'!T15&lt;&gt;"",'Project&amp;Support'!T15,"")</f>
        <v/>
      </c>
      <c r="O23" s="247" t="str">
        <f>IF('Project&amp;Support'!U15&lt;&gt;"",'Project&amp;Support'!U15,"")</f>
        <v/>
      </c>
      <c r="P23" s="247" t="str">
        <f>IF('Project&amp;Support'!V15&lt;&gt;"",'Project&amp;Support'!V15,"")</f>
        <v/>
      </c>
      <c r="Q23" s="247" t="str">
        <f>IF('Project&amp;Support'!W15&lt;&gt;"",'Project&amp;Support'!W15,"")</f>
        <v/>
      </c>
      <c r="R23" s="247" t="str">
        <f>IF('Project&amp;Support'!X15&lt;&gt;"",'Project&amp;Support'!X15,"")</f>
        <v/>
      </c>
      <c r="S23" s="247" t="str">
        <f>IF('Project&amp;Support'!Y15&lt;&gt;"",'Project&amp;Support'!Y15,"")</f>
        <v/>
      </c>
      <c r="T23" s="247" t="str">
        <f>IF('Project&amp;Support'!Z15&lt;&gt;"",'Project&amp;Support'!Z15,"")</f>
        <v/>
      </c>
      <c r="U23" s="247" t="str">
        <f>IF('Project&amp;Support'!AA15&lt;&gt;"",'Project&amp;Support'!AA15,"")</f>
        <v/>
      </c>
      <c r="V23" s="245"/>
    </row>
    <row r="24" spans="1:22" s="246" customFormat="1">
      <c r="A24" s="152"/>
      <c r="B24" s="152"/>
      <c r="C24" s="152"/>
      <c r="D24" s="245"/>
      <c r="E24" s="245"/>
      <c r="F24" s="245"/>
      <c r="G24" s="245"/>
      <c r="H24" s="245"/>
      <c r="I24" s="245"/>
      <c r="J24" s="245"/>
      <c r="K24" s="245"/>
      <c r="L24" s="245"/>
      <c r="M24" s="245"/>
      <c r="N24" s="245"/>
      <c r="O24" s="245"/>
      <c r="P24" s="245"/>
      <c r="Q24" s="245"/>
      <c r="R24" s="245"/>
      <c r="S24" s="245"/>
      <c r="T24" s="245"/>
      <c r="U24" s="245"/>
      <c r="V24" s="245"/>
    </row>
    <row r="25" spans="1:22" hidden="1">
      <c r="A25" s="153">
        <f>'Project&amp;Support'!B11</f>
        <v>0</v>
      </c>
      <c r="B25" s="153">
        <f>'Project&amp;Support'!H11</f>
        <v>0</v>
      </c>
      <c r="C25" s="399"/>
      <c r="D25" s="247" t="str">
        <f>IF('Project&amp;Support'!J11&lt;&gt;"",'Project&amp;Support'!J11,"")</f>
        <v/>
      </c>
      <c r="E25" s="247" t="str">
        <f>IF('Project&amp;Support'!K11&lt;&gt;"",'Project&amp;Support'!K11,"")</f>
        <v/>
      </c>
      <c r="F25" s="247" t="str">
        <f>IF('Project&amp;Support'!L11&lt;&gt;"",'Project&amp;Support'!L11,"")</f>
        <v/>
      </c>
      <c r="G25" s="247" t="str">
        <f>IF('Project&amp;Support'!M11&lt;&gt;"",'Project&amp;Support'!M11,"")</f>
        <v/>
      </c>
      <c r="H25" s="247" t="str">
        <f>IF('Project&amp;Support'!N11&lt;&gt;"",'Project&amp;Support'!N11,"")</f>
        <v/>
      </c>
      <c r="I25" s="247" t="str">
        <f>IF('Project&amp;Support'!O11&lt;&gt;"",'Project&amp;Support'!O11,"")</f>
        <v/>
      </c>
      <c r="J25" s="247" t="str">
        <f>IF('Project&amp;Support'!P11&lt;&gt;"",'Project&amp;Support'!P11,"")</f>
        <v/>
      </c>
      <c r="K25" s="247" t="str">
        <f>IF('Project&amp;Support'!Q11&lt;&gt;"",'Project&amp;Support'!Q11,"")</f>
        <v/>
      </c>
      <c r="L25" s="247" t="str">
        <f>IF('Project&amp;Support'!R11&lt;&gt;"",'Project&amp;Support'!R11,"")</f>
        <v/>
      </c>
      <c r="M25" s="247" t="str">
        <f>IF('Project&amp;Support'!S11&lt;&gt;"",'Project&amp;Support'!S11,"")</f>
        <v/>
      </c>
      <c r="N25" s="247" t="str">
        <f>IF('Project&amp;Support'!T11&lt;&gt;"",'Project&amp;Support'!T11,"")</f>
        <v/>
      </c>
      <c r="O25" s="247" t="str">
        <f>IF('Project&amp;Support'!U11&lt;&gt;"",'Project&amp;Support'!U11,"")</f>
        <v/>
      </c>
      <c r="P25" s="247" t="str">
        <f>IF('Project&amp;Support'!V11&lt;&gt;"",'Project&amp;Support'!V11,"")</f>
        <v/>
      </c>
      <c r="Q25" s="247" t="str">
        <f>IF('Project&amp;Support'!W11&lt;&gt;"",'Project&amp;Support'!W11,"")</f>
        <v/>
      </c>
      <c r="R25" s="247" t="str">
        <f>IF('Project&amp;Support'!X11&lt;&gt;"",'Project&amp;Support'!X11,"")</f>
        <v/>
      </c>
      <c r="S25" s="247" t="str">
        <f>IF('Project&amp;Support'!Y11&lt;&gt;"",'Project&amp;Support'!Y11,"")</f>
        <v/>
      </c>
      <c r="T25" s="247" t="str">
        <f>IF('Project&amp;Support'!Z11&lt;&gt;"",'Project&amp;Support'!Z11,"")</f>
        <v/>
      </c>
      <c r="U25" s="247" t="str">
        <f>IF('Project&amp;Support'!AA11&lt;&gt;"",'Project&amp;Support'!AA11,"")</f>
        <v/>
      </c>
    </row>
    <row r="26" spans="1:22" ht="18.5">
      <c r="A26" s="243"/>
      <c r="B26" s="243"/>
      <c r="C26" s="243"/>
      <c r="D26" s="244"/>
      <c r="E26" s="244"/>
      <c r="F26" s="244"/>
      <c r="G26" s="244"/>
      <c r="H26" s="244"/>
      <c r="I26" s="244"/>
      <c r="J26" s="244"/>
      <c r="K26" s="244"/>
      <c r="L26" s="244"/>
      <c r="M26" s="244"/>
      <c r="N26" s="244"/>
      <c r="O26" s="244"/>
      <c r="P26" s="244"/>
      <c r="Q26" s="244"/>
      <c r="R26" s="244"/>
      <c r="S26" s="244"/>
      <c r="T26" s="244"/>
      <c r="U26" s="244"/>
    </row>
    <row r="27" spans="1:22">
      <c r="D27" s="247" t="s">
        <v>1174</v>
      </c>
      <c r="E27" s="234" t="s">
        <v>1217</v>
      </c>
      <c r="G27" s="247" t="s">
        <v>1188</v>
      </c>
      <c r="H27" s="150" t="s">
        <v>1218</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3" t="s">
        <v>1124</v>
      </c>
      <c r="B1" s="203" t="s">
        <v>1126</v>
      </c>
      <c r="C1" s="226" t="s">
        <v>1125</v>
      </c>
      <c r="D1" s="203" t="s">
        <v>382</v>
      </c>
      <c r="E1" s="203" t="s">
        <v>1129</v>
      </c>
    </row>
    <row r="2" spans="1:5" ht="63" customHeight="1">
      <c r="A2" s="529" t="str">
        <f>_xlfn.CONCAT('P1PA-SS'!B138,"(",'P1PA-SS'!B139,")")</f>
        <v>All projects(AP)</v>
      </c>
      <c r="B2" s="228" t="str">
        <f>'Project&amp;Support'!B3</f>
        <v>P1-Falcon9</v>
      </c>
      <c r="C2" s="229">
        <f>'Project&amp;Support'!AB3</f>
        <v>10</v>
      </c>
      <c r="D2" s="228" t="str">
        <f>'Project&amp;Support'!C3</f>
        <v>Falcon project description</v>
      </c>
      <c r="E2" s="529" t="str">
        <f>_xlfn.CONCAT(StartupInfo!B5,", ",StartupInfo!B6,", ",StartupInfo!B7,CHAR(13),CHAR(10),StartupInfo!B8,", ",StartupInfo!B9)</f>
        <v>Room 1, Dome 1, No. 1 First Street, Base Alpha City_x000D_
Tharsis, Planet04</v>
      </c>
    </row>
    <row r="3" spans="1:5" ht="63" customHeight="1">
      <c r="A3" s="529"/>
      <c r="B3" s="228" t="str">
        <f>'Project&amp;Support'!B4</f>
        <v>P2-Raptor</v>
      </c>
      <c r="C3" s="229">
        <f>'Project&amp;Support'!AB4</f>
        <v>11</v>
      </c>
      <c r="D3" s="228" t="str">
        <f>'Project&amp;Support'!C4</f>
        <v>Raptor project description</v>
      </c>
      <c r="E3" s="529"/>
    </row>
    <row r="4" spans="1:5" ht="63" customHeight="1">
      <c r="A4" s="529"/>
      <c r="B4" s="228" t="str">
        <f>'Project&amp;Support'!B5</f>
        <v>P3-Starship</v>
      </c>
      <c r="C4" s="229">
        <f>'Project&amp;Support'!AB5</f>
        <v>9</v>
      </c>
      <c r="D4" s="228" t="str">
        <f>'Project&amp;Support'!C5</f>
        <v>Startship project description</v>
      </c>
      <c r="E4" s="529"/>
    </row>
    <row r="5" spans="1:5" ht="63" customHeight="1">
      <c r="A5" s="529"/>
      <c r="B5" s="228" t="str">
        <f>'Project&amp;Support'!B6</f>
        <v>P4-SupperHeavy</v>
      </c>
      <c r="C5" s="229">
        <f>'Project&amp;Support'!AB6</f>
        <v>7</v>
      </c>
      <c r="D5" s="228" t="str">
        <f>'Project&amp;Support'!C6</f>
        <v>Super Heavy description</v>
      </c>
      <c r="E5" s="529"/>
    </row>
    <row r="6" spans="1:5" ht="42" hidden="1">
      <c r="A6" s="529"/>
      <c r="B6" s="228" t="str">
        <f>'Project&amp;Support'!B7</f>
        <v>S1-CM</v>
      </c>
      <c r="C6" s="229">
        <f>'Project&amp;Support'!AB7</f>
        <v>1</v>
      </c>
      <c r="D6" s="228" t="str">
        <f>'Project&amp;Support'!C7</f>
        <v>The Configuration Management (CM) function, manages baselines for projects and the organisation.</v>
      </c>
      <c r="E6" s="529"/>
    </row>
    <row r="7" spans="1:5" ht="105" hidden="1">
      <c r="A7" s="529"/>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29"/>
    </row>
    <row r="8" spans="1:5" ht="63" hidden="1">
      <c r="A8" s="529"/>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29"/>
    </row>
    <row r="9" spans="1:5" ht="42" hidden="1">
      <c r="A9" s="529"/>
      <c r="B9" s="228" t="str">
        <f>'Project&amp;Support'!B10</f>
        <v>S4-PPQA</v>
      </c>
      <c r="C9" s="229">
        <f>'Project&amp;Support'!AB10</f>
        <v>1</v>
      </c>
      <c r="D9" s="228" t="str">
        <f>'Project&amp;Support'!C10</f>
        <v xml:space="preserve">The Process and Product Quality Assurance (PPQA) team manage and performs process quality assurance. </v>
      </c>
      <c r="E9" s="529"/>
    </row>
    <row r="10" spans="1:5" ht="21" hidden="1">
      <c r="A10" s="529"/>
      <c r="B10" s="228">
        <f>'Project&amp;Support'!B11</f>
        <v>0</v>
      </c>
      <c r="C10" s="229">
        <f>'Project&amp;Support'!AB11</f>
        <v>0</v>
      </c>
      <c r="D10" s="228">
        <f>'Project&amp;Support'!C11</f>
        <v>0</v>
      </c>
      <c r="E10" s="529"/>
    </row>
    <row r="11" spans="1:5" ht="21" hidden="1">
      <c r="A11" s="529"/>
      <c r="B11" s="228">
        <f>'Project&amp;Support'!B12</f>
        <v>0</v>
      </c>
      <c r="C11" s="229">
        <f>'Project&amp;Support'!AB12</f>
        <v>0</v>
      </c>
      <c r="D11" s="228">
        <f>'Project&amp;Support'!C12</f>
        <v>0</v>
      </c>
      <c r="E11" s="529"/>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1124</v>
      </c>
      <c r="B15" s="203" t="s">
        <v>1127</v>
      </c>
      <c r="C15" s="226" t="s">
        <v>1125</v>
      </c>
      <c r="D15" s="203" t="s">
        <v>382</v>
      </c>
      <c r="E15" s="203"/>
    </row>
    <row r="16" spans="1:5" ht="42">
      <c r="A16" s="526" t="s">
        <v>1128</v>
      </c>
      <c r="B16" s="228" t="str">
        <f>'Project&amp;Support'!B7</f>
        <v>S1-CM</v>
      </c>
      <c r="C16" s="230">
        <f>'Project&amp;Support'!AB7</f>
        <v>1</v>
      </c>
      <c r="D16" s="228" t="str">
        <f>'Project&amp;Support'!C7</f>
        <v>The Configuration Management (CM) function, manages baselines for projects and the organisation.</v>
      </c>
      <c r="E16" s="530" t="str">
        <f>StartupInfo!B11</f>
        <v>Room 1, Dome 1, No. 1 First Street, Base Alpha City, Tharsis, Planet04, China</v>
      </c>
    </row>
    <row r="17" spans="1:5" ht="105">
      <c r="A17" s="527"/>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1"/>
    </row>
    <row r="18" spans="1:5" ht="63">
      <c r="A18" s="527"/>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1"/>
    </row>
    <row r="19" spans="1:5" ht="42">
      <c r="A19" s="527"/>
      <c r="B19" s="228" t="str">
        <f>'Project&amp;Support'!B10</f>
        <v>S4-PPQA</v>
      </c>
      <c r="C19" s="230">
        <f>'Project&amp;Support'!AB10</f>
        <v>1</v>
      </c>
      <c r="D19" s="228" t="str">
        <f>'Project&amp;Support'!C10</f>
        <v xml:space="preserve">The Process and Product Quality Assurance (PPQA) team manage and performs process quality assurance. </v>
      </c>
      <c r="E19" s="531"/>
    </row>
    <row r="20" spans="1:5" ht="126" hidden="1" customHeight="1">
      <c r="A20" s="527"/>
      <c r="B20" s="228">
        <f>'Project&amp;Support'!B11</f>
        <v>0</v>
      </c>
      <c r="C20" s="230">
        <f>'Project&amp;Support'!AB11</f>
        <v>0</v>
      </c>
      <c r="D20" s="228">
        <f>'Project&amp;Support'!C11</f>
        <v>0</v>
      </c>
      <c r="E20" s="531"/>
    </row>
    <row r="21" spans="1:5" ht="126" hidden="1" customHeight="1">
      <c r="A21" s="528"/>
      <c r="B21" s="228">
        <f>'Project&amp;Support'!B12</f>
        <v>0</v>
      </c>
      <c r="C21" s="230">
        <f>'Project&amp;Support'!AB12</f>
        <v>0</v>
      </c>
      <c r="D21" s="228">
        <f>'Project&amp;Support'!C12</f>
        <v>0</v>
      </c>
      <c r="E21" s="532"/>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85"/>
    <col min="2" max="2" width="39.7265625" style="385" customWidth="1"/>
    <col min="3" max="3" width="40.1796875" style="385" customWidth="1"/>
    <col min="4" max="4" width="64.26953125" style="385" customWidth="1"/>
    <col min="5" max="5" width="39.7265625" style="385" customWidth="1"/>
    <col min="6" max="16384" width="8.7265625" style="385"/>
  </cols>
  <sheetData>
    <row r="2" spans="2:5">
      <c r="B2" s="383" t="s">
        <v>1111</v>
      </c>
      <c r="C2" s="383" t="s">
        <v>1112</v>
      </c>
      <c r="D2" s="383" t="s">
        <v>1113</v>
      </c>
      <c r="E2" s="383" t="s">
        <v>848</v>
      </c>
    </row>
    <row r="3" spans="2:5" s="218" customFormat="1" ht="30" customHeight="1">
      <c r="B3" s="406" t="s">
        <v>593</v>
      </c>
      <c r="C3" s="406" t="str">
        <f>'Agreement 3'!B28</f>
        <v>Prof Kessler, Donald</v>
      </c>
      <c r="D3" s="406"/>
      <c r="E3" s="407">
        <f>'P1PA-SS'!B69</f>
        <v>44302</v>
      </c>
    </row>
    <row r="4" spans="2:5" s="218" customFormat="1" ht="30" customHeight="1">
      <c r="B4" s="406" t="s">
        <v>1115</v>
      </c>
      <c r="C4" s="406" t="str">
        <f>'Agreement 3'!B7</f>
        <v>van Zyl, Pieter</v>
      </c>
      <c r="D4" s="406"/>
      <c r="E4" s="407">
        <f>E3</f>
        <v>44302</v>
      </c>
    </row>
    <row r="5" spans="2:5" s="218" customFormat="1" ht="30" customHeight="1">
      <c r="B5" s="406" t="s">
        <v>1114</v>
      </c>
      <c r="C5" s="406" t="str">
        <f>'P1PA-SS'!B91</f>
        <v>ATM-1</v>
      </c>
      <c r="D5" s="406"/>
      <c r="E5" s="407">
        <f>E4</f>
        <v>44302</v>
      </c>
    </row>
    <row r="6" spans="2:5" s="218" customFormat="1" ht="30" customHeight="1">
      <c r="B6" s="406" t="s">
        <v>1114</v>
      </c>
      <c r="C6" s="406" t="str">
        <f>'P1PA-SS'!B92</f>
        <v>ATM-2</v>
      </c>
      <c r="D6" s="406"/>
      <c r="E6" s="407">
        <f>E5</f>
        <v>44302</v>
      </c>
    </row>
    <row r="7" spans="2:5" s="218" customFormat="1" ht="30" customHeight="1">
      <c r="B7" s="406" t="s">
        <v>1114</v>
      </c>
      <c r="C7" s="406" t="str">
        <f>'P1PA-SS'!B93</f>
        <v>ATM-3</v>
      </c>
      <c r="D7" s="406"/>
      <c r="E7" s="407">
        <f t="shared" ref="E7:E13" si="0">E6</f>
        <v>44302</v>
      </c>
    </row>
    <row r="8" spans="2:5" s="218" customFormat="1" ht="30" customHeight="1">
      <c r="B8" s="406" t="s">
        <v>1114</v>
      </c>
      <c r="C8" s="406" t="str">
        <f>'P1PA-SS'!B94</f>
        <v>ATM-4</v>
      </c>
      <c r="D8" s="406"/>
      <c r="E8" s="407">
        <f t="shared" si="0"/>
        <v>44302</v>
      </c>
    </row>
    <row r="9" spans="2:5" s="218" customFormat="1" ht="30" customHeight="1">
      <c r="B9" s="406" t="s">
        <v>1114</v>
      </c>
      <c r="C9" s="406" t="str">
        <f>'P1PA-SS'!B95</f>
        <v>ATM-5</v>
      </c>
      <c r="D9" s="406"/>
      <c r="E9" s="407">
        <f t="shared" si="0"/>
        <v>44302</v>
      </c>
    </row>
    <row r="10" spans="2:5" s="218" customFormat="1" ht="30" customHeight="1">
      <c r="B10" s="406" t="s">
        <v>1114</v>
      </c>
      <c r="C10" s="406" t="str">
        <f>'P1PA-SS'!B96</f>
        <v>ATM-6</v>
      </c>
      <c r="D10" s="406"/>
      <c r="E10" s="407">
        <f t="shared" si="0"/>
        <v>44302</v>
      </c>
    </row>
    <row r="11" spans="2:5" s="218" customFormat="1" ht="30" customHeight="1">
      <c r="B11" s="406" t="s">
        <v>1114</v>
      </c>
      <c r="C11" s="406" t="str">
        <f>'P1PA-SS'!B97</f>
        <v>ATM-7</v>
      </c>
      <c r="D11" s="406"/>
      <c r="E11" s="407">
        <f t="shared" si="0"/>
        <v>44302</v>
      </c>
    </row>
    <row r="12" spans="2:5" s="218" customFormat="1" ht="30" customHeight="1">
      <c r="B12" s="406" t="s">
        <v>1114</v>
      </c>
      <c r="C12" s="406" t="str">
        <f>'P1PA-SS'!B98</f>
        <v>ATM-8</v>
      </c>
      <c r="D12" s="406"/>
      <c r="E12" s="407">
        <f t="shared" si="0"/>
        <v>44302</v>
      </c>
    </row>
    <row r="13" spans="2:5" s="218" customFormat="1" ht="30" customHeight="1">
      <c r="B13" s="406" t="s">
        <v>1114</v>
      </c>
      <c r="C13" s="406" t="str">
        <f>'P1PA-SS'!B99</f>
        <v>ATM-9</v>
      </c>
      <c r="D13" s="406"/>
      <c r="E13" s="407">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85"/>
    <col min="2" max="2" width="9.453125" style="385" customWidth="1"/>
    <col min="3" max="3" width="54.54296875" style="218" customWidth="1"/>
    <col min="4" max="4" width="61" style="218" customWidth="1"/>
    <col min="5" max="16384" width="8.7265625" style="385"/>
  </cols>
  <sheetData>
    <row r="1" spans="2:13">
      <c r="E1" s="384"/>
      <c r="F1" s="384"/>
      <c r="G1" s="384"/>
      <c r="H1" s="384"/>
      <c r="I1" s="384"/>
      <c r="J1" s="384"/>
      <c r="K1" s="384"/>
      <c r="L1" s="384"/>
      <c r="M1" s="384"/>
    </row>
    <row r="2" spans="2:13">
      <c r="B2" s="533" t="s">
        <v>1121</v>
      </c>
      <c r="C2" s="534"/>
      <c r="D2" s="534"/>
      <c r="E2" s="384"/>
      <c r="F2" s="384"/>
      <c r="G2" s="384"/>
      <c r="H2" s="384"/>
      <c r="I2" s="384"/>
      <c r="J2" s="384"/>
      <c r="K2" s="384"/>
      <c r="L2" s="384"/>
      <c r="M2" s="384"/>
    </row>
    <row r="3" spans="2:13" ht="31">
      <c r="B3" s="411">
        <v>1</v>
      </c>
      <c r="C3" s="406" t="s">
        <v>1220</v>
      </c>
      <c r="D3" s="406" t="s">
        <v>1221</v>
      </c>
    </row>
    <row r="4" spans="2:13" ht="31">
      <c r="B4" s="411">
        <v>2</v>
      </c>
      <c r="C4" s="406" t="s">
        <v>1222</v>
      </c>
      <c r="D4" s="406" t="s">
        <v>1223</v>
      </c>
    </row>
    <row r="5" spans="2:13" ht="31">
      <c r="B5" s="411">
        <v>3</v>
      </c>
      <c r="C5" s="406" t="s">
        <v>1224</v>
      </c>
      <c r="D5" s="406" t="s">
        <v>1225</v>
      </c>
    </row>
    <row r="6" spans="2:13">
      <c r="B6" s="411">
        <v>4</v>
      </c>
      <c r="C6" s="406" t="s">
        <v>1122</v>
      </c>
      <c r="D6" s="406" t="s">
        <v>1123</v>
      </c>
    </row>
    <row r="7" spans="2:13" ht="31">
      <c r="B7" s="411">
        <v>5</v>
      </c>
      <c r="C7" s="406" t="s">
        <v>1226</v>
      </c>
      <c r="D7" s="406" t="s">
        <v>1227</v>
      </c>
    </row>
    <row r="8" spans="2:13" hidden="1">
      <c r="B8" s="411">
        <v>6</v>
      </c>
      <c r="C8" s="406"/>
      <c r="D8" s="406"/>
    </row>
    <row r="9" spans="2:13" hidden="1">
      <c r="B9" s="411">
        <v>7</v>
      </c>
      <c r="C9" s="406"/>
      <c r="D9" s="406"/>
    </row>
    <row r="10" spans="2:13" hidden="1">
      <c r="B10" s="411">
        <v>8</v>
      </c>
      <c r="C10" s="406"/>
      <c r="D10" s="406"/>
    </row>
    <row r="11" spans="2:13" hidden="1">
      <c r="B11" s="411">
        <v>9</v>
      </c>
      <c r="C11" s="406"/>
      <c r="D11" s="406"/>
    </row>
    <row r="12" spans="2:13" hidden="1">
      <c r="B12" s="411">
        <v>10</v>
      </c>
      <c r="C12" s="406"/>
      <c r="D12" s="406"/>
    </row>
    <row r="13" spans="2:13" hidden="1">
      <c r="B13" s="411">
        <v>11</v>
      </c>
      <c r="C13" s="406"/>
      <c r="D13" s="406"/>
    </row>
    <row r="14" spans="2:13" hidden="1">
      <c r="B14" s="411">
        <v>12</v>
      </c>
      <c r="C14" s="406"/>
      <c r="D14" s="406"/>
    </row>
    <row r="15" spans="2:13" hidden="1">
      <c r="B15" s="411">
        <v>13</v>
      </c>
      <c r="C15" s="406"/>
      <c r="D15" s="406"/>
    </row>
    <row r="16" spans="2:13" hidden="1">
      <c r="B16" s="411">
        <v>14</v>
      </c>
      <c r="C16" s="406"/>
      <c r="D16" s="406"/>
    </row>
    <row r="17" spans="2:4">
      <c r="B17" s="217"/>
      <c r="D17" s="408"/>
    </row>
    <row r="18" spans="2:4">
      <c r="B18" s="533" t="s">
        <v>1120</v>
      </c>
      <c r="C18" s="534"/>
      <c r="D18" s="534"/>
    </row>
    <row r="19" spans="2:4" ht="31">
      <c r="B19" s="411">
        <v>1</v>
      </c>
      <c r="C19" s="406" t="s">
        <v>1228</v>
      </c>
      <c r="D19" s="406" t="s">
        <v>1229</v>
      </c>
    </row>
    <row r="20" spans="2:4" ht="46.5">
      <c r="B20" s="411">
        <v>2</v>
      </c>
      <c r="C20" s="406" t="s">
        <v>1230</v>
      </c>
      <c r="D20" s="406" t="s">
        <v>1231</v>
      </c>
    </row>
    <row r="21" spans="2:4" ht="46.5">
      <c r="B21" s="411">
        <v>3</v>
      </c>
      <c r="C21" s="406" t="s">
        <v>1232</v>
      </c>
      <c r="D21" s="406" t="s">
        <v>1233</v>
      </c>
    </row>
    <row r="22" spans="2:4" ht="46.5">
      <c r="B22" s="411">
        <v>4</v>
      </c>
      <c r="C22" s="406" t="s">
        <v>1234</v>
      </c>
      <c r="D22" s="406" t="s">
        <v>1235</v>
      </c>
    </row>
    <row r="23" spans="2:4" ht="46.5">
      <c r="B23" s="411">
        <v>5</v>
      </c>
      <c r="C23" s="406" t="s">
        <v>1236</v>
      </c>
      <c r="D23" s="406" t="s">
        <v>1237</v>
      </c>
    </row>
    <row r="24" spans="2:4" hidden="1">
      <c r="B24" s="411">
        <v>6</v>
      </c>
      <c r="C24" s="406"/>
      <c r="D24" s="406"/>
    </row>
    <row r="25" spans="2:4" hidden="1">
      <c r="B25" s="411">
        <v>7</v>
      </c>
      <c r="C25" s="406"/>
      <c r="D25" s="406"/>
    </row>
    <row r="26" spans="2:4" hidden="1">
      <c r="B26" s="411">
        <v>8</v>
      </c>
      <c r="C26" s="406"/>
      <c r="D26" s="406"/>
    </row>
    <row r="27" spans="2:4" hidden="1">
      <c r="B27" s="411">
        <v>9</v>
      </c>
      <c r="C27" s="406"/>
      <c r="D27" s="406"/>
    </row>
    <row r="28" spans="2:4" hidden="1">
      <c r="B28" s="411">
        <v>10</v>
      </c>
      <c r="C28" s="406"/>
      <c r="D28" s="406"/>
    </row>
    <row r="29" spans="2:4" hidden="1">
      <c r="B29" s="411">
        <v>11</v>
      </c>
      <c r="C29" s="406"/>
      <c r="D29" s="406"/>
    </row>
    <row r="30" spans="2:4" hidden="1">
      <c r="B30" s="411">
        <v>12</v>
      </c>
      <c r="C30" s="406"/>
      <c r="D30" s="406"/>
    </row>
    <row r="31" spans="2:4" hidden="1">
      <c r="B31" s="411">
        <v>13</v>
      </c>
      <c r="C31" s="406"/>
      <c r="D31" s="406"/>
    </row>
    <row r="32" spans="2:4" hidden="1">
      <c r="B32" s="411">
        <v>14</v>
      </c>
      <c r="C32" s="406"/>
      <c r="D32" s="406"/>
    </row>
    <row r="33" spans="2:4">
      <c r="B33" s="216"/>
      <c r="C33" s="412"/>
      <c r="D33" s="409"/>
    </row>
    <row r="95" spans="2:4" s="410" customFormat="1">
      <c r="B95" s="385"/>
      <c r="C95" s="218"/>
      <c r="D95" s="218"/>
    </row>
    <row r="96" spans="2:4" s="410" customFormat="1">
      <c r="B96" s="385"/>
      <c r="C96" s="218"/>
      <c r="D96" s="218"/>
    </row>
    <row r="107" spans="2:4">
      <c r="B107" s="410"/>
      <c r="C107" s="408"/>
      <c r="D107" s="408"/>
    </row>
    <row r="108" spans="2:4">
      <c r="B108" s="410"/>
      <c r="C108" s="408"/>
      <c r="D108" s="408"/>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289</v>
      </c>
    </row>
    <row r="4" spans="2:38">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1175</v>
      </c>
    </row>
    <row r="5" spans="2:38">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795</v>
      </c>
    </row>
    <row r="6" spans="2:38">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796</v>
      </c>
    </row>
    <row r="7" spans="2:38">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797</v>
      </c>
    </row>
    <row r="8" spans="2:38">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38">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1176</v>
      </c>
    </row>
    <row r="10" spans="2:38">
      <c r="B10" t="s">
        <v>40</v>
      </c>
      <c r="D10" t="s">
        <v>298</v>
      </c>
      <c r="E10" t="s">
        <v>411</v>
      </c>
      <c r="L10" t="s">
        <v>434</v>
      </c>
      <c r="N10" t="s">
        <v>448</v>
      </c>
      <c r="T10" s="16" t="s">
        <v>617</v>
      </c>
      <c r="Z10" t="s">
        <v>646</v>
      </c>
      <c r="AB10" t="s">
        <v>665</v>
      </c>
      <c r="AD10" t="s">
        <v>674</v>
      </c>
      <c r="AF10" t="s">
        <v>691</v>
      </c>
      <c r="AJ10" s="16" t="s">
        <v>434</v>
      </c>
      <c r="AL10" t="s">
        <v>434</v>
      </c>
    </row>
    <row r="11" spans="2:38">
      <c r="B11" t="s">
        <v>41</v>
      </c>
      <c r="D11" t="s">
        <v>299</v>
      </c>
      <c r="E11" t="s">
        <v>411</v>
      </c>
      <c r="N11" t="s">
        <v>449</v>
      </c>
      <c r="T11" s="16" t="s">
        <v>434</v>
      </c>
      <c r="Z11" t="s">
        <v>647</v>
      </c>
      <c r="AB11" t="s">
        <v>434</v>
      </c>
      <c r="AD11" t="s">
        <v>434</v>
      </c>
      <c r="AF11" t="s">
        <v>692</v>
      </c>
    </row>
    <row r="12" spans="2:38">
      <c r="B12" t="s">
        <v>42</v>
      </c>
      <c r="D12" t="s">
        <v>300</v>
      </c>
      <c r="E12" t="s">
        <v>411</v>
      </c>
      <c r="N12" t="s">
        <v>450</v>
      </c>
      <c r="Z12" t="s">
        <v>648</v>
      </c>
      <c r="AF12" t="s">
        <v>693</v>
      </c>
    </row>
    <row r="13" spans="2:38">
      <c r="B13" t="s">
        <v>43</v>
      </c>
      <c r="D13" t="s">
        <v>301</v>
      </c>
      <c r="E13" t="s">
        <v>411</v>
      </c>
      <c r="N13" t="s">
        <v>451</v>
      </c>
      <c r="Z13" t="s">
        <v>649</v>
      </c>
      <c r="AF13" t="s">
        <v>694</v>
      </c>
    </row>
    <row r="14" spans="2:38">
      <c r="B14" t="s">
        <v>273</v>
      </c>
      <c r="D14" t="s">
        <v>302</v>
      </c>
      <c r="E14" t="s">
        <v>411</v>
      </c>
      <c r="N14" t="s">
        <v>452</v>
      </c>
      <c r="Z14" t="s">
        <v>650</v>
      </c>
      <c r="AF14" t="s">
        <v>695</v>
      </c>
    </row>
    <row r="15" spans="2:38">
      <c r="B15" t="s">
        <v>44</v>
      </c>
      <c r="D15" t="s">
        <v>303</v>
      </c>
      <c r="E15" t="s">
        <v>411</v>
      </c>
      <c r="N15" t="s">
        <v>453</v>
      </c>
      <c r="Z15" t="s">
        <v>651</v>
      </c>
      <c r="AF15" t="s">
        <v>696</v>
      </c>
    </row>
    <row r="16" spans="2:38">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947</v>
      </c>
      <c r="V36" s="76">
        <v>1</v>
      </c>
      <c r="W36" s="76">
        <v>2</v>
      </c>
      <c r="X36" s="76">
        <v>3</v>
      </c>
      <c r="Y36" s="76">
        <v>4</v>
      </c>
      <c r="Z36" s="76">
        <v>5</v>
      </c>
    </row>
    <row r="37" spans="2:31">
      <c r="B37" t="s">
        <v>65</v>
      </c>
      <c r="D37" t="s">
        <v>325</v>
      </c>
      <c r="E37" t="s">
        <v>411</v>
      </c>
      <c r="N37" t="s">
        <v>475</v>
      </c>
      <c r="U37" t="s">
        <v>895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896</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892</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910</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911</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893</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889</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890</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883</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894</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836</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885</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886</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891</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897</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884</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887</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1341</v>
      </c>
    </row>
    <row r="2" spans="1:3">
      <c r="A2" s="125" t="s">
        <v>1342</v>
      </c>
      <c r="B2" s="125" t="s">
        <v>1369</v>
      </c>
      <c r="C2" s="125" t="s">
        <v>1370</v>
      </c>
    </row>
    <row r="3" spans="1:3">
      <c r="A3" s="125" t="s">
        <v>886</v>
      </c>
      <c r="B3" s="125" t="s">
        <v>1361</v>
      </c>
      <c r="C3" s="125" t="s">
        <v>1343</v>
      </c>
    </row>
    <row r="4" spans="1:3">
      <c r="A4" s="125" t="s">
        <v>836</v>
      </c>
      <c r="B4" s="125" t="s">
        <v>1344</v>
      </c>
      <c r="C4" s="125" t="s">
        <v>1344</v>
      </c>
    </row>
    <row r="5" spans="1:3">
      <c r="A5" s="125" t="s">
        <v>887</v>
      </c>
      <c r="B5" s="125" t="s">
        <v>1345</v>
      </c>
      <c r="C5" s="125" t="s">
        <v>1345</v>
      </c>
    </row>
    <row r="6" spans="1:3">
      <c r="A6" s="125" t="s">
        <v>885</v>
      </c>
      <c r="B6" s="125" t="s">
        <v>1362</v>
      </c>
      <c r="C6" s="125" t="s">
        <v>1346</v>
      </c>
    </row>
    <row r="7" spans="1:3">
      <c r="A7" s="125" t="s">
        <v>884</v>
      </c>
      <c r="B7" s="125" t="s">
        <v>1363</v>
      </c>
      <c r="C7" s="125" t="s">
        <v>1347</v>
      </c>
    </row>
    <row r="8" spans="1:3">
      <c r="A8" s="125" t="s">
        <v>883</v>
      </c>
      <c r="B8" s="125" t="s">
        <v>1348</v>
      </c>
      <c r="C8" s="125" t="s">
        <v>1348</v>
      </c>
    </row>
    <row r="9" spans="1:3">
      <c r="A9" s="125" t="s">
        <v>892</v>
      </c>
      <c r="B9" s="125" t="s">
        <v>1349</v>
      </c>
      <c r="C9" s="125" t="s">
        <v>1349</v>
      </c>
    </row>
    <row r="10" spans="1:3">
      <c r="A10" s="125" t="s">
        <v>894</v>
      </c>
      <c r="B10" s="125" t="s">
        <v>1364</v>
      </c>
      <c r="C10" s="125" t="s">
        <v>1350</v>
      </c>
    </row>
    <row r="11" spans="1:3">
      <c r="A11" s="125" t="s">
        <v>893</v>
      </c>
      <c r="B11" s="125" t="s">
        <v>1365</v>
      </c>
      <c r="C11" s="125" t="s">
        <v>1351</v>
      </c>
    </row>
    <row r="12" spans="1:3">
      <c r="A12" s="125" t="s">
        <v>891</v>
      </c>
      <c r="B12" s="125" t="s">
        <v>1366</v>
      </c>
      <c r="C12" s="125" t="s">
        <v>1352</v>
      </c>
    </row>
    <row r="13" spans="1:3">
      <c r="A13" s="125" t="s">
        <v>753</v>
      </c>
      <c r="B13" s="125" t="s">
        <v>31</v>
      </c>
      <c r="C13" s="125" t="s">
        <v>1353</v>
      </c>
    </row>
    <row r="14" spans="1:3">
      <c r="A14" s="125" t="s">
        <v>895</v>
      </c>
      <c r="B14" s="125" t="s">
        <v>32</v>
      </c>
      <c r="C14" s="125" t="s">
        <v>1354</v>
      </c>
    </row>
    <row r="15" spans="1:3">
      <c r="A15" s="125" t="s">
        <v>896</v>
      </c>
      <c r="B15" s="125" t="s">
        <v>33</v>
      </c>
      <c r="C15" s="125" t="s">
        <v>1355</v>
      </c>
    </row>
    <row r="16" spans="1:3">
      <c r="A16" s="125" t="s">
        <v>751</v>
      </c>
      <c r="B16" s="125" t="s">
        <v>34</v>
      </c>
      <c r="C16" s="125" t="s">
        <v>1356</v>
      </c>
    </row>
    <row r="17" spans="1:3">
      <c r="A17" s="125" t="s">
        <v>890</v>
      </c>
      <c r="B17" s="125" t="s">
        <v>35</v>
      </c>
      <c r="C17" s="125" t="s">
        <v>1357</v>
      </c>
    </row>
    <row r="18" spans="1:3">
      <c r="A18" s="125" t="s">
        <v>889</v>
      </c>
      <c r="B18" s="125" t="s">
        <v>17</v>
      </c>
      <c r="C18" s="125" t="s">
        <v>32</v>
      </c>
    </row>
    <row r="19" spans="1:3">
      <c r="A19" s="125" t="s">
        <v>888</v>
      </c>
      <c r="B19" s="125" t="s">
        <v>1367</v>
      </c>
      <c r="C19" s="125" t="s">
        <v>1358</v>
      </c>
    </row>
    <row r="20" spans="1:3">
      <c r="A20" s="125" t="s">
        <v>910</v>
      </c>
      <c r="C20" s="125" t="s">
        <v>34</v>
      </c>
    </row>
    <row r="21" spans="1:3">
      <c r="A21" s="125" t="s">
        <v>911</v>
      </c>
      <c r="C21" s="125" t="s">
        <v>35</v>
      </c>
    </row>
    <row r="22" spans="1:3">
      <c r="C22" s="125" t="s">
        <v>1359</v>
      </c>
    </row>
    <row r="23" spans="1:3">
      <c r="C23" s="125" t="s">
        <v>1360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2021-03-28T09:57:00Z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