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2.xml" ContentType="application/vnd.openxmlformats-officedocument.drawing+xml"/>
  <Override PartName="/xl/ctrlProps/ctrlProp13.xml" ContentType="application/vnd.ms-excel.controlproperties+xml"/>
  <Override PartName="/xl/ctrlProps/ctrlProp14.xml" ContentType="application/vnd.ms-excel.controlproperties+xml"/>
  <Override PartName="/xl/drawings/drawing3.xml" ContentType="application/vnd.openxmlformats-officedocument.drawing+xml"/>
  <Override PartName="/xl/ctrlProps/ctrlProp15.xml" ContentType="application/vnd.ms-excel.controlproperties+xml"/>
  <Override PartName="/xl/ctrlProps/ctrlProp1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1-04-12to04-16 (A5) C53517 SoftMARS\01_BASEfiles\"/>
    </mc:Choice>
  </mc:AlternateContent>
  <xr:revisionPtr revIDLastSave="0" documentId="13_ncr:1_{25F65EB7-41D5-48FA-B8C0-53679F913E13}" xr6:coauthVersionLast="47" xr6:coauthVersionMax="47" xr10:uidLastSave="{00000000-0000-0000-0000-000000000000}"/>
  <bookViews>
    <workbookView xWindow="-108" yWindow="-108" windowWidth="23256" windowHeight="12456" firstSheet="1" activeTab="1" xr2:uid="{DF0DF075-FE65-459D-9833-135D7336D6FF}"/>
    <workbookView xWindow="960" yWindow="-15240" windowWidth="26895" windowHeight="13995" activeTab="12" xr2:uid="{4BB092FF-5F87-4578-98B9-D48C5032D955}"/>
  </bookViews>
  <sheets>
    <sheet name="Tools" sheetId="74" r:id="rId1"/>
    <sheet name="FindingsDB" sheetId="76" r:id="rId2"/>
    <sheet name="QuestionsDB" sheetId="125" r:id="rId3"/>
    <sheet name="Sheet1" sheetId="126" r:id="rId4"/>
    <sheet name="Revision" sheetId="41" r:id="rId5"/>
    <sheet name="OpenClose" sheetId="97" r:id="rId6"/>
    <sheet name="tmp" sheetId="98" r:id="rId7"/>
    <sheet name="ou" sheetId="99" r:id="rId8"/>
    <sheet name="ou-gov&amp;ii" sheetId="100" r:id="rId9"/>
    <sheet name="Findings" sheetId="101" r:id="rId10"/>
    <sheet name="Template1" sheetId="102" r:id="rId11"/>
    <sheet name="Template2" sheetId="103" r:id="rId12"/>
    <sheet name="GOV" sheetId="104" r:id="rId13"/>
    <sheet name="II" sheetId="105" r:id="rId14"/>
    <sheet name="CM" sheetId="106" r:id="rId15"/>
    <sheet name="PQA" sheetId="107" r:id="rId16"/>
    <sheet name="MPM" sheetId="108" r:id="rId17"/>
    <sheet name="CAR" sheetId="109" r:id="rId18"/>
    <sheet name="PAD" sheetId="110" r:id="rId19"/>
    <sheet name="EST" sheetId="111" r:id="rId20"/>
    <sheet name="PCM" sheetId="112" r:id="rId21"/>
    <sheet name="OT" sheetId="113" r:id="rId22"/>
    <sheet name="DAR" sheetId="114" r:id="rId23"/>
    <sheet name="MC" sheetId="115" r:id="rId24"/>
    <sheet name="PR" sheetId="116" r:id="rId25"/>
    <sheet name="RSK" sheetId="117" r:id="rId26"/>
    <sheet name="PLAN" sheetId="118" r:id="rId27"/>
    <sheet name="RDM" sheetId="119" r:id="rId28"/>
    <sheet name="PI" sheetId="120" r:id="rId29"/>
    <sheet name="TS" sheetId="121" r:id="rId30"/>
    <sheet name="VV" sheetId="122" r:id="rId31"/>
    <sheet name="SAM" sheetId="123" r:id="rId32"/>
    <sheet name="Tables" sheetId="96" r:id="rId33"/>
  </sheets>
  <externalReferences>
    <externalReference r:id="rId34"/>
    <externalReference r:id="rId35"/>
    <externalReference r:id="rId36"/>
  </externalReferences>
  <definedNames>
    <definedName name="_xlnm._FilterDatabase" localSheetId="9" hidden="1">Findings!$A$1:$C$38</definedName>
    <definedName name="_xlnm._FilterDatabase" localSheetId="1" hidden="1">FindingsDB!$A$4:$G$5</definedName>
    <definedName name="_xlnm._FilterDatabase" localSheetId="2" hidden="1">QuestionsDB!$A$4:$I$221</definedName>
    <definedName name="_xlnm.Print_Area" localSheetId="7">ou!$A$1:$W$40</definedName>
    <definedName name="_xlnm.Print_Area" localSheetId="8">'ou-gov&amp;ii'!$A$1:$U$37</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32">Tables!$B$2:$B$6</definedName>
    <definedName name="tbl_practiceCharacterization">#REF!</definedName>
    <definedName name="tbl_practiceGroupRated" localSheetId="32">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target">[2]Tables!$F$5:$F$9</definedName>
    <definedName name="tbl_timezone">[2]Tables!$N$5:$N$143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7" i="123" l="1"/>
  <c r="G7" i="122"/>
  <c r="G7" i="121"/>
  <c r="G7" i="120"/>
  <c r="G7" i="117"/>
  <c r="G7" i="116"/>
  <c r="G7" i="115"/>
  <c r="G7" i="111"/>
  <c r="J76" i="99"/>
  <c r="J75" i="99"/>
  <c r="J74" i="99"/>
  <c r="C74" i="99"/>
  <c r="J73" i="99"/>
  <c r="C73" i="99"/>
  <c r="J72" i="99"/>
  <c r="J71" i="99"/>
  <c r="J70" i="99"/>
  <c r="J69" i="99"/>
  <c r="C69" i="99"/>
  <c r="V68" i="99"/>
  <c r="O68" i="99"/>
  <c r="M68" i="99"/>
  <c r="J68" i="99"/>
  <c r="G68" i="99"/>
  <c r="C68" i="99"/>
  <c r="O67" i="99"/>
  <c r="M67" i="99"/>
  <c r="J67" i="99"/>
  <c r="G67" i="99"/>
  <c r="C67" i="99"/>
  <c r="R66" i="99"/>
  <c r="L66" i="99"/>
  <c r="T65" i="99"/>
  <c r="R65" i="99"/>
  <c r="M65" i="99"/>
  <c r="L65" i="99"/>
  <c r="K65" i="99"/>
  <c r="J65" i="99"/>
  <c r="T64" i="99"/>
  <c r="S64" i="99"/>
  <c r="R64" i="99"/>
  <c r="M64" i="99"/>
  <c r="L64" i="99"/>
  <c r="K64" i="99"/>
  <c r="J64" i="99"/>
  <c r="C64" i="99"/>
  <c r="T63" i="99"/>
  <c r="S63" i="99"/>
  <c r="R63" i="99"/>
  <c r="O63" i="99"/>
  <c r="M63" i="99"/>
  <c r="L63" i="99"/>
  <c r="K63" i="99"/>
  <c r="J63" i="99"/>
  <c r="I63" i="99"/>
  <c r="C63" i="99"/>
  <c r="T62" i="99"/>
  <c r="S62" i="99"/>
  <c r="R62" i="99"/>
  <c r="O62" i="99"/>
  <c r="N62" i="99"/>
  <c r="M62" i="99"/>
  <c r="L62" i="99"/>
  <c r="K62" i="99"/>
  <c r="J62" i="99"/>
  <c r="I62" i="99"/>
  <c r="H62" i="99"/>
  <c r="C62" i="99"/>
  <c r="V61" i="99"/>
  <c r="U61" i="99"/>
  <c r="T61" i="99"/>
  <c r="S61" i="99"/>
  <c r="R61" i="99"/>
  <c r="O61" i="99"/>
  <c r="N61" i="99"/>
  <c r="M61" i="99"/>
  <c r="L61" i="99"/>
  <c r="K61" i="99"/>
  <c r="J61" i="99"/>
  <c r="I61" i="99"/>
  <c r="H61" i="99"/>
  <c r="G61" i="99"/>
  <c r="F61" i="99"/>
  <c r="C61" i="99"/>
  <c r="V60" i="99"/>
  <c r="U60" i="99"/>
  <c r="T60" i="99"/>
  <c r="S60" i="99"/>
  <c r="R60" i="99"/>
  <c r="Q60" i="99"/>
  <c r="P60" i="99"/>
  <c r="O60" i="99"/>
  <c r="N60" i="99"/>
  <c r="M60" i="99"/>
  <c r="L60" i="99"/>
  <c r="K60" i="99"/>
  <c r="J60" i="99"/>
  <c r="I60" i="99"/>
  <c r="H60" i="99"/>
  <c r="G60" i="99"/>
  <c r="F60" i="99"/>
  <c r="E60" i="99"/>
  <c r="C60" i="99"/>
  <c r="V59" i="99"/>
  <c r="U59" i="99"/>
  <c r="T59" i="99"/>
  <c r="S59" i="99"/>
  <c r="R59" i="99"/>
  <c r="Q59" i="99"/>
  <c r="P59" i="99"/>
  <c r="O59" i="99"/>
  <c r="N59" i="99"/>
  <c r="M59" i="99"/>
  <c r="L59" i="99"/>
  <c r="K59" i="99"/>
  <c r="J59" i="99"/>
  <c r="I59" i="99"/>
  <c r="H59" i="99"/>
  <c r="G59" i="99"/>
  <c r="F59" i="99"/>
  <c r="E59" i="99"/>
  <c r="C59" i="99"/>
  <c r="O58" i="99"/>
  <c r="O57" i="99"/>
  <c r="R56" i="99"/>
  <c r="O56" i="99"/>
  <c r="N56" i="99"/>
  <c r="J56" i="99"/>
  <c r="D56" i="99"/>
  <c r="R55" i="99"/>
  <c r="O55" i="99"/>
  <c r="N55" i="99"/>
  <c r="J55" i="99"/>
  <c r="E55" i="99"/>
  <c r="D55" i="99"/>
  <c r="V54" i="99"/>
  <c r="R54" i="99"/>
  <c r="Q54" i="99"/>
  <c r="P54" i="99"/>
  <c r="O54" i="99"/>
  <c r="N54" i="99"/>
  <c r="J54" i="99"/>
  <c r="I54" i="99"/>
  <c r="G54" i="99"/>
  <c r="E54" i="99"/>
  <c r="D54" i="99"/>
  <c r="V53" i="99"/>
  <c r="U53" i="99"/>
  <c r="T53" i="99"/>
  <c r="R53" i="99"/>
  <c r="Q53" i="99"/>
  <c r="P53" i="99"/>
  <c r="O53" i="99"/>
  <c r="N53" i="99"/>
  <c r="L53" i="99"/>
  <c r="J53" i="99"/>
  <c r="I53" i="99"/>
  <c r="G53" i="99"/>
  <c r="F53" i="99"/>
  <c r="E53" i="99"/>
  <c r="D53" i="99"/>
  <c r="V52" i="99"/>
  <c r="U52" i="99"/>
  <c r="T52" i="99"/>
  <c r="S52" i="99"/>
  <c r="R52" i="99"/>
  <c r="Q52" i="99"/>
  <c r="P52" i="99"/>
  <c r="O52" i="99"/>
  <c r="N52" i="99"/>
  <c r="M52" i="99"/>
  <c r="L52" i="99"/>
  <c r="K52" i="99"/>
  <c r="J52" i="99"/>
  <c r="I52" i="99"/>
  <c r="H52" i="99"/>
  <c r="G52" i="99"/>
  <c r="F52" i="99"/>
  <c r="E52" i="99"/>
  <c r="D52" i="99"/>
  <c r="C52" i="99"/>
  <c r="V51" i="99"/>
  <c r="U51" i="99"/>
  <c r="T51" i="99"/>
  <c r="S51" i="99"/>
  <c r="R51" i="99"/>
  <c r="Q51" i="99"/>
  <c r="P51" i="99"/>
  <c r="O51" i="99"/>
  <c r="N51" i="99"/>
  <c r="M51" i="99"/>
  <c r="L51" i="99"/>
  <c r="K51" i="99"/>
  <c r="J51" i="99"/>
  <c r="I51" i="99"/>
  <c r="H51" i="99"/>
  <c r="G51" i="99"/>
  <c r="F51" i="99"/>
  <c r="E51" i="99"/>
  <c r="D51" i="99"/>
  <c r="C51" i="99"/>
  <c r="U50" i="99"/>
  <c r="T50" i="99"/>
  <c r="S50" i="99"/>
  <c r="R50" i="99"/>
  <c r="Q50" i="99"/>
  <c r="P50" i="99"/>
  <c r="O50" i="99"/>
  <c r="N50" i="99"/>
  <c r="M50" i="99"/>
  <c r="L50" i="99"/>
  <c r="K50" i="99"/>
  <c r="J50" i="99"/>
  <c r="I50" i="99"/>
  <c r="H50" i="99"/>
  <c r="G50" i="99"/>
  <c r="F50" i="99"/>
  <c r="E50" i="99"/>
  <c r="D50" i="99"/>
  <c r="C50" i="99"/>
  <c r="V49" i="99"/>
  <c r="M49" i="99"/>
  <c r="V48" i="99"/>
  <c r="U48" i="99"/>
  <c r="O48" i="99"/>
  <c r="M48" i="99"/>
  <c r="J48" i="99"/>
  <c r="I48" i="99"/>
  <c r="E48" i="99"/>
  <c r="V47" i="99"/>
  <c r="U47" i="99"/>
  <c r="T47" i="99"/>
  <c r="S47" i="99"/>
  <c r="R47" i="99"/>
  <c r="Q47" i="99"/>
  <c r="P47" i="99"/>
  <c r="O47" i="99"/>
  <c r="N47" i="99"/>
  <c r="M47" i="99"/>
  <c r="L47" i="99"/>
  <c r="K47" i="99"/>
  <c r="J47" i="99"/>
  <c r="I47" i="99"/>
  <c r="H47" i="99"/>
  <c r="G47" i="99"/>
  <c r="F47" i="99"/>
  <c r="E47" i="99"/>
  <c r="D47" i="99"/>
  <c r="C47" i="99"/>
  <c r="V46" i="99"/>
  <c r="U46" i="99"/>
  <c r="T46" i="99"/>
  <c r="S46" i="99"/>
  <c r="R46" i="99"/>
  <c r="Q46" i="99"/>
  <c r="P46" i="99"/>
  <c r="O46" i="99"/>
  <c r="N46" i="99"/>
  <c r="M46" i="99"/>
  <c r="L46" i="99"/>
  <c r="K46" i="99"/>
  <c r="J46" i="99"/>
  <c r="I46" i="99"/>
  <c r="H46" i="99"/>
  <c r="G46" i="99"/>
  <c r="F46" i="99"/>
  <c r="E46" i="99"/>
  <c r="D46" i="99"/>
  <c r="C46" i="99"/>
</calcChain>
</file>

<file path=xl/sharedStrings.xml><?xml version="1.0" encoding="utf-8"?>
<sst xmlns="http://schemas.openxmlformats.org/spreadsheetml/2006/main" count="3629" uniqueCount="1638">
  <si>
    <t>Version</t>
  </si>
  <si>
    <t>Date updated</t>
  </si>
  <si>
    <t>Description of update</t>
  </si>
  <si>
    <t>Updated by</t>
  </si>
  <si>
    <t>Fix the VV3.2 error in tab:ou. Put notes in tab:ou and tab:ou-gov&amp;ii about 1) links that are still manual and 2) processes that are still to be taken manually from CAS plan.</t>
  </si>
  <si>
    <t>Pieter van Zyl</t>
  </si>
  <si>
    <t>Deleted the row (1.4) in tmp, OU, and ou-gov&amp;ii tabs</t>
  </si>
  <si>
    <t>Jared</t>
  </si>
  <si>
    <t>Standard interview</t>
  </si>
  <si>
    <t>Introduce appraisal team</t>
  </si>
  <si>
    <t>Explain purpose of interview and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</si>
  <si>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</si>
  <si>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</si>
  <si>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</si>
  <si>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</si>
  <si>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</si>
  <si>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</si>
  <si>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</si>
  <si>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</si>
  <si>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</si>
  <si>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</si>
  <si>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</si>
  <si>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</si>
  <si>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</si>
  <si>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</si>
  <si>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</si>
  <si>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</si>
  <si>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</si>
  <si>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</si>
  <si>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</si>
  <si>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</si>
  <si>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</si>
  <si>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</si>
  <si>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</si>
  <si>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</si>
  <si>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</si>
  <si>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</si>
  <si>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</si>
  <si>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</si>
  <si>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</si>
  <si>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</si>
  <si>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</si>
  <si>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</si>
  <si>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</si>
  <si>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</si>
  <si>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</si>
  <si>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</si>
  <si>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</si>
  <si>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</si>
  <si>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</si>
  <si>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</si>
  <si>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</si>
  <si>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</si>
  <si>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</si>
  <si>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</si>
  <si>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Level 1</t>
  </si>
  <si>
    <t>-</t>
  </si>
  <si>
    <t>U</t>
  </si>
  <si>
    <t>OoS</t>
  </si>
  <si>
    <t>DM</t>
  </si>
  <si>
    <t>PM</t>
  </si>
  <si>
    <t>LM</t>
  </si>
  <si>
    <t>Level 2</t>
  </si>
  <si>
    <t>FM</t>
  </si>
  <si>
    <t>Level 3</t>
  </si>
  <si>
    <t>Level 4</t>
  </si>
  <si>
    <t>Level 5</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</si>
  <si>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</si>
  <si>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</si>
  <si>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</si>
  <si>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</si>
  <si>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</si>
  <si>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</si>
  <si>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</si>
  <si>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</si>
  <si>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</si>
  <si>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</si>
  <si>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</si>
  <si>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</si>
  <si>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</si>
  <si>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</si>
  <si>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</si>
  <si>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</si>
  <si>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</si>
  <si>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</si>
  <si>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</si>
  <si>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</si>
  <si>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</si>
  <si>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</si>
  <si>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</si>
  <si>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</si>
  <si>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</si>
  <si>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Affirm.
Yes | No</t>
  </si>
  <si>
    <t>Questions</t>
  </si>
  <si>
    <t>Weakness</t>
  </si>
  <si>
    <t>Strength</t>
  </si>
  <si>
    <t>Recommendations</t>
  </si>
  <si>
    <t>Rating/
Char</t>
  </si>
  <si>
    <t>Notes</t>
  </si>
  <si>
    <t>Update
Y</t>
  </si>
  <si>
    <t>1 Prac_Group</t>
  </si>
  <si>
    <t>2 Prac_OU</t>
  </si>
  <si>
    <t>GOV 1.1</t>
  </si>
  <si>
    <t>Example Work products</t>
  </si>
  <si>
    <t>Example Activities</t>
  </si>
  <si>
    <t>3 Process</t>
  </si>
  <si>
    <t>Engineering process</t>
  </si>
  <si>
    <t>4 Prac_Instan</t>
  </si>
  <si>
    <t>Project A</t>
  </si>
  <si>
    <t>[Project management] (ABC)</t>
  </si>
  <si>
    <t>5 OE</t>
  </si>
  <si>
    <t>Evidence name</t>
  </si>
  <si>
    <t>link</t>
  </si>
  <si>
    <t>engl</t>
  </si>
  <si>
    <t>none</t>
  </si>
  <si>
    <t>OE DB</t>
  </si>
  <si>
    <t>2 Prac_OU2</t>
  </si>
  <si>
    <t>Intent</t>
  </si>
  <si>
    <t>Value</t>
  </si>
  <si>
    <t>Fully Meets</t>
  </si>
  <si>
    <t>Largely  Meets</t>
  </si>
  <si>
    <t>Adequate OE is judged sufficient to demonstrate that the intent and value of the practice is met, and one or more weaknesses are identified.</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</si>
  <si>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</si>
  <si>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</si>
  <si>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</si>
  <si>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</si>
  <si>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</si>
  <si>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</si>
  <si>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</si>
  <si>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</si>
  <si>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</si>
  <si>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</si>
  <si>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</si>
  <si>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PRODUCT INTEGRATION</t>
  </si>
  <si>
    <t>Integrate and deliver the solution that addresses functionality and quality requirements.</t>
  </si>
  <si>
    <t>Increases customers' satisfaction by giving them a solution that meets or exceeds their functionality and quality requirements.</t>
  </si>
  <si>
    <t>PI 1.1</t>
  </si>
  <si>
    <t>- How do you assemble the solution and deliver it to the customer?
如何组装解决方案并交付给客户</t>
  </si>
  <si>
    <t>ok file</t>
  </si>
  <si>
    <t>PI 2.1</t>
  </si>
  <si>
    <t>- Describe your integration strategy.
描述集成策略</t>
  </si>
  <si>
    <t>PI 2.2</t>
  </si>
  <si>
    <t>- Describe your integration environment.
描述集成环境</t>
  </si>
  <si>
    <t>PI 2.3</t>
  </si>
  <si>
    <t>- Descried the procedures and criteria you use to integrate components and solutions?
描述用于集成解决方案和组件地规程和准则</t>
  </si>
  <si>
    <t>PI 2.4</t>
  </si>
  <si>
    <t>PI 2.5</t>
  </si>
  <si>
    <t>- How do you evaluate integrated components to ensure conformance to the solution's requirements and design?
如何评价集成地组件以确保其符合解决方案地需求和设计</t>
  </si>
  <si>
    <t>PI 2.6</t>
  </si>
  <si>
    <t>- What is your integration strategy?
集成策略是什么</t>
  </si>
  <si>
    <t>PI 3.1</t>
  </si>
  <si>
    <t>- How do you review and keep updated interface or connection descriptions for coverage, completeness, and consistency throughout the solution's life?
在整个解决方案地生命周期中，如何评审并持续更新接口或连接描述地覆盖范围、完整性和一致性？</t>
  </si>
  <si>
    <t>PI 3.2</t>
  </si>
  <si>
    <t>Confirm, prior to integration, that component interfaces or connections comply with interface or connection descriptions.
在集成之前，确认组件地接口或连接符合接口或连接描述</t>
  </si>
  <si>
    <t>- How do you confirm, prior to integration, that component interfaces or connections comply with interface or connection descriptions?
在集成之前，如何确认组件地接口或连接符合接口或连接描述</t>
  </si>
  <si>
    <t>PI 3.3</t>
  </si>
  <si>
    <t>- How do you evaluate integrated components for interface or connection compatibility?
图和评价已集成组件地接口或连接地兼容性</t>
  </si>
  <si>
    <t>TECHNICAL SOLUTION</t>
  </si>
  <si>
    <t>Design and build solutions that meet customer requirements.</t>
  </si>
  <si>
    <t>TS 1.1</t>
  </si>
  <si>
    <t>- Do you build solutions that meet requirements?
如何构建能够满足需求的解决方案？</t>
  </si>
  <si>
    <t>TS 2.1</t>
  </si>
  <si>
    <t>- Describe how you design and build a solution to meet the requirements?
如何设计和构建能够满足需求的解决方案？</t>
  </si>
  <si>
    <t>TS 2.2</t>
  </si>
  <si>
    <t>- How do you evaluate the designs (reviews) and how do you address identified issues?
如何评估设计并解决识别的问题？</t>
  </si>
  <si>
    <t>TS 2.3</t>
  </si>
  <si>
    <t>- What guidance do you (as designer) provide on the use of the solution (user manuals, instellation manuals)?
提供那些解决方案使用指南？</t>
  </si>
  <si>
    <t>TS 3.1</t>
  </si>
  <si>
    <t>- What criteria do you (user) develop for design decisions?
会制定哪些设计决策标准？</t>
  </si>
  <si>
    <t>TS 3.2</t>
  </si>
  <si>
    <t>- What alternative solutions for selected components do you make?
会制定哪些针对选定组件的备选解决方案？</t>
  </si>
  <si>
    <t>TS 3.3</t>
  </si>
  <si>
    <t>- How do you perform, build, buy or reuse decisions?
如何执行构建、采购或复用分析？</t>
  </si>
  <si>
    <t>TS 3.4</t>
  </si>
  <si>
    <t>- How do you use criteria to select your solutions?
如何使用设计标准选择解决方案？</t>
  </si>
  <si>
    <t>TS 3.5</t>
  </si>
  <si>
    <t>- How do you develop, keep updates, and use information needed to implement the design?
如何制定、保持更新并采用实现设计所需的信息？</t>
  </si>
  <si>
    <t>TS 3.6</t>
  </si>
  <si>
    <t>PROCESS QUALITY ASSURANCE</t>
  </si>
  <si>
    <t>Verify and enable improvement of the quality of the performed processes and resulting work products.</t>
  </si>
  <si>
    <t>Increases the consistent use and improvement of the processes to maximize business benefit and customer satisfaction.</t>
  </si>
  <si>
    <t>PQA 1.1</t>
  </si>
  <si>
    <t>- How do you identify work products and processes for process quality assurance?
'如何识别工作产品和过程以保证过程质量？</t>
  </si>
  <si>
    <t>PQA 2.1</t>
  </si>
  <si>
    <t>Develop, keep updated, and follow a quality assurance approach and plan based on historical quality data.
根据历史质量数据开发、持续更新并遵循质量保证方法和计划</t>
  </si>
  <si>
    <t>PQA 2.2</t>
  </si>
  <si>
    <t>PQA 2.3</t>
  </si>
  <si>
    <t>PQA 2.4</t>
  </si>
  <si>
    <t>- PQA reports stored</t>
  </si>
  <si>
    <t>- PQA reports stored under CM</t>
  </si>
  <si>
    <t>- Where do you record the results of quality assurance activities?
'将记录质量保证活动的结果记录在哪里</t>
  </si>
  <si>
    <t>PQA 3.1</t>
  </si>
  <si>
    <t>- Identify quality trends and register improvements or training needs based on them</t>
  </si>
  <si>
    <t>- How do you record and use the results of quality assurance activities?
'如何记录和使用质量保证活动的结果？</t>
  </si>
  <si>
    <t>PEER REVIEWS</t>
  </si>
  <si>
    <t>Identify and address work product issues through reviews by the producer's peers or Subject Matter Experts (SMEs).</t>
  </si>
  <si>
    <t>Reduce cost and rework by uncovering issues or defects early.</t>
  </si>
  <si>
    <t>PR 1.1</t>
  </si>
  <si>
    <t>- What peer reviews do you (process actor) perform or are performed on your work products?
对哪些工作产品进行同行评审</t>
  </si>
  <si>
    <t>PR 2.1</t>
  </si>
  <si>
    <t>- What procedures do you use to prepare and perform peer reviews?
准备和执行同行评审的步骤有哪些</t>
  </si>
  <si>
    <t>PR 2.2</t>
  </si>
  <si>
    <t>- What works products (generated by the process actor) are selected for peer reviews?
选择进行同行评审的工作产品有哪些？</t>
  </si>
  <si>
    <t>PR 2.3</t>
  </si>
  <si>
    <t>- Can you describe the peer review process, how is it performed from preparation to end?
同行评审的既定程序有哪些？请描述</t>
  </si>
  <si>
    <t>PR 2.4</t>
  </si>
  <si>
    <t>- What do you do with issues identified during peer reviews?
如何解决同行评审中发现的问题</t>
  </si>
  <si>
    <t>PR 3.1</t>
  </si>
  <si>
    <t>- What do you do with the results of peer reviews?
如何分析从同行评审得到的结果和数据</t>
  </si>
  <si>
    <t>REQUIREMENTS DEVELOPMENT AND MANAGEMENT</t>
  </si>
  <si>
    <t>Elicit requirements, ensure common understanding by stakeholders, and align requirements, plans, and work products.</t>
  </si>
  <si>
    <t>Ensures that customer's needs and expectations are satisfied.</t>
  </si>
  <si>
    <t>RDM 1.1</t>
  </si>
  <si>
    <t>- What requirements have you documented (or recorded)
会记录哪些需求？</t>
  </si>
  <si>
    <t>RDM 2.1</t>
  </si>
  <si>
    <t>- How do you elicit (extract) stakeholder needs, expectations, constraints, and interfaces (or connections)?
如何抽取利益相关方地需求、期望、约束条件和接口或连接？</t>
  </si>
  <si>
    <t>RDM 2.2</t>
  </si>
  <si>
    <t>- How do you transform stakeholder needs, expectations, contains, and interfaces (or connections) into prioritized customer requirements?
如何将利益相关方地需求、期望、约束条件、接口或连接转化为优先地客户需求</t>
  </si>
  <si>
    <t>RDM 2.3</t>
  </si>
  <si>
    <t>- How do you developed and understanding with the requirements provider on the meaning of the requirements?
如何与需求提供者就需求地含义达成一致？</t>
  </si>
  <si>
    <t>RDM 2.4</t>
  </si>
  <si>
    <t>- How (or what) commitments do you obtain from project participants (developers, testers, etc) that they can implement the requirements?
可以获得项目参与者地什么承诺，使得这些需求可以落实</t>
  </si>
  <si>
    <t>RDM 2.5</t>
  </si>
  <si>
    <t>RDM 2.6</t>
  </si>
  <si>
    <t>RDM 3.1</t>
  </si>
  <si>
    <t>RDM 3.2</t>
  </si>
  <si>
    <t>- What operational concepts and scenarios do you develop for requirements?
针对需求开发哪些操作概念和场景？</t>
  </si>
  <si>
    <t>RDM 3.3</t>
  </si>
  <si>
    <t>- How do you allocate requirements for implementation?
如何分配要落实地需求？</t>
  </si>
  <si>
    <t>RDM 3.4</t>
  </si>
  <si>
    <t>- How do you identify, develop, and keep updated interfaces or connection requirements?
如何识别、开发并持续更新接口或连接需求？</t>
  </si>
  <si>
    <t>RDM 3.5</t>
  </si>
  <si>
    <t>- How do you ensure requirements are necessary and sufficient?
如何确保需求是必要且充分的？</t>
  </si>
  <si>
    <t>RDM 3.6</t>
  </si>
  <si>
    <t>- How do you balance stakeholder needs and constraints?
如何在利益相关方地需求和约束条件之间取得平衡？</t>
  </si>
  <si>
    <t>RDM 3.7</t>
  </si>
  <si>
    <t>- How do you validate requirements to ensure the resulting solution will perform as intended in the target environment?
如何 确认需求，以确保生成地解决方案在目标环境中按照预期工作？</t>
  </si>
  <si>
    <t>VERIFICATION AND VALIDATION</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</si>
  <si>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</si>
  <si>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</si>
  <si>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</si>
  <si>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</si>
  <si>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 What validation do you perform to ensure solutions function in the intended target environment?
执行哪些确认来确保解决方案在目标环境下按预期运行？</t>
  </si>
  <si>
    <t>VV 2.1</t>
  </si>
  <si>
    <t>- How do you decide which components and the methods that will be followed for verification and validation?
如何选择用于验证和确认的组件和方法？</t>
  </si>
  <si>
    <t>VV 2.2</t>
  </si>
  <si>
    <t>- How do you setup, maintain and use the environment needed to support verification and validation?
如何开发、使用并保持更新支持验证和确认所需的环境？</t>
  </si>
  <si>
    <t>VV 2.3</t>
  </si>
  <si>
    <t>VV 3.1</t>
  </si>
  <si>
    <t>VV 3.2</t>
  </si>
  <si>
    <t>MANAGING PERFORMANCE AND MEASUREMENT</t>
  </si>
  <si>
    <t>Manage performance using measurement and analysis to achieve business objectives.</t>
  </si>
  <si>
    <t>Maximizes business return on investment by focusing management and improvement efforts on cost, schedule, and quality performance.</t>
  </si>
  <si>
    <t>MPM 1.1</t>
  </si>
  <si>
    <t>- Performance measurements.</t>
  </si>
  <si>
    <t>- Collect "available" data and distribute performance reprots.</t>
  </si>
  <si>
    <t>- What performance measurements do you collect?
会收集哪些性能指标？</t>
  </si>
  <si>
    <t>MPM 1.2</t>
  </si>
  <si>
    <t>- Performance issue analysis</t>
  </si>
  <si>
    <t>- Identify performance issues.</t>
  </si>
  <si>
    <t>- What performance issues do you identify?
会识别哪些性能问题？</t>
  </si>
  <si>
    <t>MPM 2.1</t>
  </si>
  <si>
    <t>- Do you identify your business needs and then derive measurement objectives from it?
会识别相应的业务需求，然后从中得出度量目标吗？</t>
  </si>
  <si>
    <t>MPM 2.2</t>
  </si>
  <si>
    <t>- What measurement operational definitions are specified (who to collect, what to collect, when to collect)?
有详细规定哪些度量项的操作性定义（谁收集，收集什么，何时收集）？</t>
  </si>
  <si>
    <t>MPM 2.3</t>
  </si>
  <si>
    <t>- Measurement database</t>
  </si>
  <si>
    <t>- Collecting measurements</t>
  </si>
  <si>
    <t>- Do you collect measurements according to the operation definiens? If yes, please elaborate?
是否根据操作定义收集收集度量项？如果是，请详细说明？</t>
  </si>
  <si>
    <t>MPM 2.4</t>
  </si>
  <si>
    <t>- Measurement reports according to GQIM sheet</t>
  </si>
  <si>
    <t>- Analysing measurements</t>
  </si>
  <si>
    <t>- Do you analyse performance according to the operation definiens? If yes, please elaborate?
您是否根据操作定义分析性能？如果是，请详细说明？</t>
  </si>
  <si>
    <t>MPM 2.5</t>
  </si>
  <si>
    <t>- Measurement repository</t>
  </si>
  <si>
    <t>- Storing measurement, reports and analysis</t>
  </si>
  <si>
    <t>- Do you store measurements and analysis results? If yes, please elaborate?
您是否会存储测量和分析结果？如果是，请详细说明？</t>
  </si>
  <si>
    <t>MPM 2.6</t>
  </si>
  <si>
    <t>- Corrective actions</t>
  </si>
  <si>
    <t>- Take corrective action on measurement results as appropriate</t>
  </si>
  <si>
    <t>- What actions to you take on issues identified from performance reports?
会对绩效报告中发现的问题采取了哪些措施？</t>
  </si>
  <si>
    <t>MPM 3.1</t>
  </si>
  <si>
    <t>- How are measurement objectives traced to business objectives?
度量目标是如何追溯到业务目标？</t>
  </si>
  <si>
    <t>MPM 3.2</t>
  </si>
  <si>
    <t>- Measurements process</t>
  </si>
  <si>
    <t>- Please explain how your measurement process functions?
请说明度量过程是怎样的？</t>
  </si>
  <si>
    <t>MPM 3.3</t>
  </si>
  <si>
    <t>- Data quality checks (within Measurements process)</t>
  </si>
  <si>
    <t>- How do you ensure data quality for measurements?
您如何确保度量数据的质量？</t>
  </si>
  <si>
    <t>MPM 3.4</t>
  </si>
  <si>
    <t>- Up to date organisational measurement repository</t>
  </si>
  <si>
    <t>- Do you have a measurement repository? If yes, what is it used for.
有度量库吗？主要用途是什么。</t>
  </si>
  <si>
    <t>MPM 3.5</t>
  </si>
  <si>
    <t>- Process improvements based on measurement analysis reports</t>
  </si>
  <si>
    <t>- How do you analyse organization performance?
如何分析组织性能？</t>
  </si>
  <si>
    <t>MPM 3.6</t>
  </si>
  <si>
    <t>- Organisational performance reports</t>
  </si>
  <si>
    <t>- How is performance results common communicated within the organisation?
如何在组织内部共同沟通绩效结果？</t>
  </si>
  <si>
    <t>MPM 4.1</t>
  </si>
  <si>
    <t>- Defined QPPOs traced to business objectives</t>
  </si>
  <si>
    <t>MPM 4.2</t>
  </si>
  <si>
    <t>- GQIM sheets that specify the QPPOs and its associated analytical techniques</t>
  </si>
  <si>
    <t>- How do you select measures and analyst techniques to quantitively mange performance to achieve quality and process performance objectives?
您如何选择度量和分析技术来量化管理性能以实现质量和流程绩效目标？</t>
  </si>
  <si>
    <t>MPM 4.3</t>
  </si>
  <si>
    <t>- Process Performance Baselines</t>
  </si>
  <si>
    <t>- How do you make use of statistical and other quantitative techniques to develop and analyse process performance baselines and keep them updated.
您如何利用统计和其他定量技术来开发和分析流程绩效基准并保持更新最新状态。</t>
  </si>
  <si>
    <t>MPM 4.4</t>
  </si>
  <si>
    <t>- Process Performance Models</t>
  </si>
  <si>
    <t>- How do you make use of statistical and other quantitative techniques to develop and analyse process performance models and keep them updated.
您如何利用统计和其他定量技术来开发和分析流程绩效基准并保持更新最新状态。</t>
  </si>
  <si>
    <t>MPM 4.5</t>
  </si>
  <si>
    <t>MPM 5.1</t>
  </si>
  <si>
    <t>- Revised business objectives  based on QPPO achievements</t>
  </si>
  <si>
    <t>- How do you make use of statistical and other quantitative techniques to ensure that business objectives are aligned with business strategy and performance.
您如何利用统计和其他定量技术来确保业务目标与业务战略和绩效保持一致。</t>
  </si>
  <si>
    <t>MPM 5.2</t>
  </si>
  <si>
    <t>- Revised PPB and PPM results based on improvements incorporated</t>
  </si>
  <si>
    <t>- How do you analyse performance data using statistical and other quantitative techniques to determine the organization's ability to satisfy selected business objectives and identify potential areas for performance improvement.
您如何使用统计和其他定量技术来分析性能数据，以确定组织满足选定业务目标的能力，并确定潜在的性能改进。</t>
  </si>
  <si>
    <t>MPM 5.3</t>
  </si>
  <si>
    <t>- Evaluate improvement proposals based on its potential to achieve or improve QPPOs towards business objectives</t>
  </si>
  <si>
    <t>- How do you select and implement improvement proposals, based on the statistical and quantitative analysis of the expected effect of proposed improvements on meeting business, quality, and process performance objectives.
对所建议的改进对满足业务，质量和过程性能目标达成的预期效果进行统计和定量分析，如何基于此分析结果来选择和实施改进建议。</t>
  </si>
  <si>
    <t>Develop and keep updated the process assets necessary to perform the work.</t>
  </si>
  <si>
    <t>Provides a capability to understand and repeat successful performance.</t>
  </si>
  <si>
    <t>PAD 1.1</t>
  </si>
  <si>
    <t>- Any process assets</t>
  </si>
  <si>
    <t>- Perform some form of process engineering</t>
  </si>
  <si>
    <t>- What processes assets is defined for your organisation?
组织定义的过程资产有哪些？</t>
  </si>
  <si>
    <t>PAD 2.1</t>
  </si>
  <si>
    <t>- What processes assets has been identified as needed?
多需要识别的过程资产有哪些？</t>
  </si>
  <si>
    <t>PAD 2.2</t>
  </si>
  <si>
    <t>- What processes assets has been developed (reused) or purchased?
已开发（复用）或购买了哪些流程资产？</t>
  </si>
  <si>
    <t>PAD 2.3</t>
  </si>
  <si>
    <t>- Processes and process template library on GitHub, SVN, Drobox or SharePoint</t>
  </si>
  <si>
    <t>- How is process assets made available to the organisation?
过程资产如何提供给组织？</t>
  </si>
  <si>
    <t>PAD 3.1</t>
  </si>
  <si>
    <t>- Organisational process for developing new and maintaining existing processes</t>
  </si>
  <si>
    <t>- What process is defined for developing process assets?
为开发过程资产定义了什么流程？</t>
  </si>
  <si>
    <t>PAD 3.2</t>
  </si>
  <si>
    <t>- What process architecture is in place describing the structure of the organization's processes?
哪种过体系结构描述了组织过程结构？</t>
  </si>
  <si>
    <t>PAD 3.3</t>
  </si>
  <si>
    <t>- Process Engineering Steering committee meetings</t>
  </si>
  <si>
    <t>- How are process assets made available for use in the organisation?
如何在组织中使用过程资产？</t>
  </si>
  <si>
    <t>PAD 3.4</t>
  </si>
  <si>
    <t>- What tailoring guidelines do you have for your standard process assets?
对标准过程资产的裁剪准则有哪些？</t>
  </si>
  <si>
    <t>PAD 3.5</t>
  </si>
  <si>
    <t>PAD 3.6</t>
  </si>
  <si>
    <t>- What work environment standards have been established and maintained?
建立并维护了哪些工作环境标准？</t>
  </si>
  <si>
    <t>PAD 3.7</t>
  </si>
  <si>
    <t>- What organisational measurement and analysis standards are available for use?
有哪些可用的组织度量和分析标准？</t>
  </si>
  <si>
    <t>PROCESS MANAGEMENT</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</si>
  <si>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</si>
  <si>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PCM 1.1</t>
  </si>
  <si>
    <t>- EPG structure</t>
  </si>
  <si>
    <t>- EPG developing processes</t>
  </si>
  <si>
    <t>- What process support structure (for example an EPG) do you have in place?
您拥有什么过程支持结构（例如EPG）？</t>
  </si>
  <si>
    <t>PCM 1.2</t>
  </si>
  <si>
    <t>- Appraisal report</t>
  </si>
  <si>
    <t>- What appraisals (CMMI, COBIT, ISO) have you done on your current processes?
对当前过程进行了哪些评估？(update)</t>
  </si>
  <si>
    <t>PCM 1.3</t>
  </si>
  <si>
    <t>- Process improvement register</t>
  </si>
  <si>
    <t>PCM 2.1</t>
  </si>
  <si>
    <t>- Subset of proposed improvements from the full list of suggested (identified) improvements.</t>
  </si>
  <si>
    <t>- Evaluate improvements to select most promising improvements</t>
  </si>
  <si>
    <t>PCM 2.2</t>
  </si>
  <si>
    <t>- Process improvement action plan (implementation plan)</t>
  </si>
  <si>
    <t>- What process improvement actions are followed to implement identified improvements?
采取了哪些过程改进措施以实现识别的改进？</t>
  </si>
  <si>
    <t>PCM 3.1</t>
  </si>
  <si>
    <t>- Business objective traced to process improvement objectives</t>
  </si>
  <si>
    <t>- How do you link your process improvement objectives to your business objectives?
如何将过程改进与业务目标联系起来？</t>
  </si>
  <si>
    <t>PCM 3.2</t>
  </si>
  <si>
    <t>- Process improvement value assessment</t>
  </si>
  <si>
    <t>- Identify major process improvements and their potential contribution to business objectives</t>
  </si>
  <si>
    <t>- How do you prioritise your process improvements?
如何确定过程改进的优先级？</t>
  </si>
  <si>
    <t>PCM 3.3</t>
  </si>
  <si>
    <t>- Evaluation results of new processes, techniques, methods or tools</t>
  </si>
  <si>
    <t>- How do you evaluate potential new improvements opportunities. Improvements include against processes, techniques, methods and tools?
您如何评估潜在的新的改进机会。改进包括针对过程，技术，方法和工具使用的改进嘛？</t>
  </si>
  <si>
    <t>PCM 3.4</t>
  </si>
  <si>
    <t>- What support is provided for implementing and deploying new process improvements?
为实施和部署新过程改进提供了哪些支持？</t>
  </si>
  <si>
    <t>PCM 3.5</t>
  </si>
  <si>
    <t>- Released process asset library</t>
  </si>
  <si>
    <t>- Develop a transition plan for projects to manage the deployment of new process releases</t>
  </si>
  <si>
    <t>- How are organisational standard processes and process assets deployed?
组织标准过程和过程资产如何部署？</t>
  </si>
  <si>
    <t>PCM 3.6</t>
  </si>
  <si>
    <t>- Process release effectiveness assessment against business objectives</t>
  </si>
  <si>
    <t>- How do you evaluate the effectiveness of improvements towards achieving business objectives?
如何评估对实现业务目标的改进效果？</t>
  </si>
  <si>
    <t>PCM 4.1</t>
  </si>
  <si>
    <t>Use statistical and other quantitative techniques to validate selected performance improvements against proposed improvement exceptions,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</si>
  <si>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</si>
  <si>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</si>
  <si>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</si>
  <si>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Identify, record, analyze, and manage potential risks or opportunities.</t>
  </si>
  <si>
    <t>Mitigate adverse impacts or capitalize on positive impacts to increase the likelihood of meeting objectives.</t>
  </si>
  <si>
    <t>RSK 1.1</t>
  </si>
  <si>
    <t>- How do you identify and record risks or opportunities and keep them updated?
如何识别、记录风险或机会并持续对其更新？</t>
  </si>
  <si>
    <t>RSK 2.1</t>
  </si>
  <si>
    <t>- How do you analyse identified risks or opportunities?
如何分析已识别地风险或机会</t>
  </si>
  <si>
    <t>RSK 2.2</t>
  </si>
  <si>
    <t>- How do you monitor identified risks or opportunities and comminate this tatus to affected stakeholders?
如何监控已识别地风险或机会并与受影响地干系人沟通风险或机会地状态？</t>
  </si>
  <si>
    <t>RSK 3.1</t>
  </si>
  <si>
    <t>- Explain how you make use of risk or opportunity categories?
如何使用风险或机会类别？</t>
  </si>
  <si>
    <t>RSK 3.2</t>
  </si>
  <si>
    <t>- What parameters for risk or opportunity analysis is defined and what is it used for?
定义用于风险或机会分析的参数用那些，如何使用？</t>
  </si>
  <si>
    <t>RSK 3.3</t>
  </si>
  <si>
    <t>- Explain any risk or opportunity management strategies that you may develop and maintain?
制定和持续更新风险或机会管理策略有哪些？</t>
  </si>
  <si>
    <t>RSK 3.4</t>
  </si>
  <si>
    <t>- Explain any risk or opportunity management plans that you may develop and maintain?
制定和持续更新风险或机会管理计划有哪些？</t>
  </si>
  <si>
    <t>RSK 3.5</t>
  </si>
  <si>
    <t>- Explain how you manage (mitigate) risk or opportunity items?
如何管理风险或机会？</t>
  </si>
  <si>
    <t>ORGANIZATIONAL TRAINING</t>
  </si>
  <si>
    <t>Develop the skills and knowledge of personnel so they perform their roles efficiently and effectively.</t>
  </si>
  <si>
    <t>Enhances individuals' skills and knowledge to improve organizational work performance.</t>
  </si>
  <si>
    <t>OT 1.1</t>
  </si>
  <si>
    <t>- Do you provide training to staff?
是否向员工提供培训</t>
  </si>
  <si>
    <t>OT 2.1</t>
  </si>
  <si>
    <t>- How do you identify training needs?
如何确定培训需求？</t>
  </si>
  <si>
    <t>OT 2.2</t>
  </si>
  <si>
    <t>- What training records do you maintain?
有哪些培训记录？</t>
  </si>
  <si>
    <t>OT 3.1</t>
  </si>
  <si>
    <t>OT 3.2</t>
  </si>
  <si>
    <t>- How is training needs between projects (and support functions) coordinated with organisational training needs?
项目（和支持职能）之间的培训需求如何与组织培训需求相协调一致？</t>
  </si>
  <si>
    <t>OT 3.3</t>
  </si>
  <si>
    <t>- How do you execute the strategic and short term training plans?
如何执行战略和短期培训计划？</t>
  </si>
  <si>
    <t>OT 3.4</t>
  </si>
  <si>
    <t>Develop, keep updated, and use a training capability to address organizational training needs.
开发、持续更新并使用培训能力来处理组织的培训需要</t>
  </si>
  <si>
    <t>- How do you establish and maintain a training capability for the organisation?
如何建立和维护组织的培训能力？</t>
  </si>
  <si>
    <t>OT 3.5</t>
  </si>
  <si>
    <t>- How do you assess the effectiveness of the organisation training program?
如何评估组织培训计划的有效性？</t>
  </si>
  <si>
    <t>OT 3.6</t>
  </si>
  <si>
    <t>- What training records to you establish ad maintain?
需要建立并维护哪些培训记录</t>
  </si>
  <si>
    <t>ESTIMATING</t>
  </si>
  <si>
    <t>EST 1.1</t>
  </si>
  <si>
    <t>- Make high level estimates of work effort, cost or duration</t>
  </si>
  <si>
    <t>- What high level estimates do you make?
有制定哪些粗略估算来执行工作？</t>
  </si>
  <si>
    <t>EST 2.1</t>
  </si>
  <si>
    <t>- Work scoping session</t>
  </si>
  <si>
    <t>- How do you scope the work (what is included and what is excluded)?
如何确定工作的估算范围，包含哪些？</t>
  </si>
  <si>
    <t>EST 2.2</t>
  </si>
  <si>
    <t>- Work package size estimates</t>
  </si>
  <si>
    <t>- Size the work packages</t>
  </si>
  <si>
    <t>- How do you size the work (FP, LOC, number of UCs, number of workstations, number of network points, number of data records, etc)?
如何估算工作规模（FP，LOC，UC数，工作站数，网络点数，数据记录数等）？</t>
  </si>
  <si>
    <t>EST 2.3</t>
  </si>
  <si>
    <t>- Use historical measurements and the size estimates to determine effort, duration or cost estimates</t>
  </si>
  <si>
    <t>- How do you use the size estimates to develop effort, duration and cost estimates?
如何根据规模估算来制定所需的工作量、周期和成本</t>
  </si>
  <si>
    <t>EST 3.1</t>
  </si>
  <si>
    <t>- Estimation algorithm (or method)</t>
  </si>
  <si>
    <t>- Explain how your estimation method works? Is this estimation method documented (recorded)?
解释一下如何制定并记录估算方法</t>
  </si>
  <si>
    <t>EST 3.2</t>
  </si>
  <si>
    <t>- Organisational measurement repository</t>
  </si>
  <si>
    <t>- Use the organisation measurement repository (historical data) as input into the estimation algorithm to derive new estimates for the current work package</t>
  </si>
  <si>
    <t>- How do you make use of the organisational measurement repository to perform your estimates?
如何使用组织的度量库和过程资产进行估算工作</t>
  </si>
  <si>
    <t>MONITOR AND CONTROL</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</si>
  <si>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</si>
  <si>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</si>
  <si>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</si>
  <si>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 How do you record completed tasks?
如何记录任务完成情况</t>
  </si>
  <si>
    <t>MC 1.2</t>
  </si>
  <si>
    <t>- Minutes with issues identified</t>
  </si>
  <si>
    <t>- How do you identify and resolve issues?
如何识别并解决问题</t>
  </si>
  <si>
    <t>MC 2.1</t>
  </si>
  <si>
    <t>- How do you track actual results achieved (size, effort, duration, or cost) against planned values?
如何从规模、工作量、进度、资源、知识和技能以及预算等方面，对比估算跟踪实际结果？</t>
  </si>
  <si>
    <t>MC 2.2</t>
  </si>
  <si>
    <t>- Meeting attendance registers</t>
  </si>
  <si>
    <t>MC 2.3</t>
  </si>
  <si>
    <t>- How do you monitor transitioning of solutions to operations and support?
如何监控向运营和支持的迁移</t>
  </si>
  <si>
    <t>MC 2.4</t>
  </si>
  <si>
    <t>- Reports showing thresholds exceeded (planned versus actual)</t>
  </si>
  <si>
    <t>- Set thresholds for when corrective actions must be taken</t>
  </si>
  <si>
    <t>- When and how do you take corrective actions when actual results differ significantly from planned result?
当实际结果相较于计划结果存在显著差异时，如何采取纠正措施并管理直至关闭</t>
  </si>
  <si>
    <t>MC 3.1</t>
  </si>
  <si>
    <t>- Using the tailroing guidliens, develop a project plan for the project from the orgnaisaitonal set of standard process assets</t>
  </si>
  <si>
    <t>MC 3.2</t>
  </si>
  <si>
    <t>- Identified critical dependencies in the project plan and schedule</t>
  </si>
  <si>
    <t>- How do you manage critical dependencies?
如何管理关键依赖关系？</t>
  </si>
  <si>
    <t>MC 3.3</t>
  </si>
  <si>
    <t>Monitor the work environment to identify issues.
监控工作环境以识别问题</t>
  </si>
  <si>
    <t>- Minutes of actions to address work environments issues</t>
  </si>
  <si>
    <t>- How do you identify work environ issues?
如何识别工作环境问题</t>
  </si>
  <si>
    <t>MC 3.4</t>
  </si>
  <si>
    <t>- Relevant stakeholder meeting minutes</t>
  </si>
  <si>
    <t>PLANNING</t>
  </si>
  <si>
    <t>Optimizes cost, functionality, and quality to increase the likelihood of meeting objectives.</t>
  </si>
  <si>
    <t>PLAN 1.1</t>
  </si>
  <si>
    <t>- Do you have a list of tasks that needs to be performed?
有制定需要执行的任务列表嘛？</t>
  </si>
  <si>
    <t>PLAN 1.2</t>
  </si>
  <si>
    <t>- Do you assign people to the tasks?
如何将人员分配到任务</t>
  </si>
  <si>
    <t>PLAN 2.1</t>
  </si>
  <si>
    <t>- Do you have an approach (scrum, waterfall, etc) for doing the work?
开发的方法，（敏捷，瀑布？）</t>
  </si>
  <si>
    <t>PLAN 2.2</t>
  </si>
  <si>
    <t>- How do you make sure you have the right knowledge and skills for the task to be performed?
如何确保具备执行工作所需的知识和技能？</t>
  </si>
  <si>
    <t>PLAN 2.3</t>
  </si>
  <si>
    <t>- How do you develop the budget and schedule?
如何制定预算和进度表</t>
  </si>
  <si>
    <t>PLAN 2.4</t>
  </si>
  <si>
    <t>- How do you plan for stakeholder involvement?
如何对干系人的参与做相应的计划</t>
  </si>
  <si>
    <t>PLAN 2.5</t>
  </si>
  <si>
    <t>- How do you plan for transition to operations and support?
如何对向运营和支持的转移做相应的计划？</t>
  </si>
  <si>
    <t>PLAN 2.6</t>
  </si>
  <si>
    <t>- How do you ensure your plans are feasible in terms of resource availability and work that needs to be performed?
在资源可用性和需要执行的工作方面，如何确保计划可行？</t>
  </si>
  <si>
    <t>PLAN 2.7</t>
  </si>
  <si>
    <t>- How do you ensure the plan and its deliverablea are consistent and aligned.
在项目计划中会记录哪些信息？</t>
  </si>
  <si>
    <t>PLAN 2.8</t>
  </si>
  <si>
    <t>- How do you review the plans with stakeholders, and how do you get commitment to the plans?
如何制定评审计划？如何获得受影响的干系人的承诺？</t>
  </si>
  <si>
    <t>PLAN 3.1</t>
  </si>
  <si>
    <t>PLAN 3.2</t>
  </si>
  <si>
    <t>- How do you keep your plan updated with the project process, the process assets and the measurement repository?
如何使用项目过程、组织的过程资产和度量库制定计划并保持更新？</t>
  </si>
  <si>
    <t>PLAN 3.3</t>
  </si>
  <si>
    <t>- Explain how you identify and negotiate critical dependencies?
如何识别和协商关键依赖关系？</t>
  </si>
  <si>
    <t>PLAN 3.4</t>
  </si>
  <si>
    <t>- Explain how you use organisational standards to plan for your project environment?
如何使用组织标准计划项目环境并保持更新？</t>
  </si>
  <si>
    <t>PLAN 4.1</t>
  </si>
  <si>
    <t>- How do you make use of statistical and other quantitative techniques to develop and keep the project processes updated to enable achievement of the quality and process performance objectives for the project or organisation?
如何使用统计与其他量化技术来开发项目过程并保持更新，以实现过程或组织的质量与过程性能目标？</t>
  </si>
  <si>
    <t>CAUSAL ANALYSIS AND RESOLUTION</t>
  </si>
  <si>
    <t>CAR 1.1</t>
  </si>
  <si>
    <t>Identify and address causes of selected outcomes.
识别并处理造成选定结果的原因</t>
  </si>
  <si>
    <t>CAR 2.1</t>
  </si>
  <si>
    <t>CAR 2.2</t>
  </si>
  <si>
    <t>CAR 3.1</t>
  </si>
  <si>
    <t>CAR 3.2</t>
  </si>
  <si>
    <t>- Lost of actions identified to address causes</t>
  </si>
  <si>
    <t>- Identified actions to address causes</t>
  </si>
  <si>
    <t>CAR 3.3</t>
  </si>
  <si>
    <t>- Prioritise actions based on benefits</t>
  </si>
  <si>
    <t>CAR 3.4</t>
  </si>
  <si>
    <t>- Root cause analysis records</t>
  </si>
  <si>
    <t>- Root cause analysis data is recorded and distributed</t>
  </si>
  <si>
    <t>CAR 3.5</t>
  </si>
  <si>
    <t>CAR 4.1</t>
  </si>
  <si>
    <t>Perform root cause analysis of selected outcomes using statistical and other quantitative techniques.
使用统计的与其他量化的技术对选定结果进行根本原因分析</t>
  </si>
  <si>
    <t>- Control chart signal detection rules</t>
  </si>
  <si>
    <t>- Use of control charts to identify signals for root cause analysis</t>
  </si>
  <si>
    <t>CAR 4.2</t>
  </si>
  <si>
    <t>- Projects process performance objective before the action proposal and after the action proposal.</t>
  </si>
  <si>
    <t>CAR 5.1</t>
  </si>
  <si>
    <t>- Process control charts before and after root cause action proposal has been taken</t>
  </si>
  <si>
    <t>- Comparing process performance baselines before and after the root cause action proposal has been implemented on the process across the organisation.</t>
  </si>
  <si>
    <t>CONFIGURATION MANAGEMENT</t>
  </si>
  <si>
    <t>CM 1.1</t>
  </si>
  <si>
    <t>- Version management system (example GitHub)</t>
  </si>
  <si>
    <t>- Describe how you perform version control.
'请描述一下是如何执行版本控制的？</t>
  </si>
  <si>
    <t>CM 2.1</t>
  </si>
  <si>
    <t>Identify items to be placed under configuration management.
识别将置于配置管理下的配置项</t>
  </si>
  <si>
    <t>- Configuration Management plan listing items to put under CM</t>
  </si>
  <si>
    <t>- Develop and maintain a configuration management plan</t>
  </si>
  <si>
    <t>- How do you identify what items (documents and source code) to put under configuration management?
'如何识别要管理的项目？</t>
  </si>
  <si>
    <t>CM 2.2</t>
  </si>
  <si>
    <t>- Configuration Management System</t>
  </si>
  <si>
    <t>- Establish and maintain a configuration management system</t>
  </si>
  <si>
    <t>- What configuration management systems do you use (the name of the system or systems)?
'使用什么配置管理系统？</t>
  </si>
  <si>
    <t>CM 2.3</t>
  </si>
  <si>
    <t>CM 2.4</t>
  </si>
  <si>
    <t>- CCB minutes</t>
  </si>
  <si>
    <t>- How do you manage changes (who is allowed to make changes) to items under configuration management, as well as configuration management baselines and releases?
'如何管理配置管理下的变更？</t>
  </si>
  <si>
    <t>CM 2.5</t>
  </si>
  <si>
    <t>- Establish and maintain configuration change histories on configuration items</t>
  </si>
  <si>
    <t>- What records, such as version history, do you maintain on configuration items?
'对于配置项会保留哪些记录？</t>
  </si>
  <si>
    <t>CM 2.6</t>
  </si>
  <si>
    <t>- Configuration audit reports</t>
  </si>
  <si>
    <t>- Perform configuration audits on configuration items, configuration baselines and configuration releases</t>
  </si>
  <si>
    <t>- How do you ensure the integrity of items under configuration management, the integrity of baselines and the integrity of releases?
'如何确保配置管理下项目的完整性，基准的完整性和发行版的完整性？</t>
  </si>
  <si>
    <t>DECISION ANALYSIS AND RESOLUTION</t>
  </si>
  <si>
    <t>DAR 1.1</t>
  </si>
  <si>
    <t>DAR 1.2</t>
  </si>
  <si>
    <t>DAR 2.1</t>
  </si>
  <si>
    <t>DAR 2.2</t>
  </si>
  <si>
    <t>DAR 2.3</t>
  </si>
  <si>
    <t>DAR 2.4</t>
  </si>
  <si>
    <t>DAR 2.5</t>
  </si>
  <si>
    <t>DAR 3.1</t>
  </si>
  <si>
    <t>- Invoice approval limits based on management level</t>
  </si>
  <si>
    <t>IMPLEMENTATION INFRASTRUCTURE</t>
  </si>
  <si>
    <t>II 1.1</t>
  </si>
  <si>
    <t>- Process compliance check
过程遵从检查</t>
  </si>
  <si>
    <t>- Do you follow process? How can this be shown?
'遵循相应的过程了嘛？如何体现？</t>
  </si>
  <si>
    <t>II 2.1</t>
  </si>
  <si>
    <t>- Engineering Process Group
工程过程组</t>
  </si>
  <si>
    <t>- What resources (people, budget, tools) are made available for developing process?
为开发过程提供了哪些资源（人员，预算，工具）？</t>
  </si>
  <si>
    <t>II 2.2</t>
  </si>
  <si>
    <t>- Process documentation</t>
  </si>
  <si>
    <t>- Write processes</t>
  </si>
  <si>
    <t>- What process do you (process actor) follow?
'您（过程参与者）遵循什么过程？</t>
  </si>
  <si>
    <t>II 3.1</t>
  </si>
  <si>
    <t>- Tailor organisational process assets for a project
为项目裁剪组织过程资产</t>
  </si>
  <si>
    <t>II 3.2</t>
  </si>
  <si>
    <t>Evaluate the adherence to and effectiveness of the organizational processes.
评估组织过程的符合性和有效性</t>
  </si>
  <si>
    <t>- Process compliance
过程遵从</t>
  </si>
  <si>
    <t>- Process compliance audit
过程遵从检查</t>
  </si>
  <si>
    <t>- How is your (process actor) compliance to your process checked?
'如何检查（流程参与者）对过程是否被遵循？</t>
  </si>
  <si>
    <t>II 3.3</t>
  </si>
  <si>
    <t>- Process improvements registered
已注册流程改进</t>
  </si>
  <si>
    <t>- What process improvements have you (process actor) submitted, or do you know of that has been submitted, to the processes that you follow?
'是否有提交过过程改进？内容是什么？</t>
  </si>
  <si>
    <t>GOVERNANCE</t>
  </si>
  <si>
    <t>GOV 2.1</t>
  </si>
  <si>
    <t>Senior management defines, keeps updated, and communicates organizational directives for process implementation and improvement based on organization needs and objectives.
高级管理层根据组织需要和目标定义、维护并沟通针对过程实施与改进地组织级方针</t>
  </si>
  <si>
    <t>GOV 2.2</t>
  </si>
  <si>
    <t>- Senior management makes training resources (budget, tools, staff) available to support process training</t>
  </si>
  <si>
    <t>GOV 2.3</t>
  </si>
  <si>
    <t>Senior management identifies their information needs, and uses the collected information to provide governance and oversight of effective process implementation and improvement.
高级管理层确定其信息需要，并使用收集到的信息来治理及监督有效的过程实施和改进</t>
  </si>
  <si>
    <t>- What information (reporting) do you request (and do you obtain) from projects and support functions that informat you about strategy (business goal) acheivement? How do you (senior management) provide governance and oversight of effective process implementation and improvement?</t>
  </si>
  <si>
    <t>GOV 2.4</t>
  </si>
  <si>
    <t>Senior management holds people accountable for adhering to organization directives and achieving process implementation and improvement objectives.
高级管理层督促员工遵守组织级的方针并实现过程实施和改进的目标</t>
  </si>
  <si>
    <t>- Improvement incentives, rewards and recognition for process "champions"</t>
  </si>
  <si>
    <t>GOV 3.1</t>
  </si>
  <si>
    <t>- Updated organisation measurement repository</t>
  </si>
  <si>
    <t>- Make resources available for measurement activities</t>
  </si>
  <si>
    <t>GOV 3.2</t>
  </si>
  <si>
    <t>- Develop measurement competencies</t>
  </si>
  <si>
    <t>GOV 4.1</t>
  </si>
  <si>
    <t>RDM, TS, PI, VV, PR, CM, EST, PLAN, MC, RSK, PCM, PAD, MPM, CAR, OT, PQA, DAR, GOV, II</t>
  </si>
  <si>
    <t>PAs:</t>
  </si>
  <si>
    <t>Inst</t>
  </si>
  <si>
    <t>ok dir</t>
  </si>
  <si>
    <t>Car 2.1</t>
  </si>
  <si>
    <t>suf no</t>
  </si>
  <si>
    <t>suf yes</t>
  </si>
  <si>
    <t>suf na</t>
  </si>
  <si>
    <t>Enhance</t>
  </si>
  <si>
    <t>Findings extra</t>
  </si>
  <si>
    <t xml:space="preserve">Findings </t>
  </si>
  <si>
    <t>ID</t>
  </si>
  <si>
    <t>PAxy</t>
  </si>
  <si>
    <t>FindingChinese</t>
  </si>
  <si>
    <t>ReviewedBy</t>
  </si>
  <si>
    <t>FindingType</t>
  </si>
  <si>
    <t>Update/Add/Delete</t>
  </si>
  <si>
    <t>FindingEnglish</t>
  </si>
  <si>
    <t>https://www.whatismyip.com/</t>
  </si>
  <si>
    <t>Saved from email Pieter sent 15 Jan 22 (Updated above again and added "CAS style" OU below OU (A44)</t>
  </si>
  <si>
    <t>Jared Twigg</t>
  </si>
  <si>
    <t>Small updates.</t>
  </si>
  <si>
    <t>15v02</t>
  </si>
  <si>
    <t>Updated to include the FindingsDB and Tools tabs</t>
  </si>
  <si>
    <t xml:space="preserve">Adequate OE is judged sufficient to demonstrate that the intent and value of the practice is met, and no weaknesses are identified. </t>
  </si>
  <si>
    <t xml:space="preserve">Partially Meets </t>
  </si>
  <si>
    <t>Ask for Govement issued ID (if virtual appraisal)</t>
  </si>
  <si>
    <t xml:space="preserve">Did we miss anything?  </t>
  </si>
  <si>
    <t xml:space="preserve">Was there something you expected us to ask you that we missed? </t>
  </si>
  <si>
    <t xml:space="preserve">Ask summary questions:  </t>
  </si>
  <si>
    <t>Online document translator</t>
  </si>
  <si>
    <t>https://www.onlinedoctranslator.com/en/translationform</t>
  </si>
  <si>
    <t xml:space="preserve">Level 1 </t>
  </si>
  <si>
    <t xml:space="preserve">Level 4 </t>
  </si>
  <si>
    <t xml:space="preserve">Suff. Artifact 
Yes | No </t>
  </si>
  <si>
    <t>Senior management identifies what is important for doing the work and defines the approach needed to accomplish the objectives of the organization.  高级管理层识别对工作执行重要地因素，并定义实现组织目标所需地方法</t>
  </si>
  <si>
    <t xml:space="preserve">GOV - GOVERNANCE (GOV)  </t>
  </si>
  <si>
    <t>治理</t>
  </si>
  <si>
    <t xml:space="preserve">Intent </t>
  </si>
  <si>
    <t xml:space="preserve">Provides guidance to senior management on their role in the sponsorship and governance of process activities. </t>
  </si>
  <si>
    <t>目的</t>
  </si>
  <si>
    <t>指导高级管理层履行其在过程活动的发起和治理中的职责</t>
  </si>
  <si>
    <t xml:space="preserve">Value </t>
  </si>
  <si>
    <t xml:space="preserve">Minimizes the cost of process implementation, increases the likelihood of meeting objectives, and ensures that the implemented processes support and contribute to the success of the business. </t>
  </si>
  <si>
    <t>价值</t>
  </si>
  <si>
    <t>最大限度地降低过程实施成本，提高实现目标地可能性，并确保实施地过程支持并促成业务成功</t>
  </si>
  <si>
    <t xml:space="preserve">Intent </t>
    <phoneticPr fontId="8" type="noConversion"/>
  </si>
  <si>
    <t xml:space="preserve">Provides guidance to senior management on their role in the sponsorship and governance of process activities. </t>
    <phoneticPr fontId="8" type="noConversion"/>
  </si>
  <si>
    <t xml:space="preserve">Value </t>
    <phoneticPr fontId="8" type="noConversion"/>
  </si>
  <si>
    <t xml:space="preserve">Minimizes the cost of process implementation, increases the likelihood of meeting objectives, and ensures that the implemented processes support and contribute to the success of the business. </t>
    <phoneticPr fontId="8" type="noConversion"/>
  </si>
  <si>
    <t>Example Work Products</t>
  </si>
  <si>
    <t>问题</t>
    <phoneticPr fontId="8" type="noConversion"/>
  </si>
  <si>
    <t>Senior management identifies what is important for doing the work and defines the approach needed to accomplish the objectives of the organization.  高级管理层识别对工作执行重要地因素，并定义实现组织目标所需地方法</t>
    <phoneticPr fontId="8" type="noConversion"/>
  </si>
  <si>
    <t>- Determine how the organisation will improve
确定组织要如何改进
- Set the approach for improvement
设定改进方法
- Communicate the result of improvement
沟通改进的结果</t>
  </si>
  <si>
    <t>- Improvement approach/strategy
改进方法/策略
- Improvement targets
改进的目标</t>
  </si>
  <si>
    <t xml:space="preserve">- What is your strategy (business goals) do you have? What policies do you have to support you achieving the strategy (business goals)? Does the policy require staff to follow proces in support of your strategy (business goals)? 
- How do they tell staff that they expect them to follow process in order to achieve the business objectives? 
- How does senior management identify what is essential for doing work?
- How does senior management define the approach needed to accomplish the objectives of the organisation?       </t>
  </si>
  <si>
    <t>高层如何识别工作重点？高层如何定义实现组织目标所需的方法？</t>
    <phoneticPr fontId="8" type="noConversion"/>
  </si>
  <si>
    <t>- Develop the strategy (may include a mission and/or vision statement) 
- Define a strategic target to be achieved</t>
  </si>
  <si>
    <t>- Organisational strategy with strategic targets
- Process improvement directives in support of achieving the strategic targets</t>
  </si>
  <si>
    <t xml:space="preserve">- HOw do you communicate your strategy (business goals) to staff? How do you communicate your policy to staff?
- What organisational objectives has senior management defined and communicated?
- Are these objectives to be achieved through process improvements?	</t>
  </si>
  <si>
    <t>高级管理层定义并传达了哪些组织目标？这些目标会通过过程改进实现嘛？</t>
    <phoneticPr fontId="8" type="noConversion"/>
  </si>
  <si>
    <t>Senior management ensures resources and training are provided for developing, supporting, performing, improving, and evaluating adherence to expected processes.
 高级管理层确保提供资源和培训用于建立、支持、执行、改进以及评价与预期过程的符合性</t>
  </si>
  <si>
    <t>- Process training function in the organisational chart
- Budget for process training resources (staff, tools, facilities)</t>
  </si>
  <si>
    <t xml:space="preserve">- What resources (budget, people, tools, structure)  and training have you (senior management) provided for 1) developing, supporting, 2) performing, 3) improving and 4) evaluating adherence to expected processes?	 </t>
  </si>
  <si>
    <t>（高层）为开发、支持/执行过程/改进过程/评估对期望过程的遵循情况提供了哪些资源和培训？</t>
    <phoneticPr fontId="8" type="noConversion"/>
  </si>
  <si>
    <t>- Process improvement status review (improvements registered and incorporated)
- Process performance reporting to senior management</t>
  </si>
  <si>
    <t>- Process improvement register and the status thereof
- Process improvement performance reports</t>
  </si>
  <si>
    <t>（高层）如何对有效的过程实施和改进提供治理和监督？</t>
    <phoneticPr fontId="8" type="noConversion"/>
  </si>
  <si>
    <t>- Verify compliance to directives
- Review performance improvements
- Review improvement trends</t>
  </si>
  <si>
    <t>- 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</si>
  <si>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Senior management ensures that measures supporting objectives throughout the organization are collected, analysed, and used. 
高级管理层确保支持整个组织目标的度量项得到收集、分析和使用</t>
  </si>
  <si>
    <t xml:space="preserve">- What organisational measurement repository do you have and how is it used? How do you support the creation, maintenance and use of the different performance objective?
- We have seen your QPPOs, we understand the measures, with regards to the remaining organisational objectives, how do you ensure that those measures are collected, analysed and used accross the organisation?x
- What are 
- How do you (senior management) ensure that measures supporting objectives are collected, analysed and used?	 </t>
  </si>
  <si>
    <t>您如何（高级管理层）确保收集，分析和使用支持目标的度量？</t>
    <phoneticPr fontId="8" type="noConversion"/>
  </si>
  <si>
    <t>Senior management ensures that competencies and processes are aligned with the objectives of the organization. 
高级管理层确保胜任力和过程与组织目标保持一致</t>
  </si>
  <si>
    <t>- How do you (senior management) ensure that competencies and processes align with the goals of the organisation?</t>
    <phoneticPr fontId="8" type="noConversion"/>
  </si>
  <si>
    <t>（高层）您如何确保能力和过程与组织目标的一致性？</t>
    <phoneticPr fontId="8" type="noConversion"/>
  </si>
  <si>
    <t>Senior management ensures that selected decisions are driven by statistical and quantitative analysis related to performance and achievement of quality and process performance objectives.
 高级管理层确保所选择的决策以性能相关的统计和定量分析以及质量和过程性能目标的实现为驱动</t>
  </si>
  <si>
    <t>- Review process performance results (statistical and quantitative based)
- Set new targets based on existing performance results (statistical and quantitative based)</t>
  </si>
  <si>
    <t xml:space="preserve">- How do you (senior management) ensure that selected (key or important business) decisions are driven by statistical and quantitative analysis? </t>
    <phoneticPr fontId="8" type="noConversion"/>
  </si>
  <si>
    <t>（高层）如何确保所选的（关键或重要的）决策由统计和量化分析所驱动？</t>
    <phoneticPr fontId="8" type="noConversion"/>
  </si>
  <si>
    <t>实施基础条件</t>
  </si>
  <si>
    <t>Intent</t>
    <phoneticPr fontId="8" type="noConversion"/>
  </si>
  <si>
    <t>Ensure that the processes important to an organization are persistently and habitually used and improved.</t>
    <phoneticPr fontId="8" type="noConversion"/>
  </si>
  <si>
    <t>确保针对组织重要的过程能够坚持从而形成习惯并加以应用和改进</t>
  </si>
  <si>
    <t>Value</t>
    <phoneticPr fontId="8" type="noConversion"/>
  </si>
  <si>
    <t xml:space="preserve">Sustains the ability to consistently achieve goals and objectives efficiently and effectively. </t>
    <phoneticPr fontId="8" type="noConversion"/>
  </si>
  <si>
    <t>维持有效和高效的实现目标的能力</t>
  </si>
  <si>
    <t>Possible answers</t>
  </si>
  <si>
    <t>Perform processes that address the intent of the Level 1 practices. 
执行在实现第1级实践目的的过程</t>
  </si>
  <si>
    <t>- Processes are preformed (can be ad-hoc) 
执行过程</t>
  </si>
  <si>
    <t>Provide sufficient resources, funding, and training for developing and performing processes. 
提供充足的资源、资金和培训来开发和执行过程</t>
  </si>
  <si>
    <t>- Budget is made available for a process group  
过程组的可用预算
- A process group structure is established
过程组结构已建立</t>
  </si>
  <si>
    <t>EPG</t>
  </si>
  <si>
    <t>Develop and keep processes updated, and verify they are being followed. 
建立和更新过程并验证过程是否得到遵循</t>
  </si>
  <si>
    <t>Use organizational processes and process assets to plan, manage, and perform the work. 
使用组织过程和过程资产来策划、管理和执行工作</t>
  </si>
  <si>
    <t>- Tailored process
已裁剪的过程
- Organisational process assets
组织过程资产
- Tailoring guidelines</t>
  </si>
  <si>
    <t>- Do you (process actor) have an organisational process for doing your work?
'您（流程参与者）自己的工作是否有遵循组织工作过程？ 
- How do you apply the process in your work?
您如何在工作中应用该过程？</t>
  </si>
  <si>
    <t xml:space="preserve">
-</t>
  </si>
  <si>
    <t>- Yes/No
- By tailoring it</t>
  </si>
  <si>
    <t>- PQA audits</t>
  </si>
  <si>
    <t>Contribute process related information or process assets to the organization. 
为组织贡献过程相关信息或过程资产</t>
  </si>
  <si>
    <t>- Lessons learned from following a process is collected 
收集相关过程中的经验教训</t>
  </si>
  <si>
    <t>配置管理</t>
  </si>
  <si>
    <t>Manage the integrity of work products using configuration identification, version control, change control, and audits.</t>
    <phoneticPr fontId="8" type="noConversion"/>
  </si>
  <si>
    <t>使用配置识别、版本控制、变更控制和审计来管理工作产品的完整性。</t>
  </si>
  <si>
    <t xml:space="preserve">Reduces loss of work and increases the ability to deliver the correct version of the solution to the customer. </t>
    <phoneticPr fontId="8" type="noConversion"/>
  </si>
  <si>
    <t>减少工作损失，并增加向客户提供正确版本解决方案的能力</t>
  </si>
  <si>
    <t>Perform version control. 
执行版本控制</t>
  </si>
  <si>
    <t xml:space="preserve">- Putting work products under version control
- Check in and check out of documents and source code
</t>
  </si>
  <si>
    <t>Develop, keep updated, and use a configuration and change management system.
 开发、使用并保持更新配置和变更管理系统。</t>
  </si>
  <si>
    <t>Develop or release baselines for internal use or for delivery to the customer. 
开发或发布供内部使用或交付给客户的基线。</t>
  </si>
  <si>
    <t>- Establish development and testing baselines
- Establish software releases to the customer</t>
  </si>
  <si>
    <t>- Baseline version
- Software releases</t>
  </si>
  <si>
    <t>- Explain how you establish software baselines and how these baselines form the basis for further development and furhter code releases?
'请解释如何为进一步开发建立软件基线？ 
- Explain how you establish software releases that for the basis for further development?
请解释如何建立软件版本作为进一步开发奠定基础？</t>
  </si>
  <si>
    <t xml:space="preserve">
</t>
  </si>
  <si>
    <t>Manage changes to the items under configuration management. 
管理对配置管理下的项的变更。</t>
  </si>
  <si>
    <t>- Check in and check out configuration items
- Register a change request against a configuration item
- CCB meetings to approve / decline changes to baselines and releases</t>
  </si>
  <si>
    <t>Develop, keep updated, and use records describing items under configuration management. 
开发、使用并保持更新描述配置管理下的项的记录。</t>
  </si>
  <si>
    <t>- Configuration item change histories
- Baseline label descriptions</t>
  </si>
  <si>
    <t>Perform configuration audits to maintain the integrity of configuration baselines, changes, and content of the configuration management system. 
执行配置审计以保持配置基线、变更和配置管理系统内容的完整性。</t>
  </si>
  <si>
    <t>过程质量保证</t>
    <phoneticPr fontId="8" type="noConversion"/>
  </si>
  <si>
    <t>目的</t>
    <phoneticPr fontId="8" type="noConversion"/>
  </si>
  <si>
    <t>验证并改进已执行的过程和所产生的工作产品的质量</t>
    <phoneticPr fontId="8" type="noConversion"/>
  </si>
  <si>
    <t>价值</t>
    <phoneticPr fontId="8" type="noConversion"/>
  </si>
  <si>
    <t>增强过程使用和改进的一致性，以最大限度地提高业务效益和客户满意度</t>
    <phoneticPr fontId="8" type="noConversion"/>
  </si>
  <si>
    <t xml:space="preserve">	Identify and address process and work product issues. 
识别并解决过程和工作产品问题</t>
  </si>
  <si>
    <t>- Setup PQA checklists
- Perform process or product quality assurance</t>
  </si>
  <si>
    <t>- PQA checklists
- PQA results</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</si>
  <si>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</si>
  <si>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</si>
  <si>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</si>
  <si>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 xml:space="preserve">	Throughout the project, objectively evaluate selected performed processes and work products against the recorded process and applicable standards. 
在整个项目过程中，根据记录地过程和适用标准客观评价选定地已执行过程和工作产品</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</si>
  <si>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</si>
  <si>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</si>
  <si>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</si>
  <si>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 compliance issues and ensure their resolution. 
沟通质量和不合规问题并确保解决问题</t>
  </si>
  <si>
    <t>- Identify noncompliance issues and trends
- Communicate and resolve noncompliance issues
- Escale noncompliance issues that cannot be resolved</t>
  </si>
  <si>
    <t>- Develop quality trends analyssi reports
- Noncompliance resolutions</t>
  </si>
  <si>
    <t>- Explain how quality and non-compliance issues that cannot be resolve, are handled?
- How to you communicate and address non-compliance issues?
'您如何沟通和解决不符合项问题？</t>
  </si>
  <si>
    <t xml:space="preserve">	Record and use results of quality assurance activities. 
记录并使用质量保证活动地结果</t>
  </si>
  <si>
    <t>Identify and record opportunities for improvement during quality assurance activities. 
在质量保证活动中识别并记录改进机会</t>
  </si>
  <si>
    <t>- PQA reports stored
- Improvements and training initiatives based on PQA noncompliance reports</t>
  </si>
  <si>
    <t>管理性能与度量</t>
    <phoneticPr fontId="8" type="noConversion"/>
  </si>
  <si>
    <t>使用度量和分析来管理性能，以实现业务目标</t>
    <phoneticPr fontId="8" type="noConversion"/>
  </si>
  <si>
    <t>将管理和改进工作集中在成本、进度表和质量性能上，最大限度地提高业务投资回报</t>
    <phoneticPr fontId="8" type="noConversion"/>
  </si>
  <si>
    <t>Collect measures and record performance. 
收集度量项并记录性能</t>
  </si>
  <si>
    <t>Identify and address performance issues. 
识别并解决性能问题</t>
  </si>
  <si>
    <t>Derive and record measurement and performance objectives from selected business needs and objectives and keep them updated. 
从选定的业务需求和目标中推导出度量及性能目标并进行记录和更新</t>
  </si>
  <si>
    <t>- GQIM sheet
- Documented business objectives to measurement objectives</t>
  </si>
  <si>
    <t>Develop, keep updated, and use operational definitions for measures.
 开发、使用并持续更新度量项的操作性定义</t>
  </si>
  <si>
    <t>- GQIM sheet
- Documented who, when, where of measurement collection</t>
  </si>
  <si>
    <t>Obtain specified measurement data according to the operational definitions. 
根据操作性定义获取制定的度量数据</t>
  </si>
  <si>
    <t>Analyze performance and measurement data according to the operational definitions. 
根据操作性定义分析性能和度量数据</t>
  </si>
  <si>
    <t>Store measurement data, measurement specifications, and analysis results according to the operational definitions. 
根据操作性定义存储度量数据、度量规格和分析结果</t>
  </si>
  <si>
    <t>Take actions to address identified issues with meeting measurement and performance objectives. 
采取行动解决已识别的阻碍实现度量及性能目标的问题</t>
  </si>
  <si>
    <t>Develop, keep updated, and use organizational measurement and performance objectives traceable to business objectives. 
开发、使用并保持更新可追溯到业务目标的组织度量及性能目标</t>
  </si>
  <si>
    <t>- GQIM sheets
- Business objectives traced to measurement and performance objectives</t>
  </si>
  <si>
    <t>Follow organizational processes and standards to develop and use operational definitions for measures and keep them updated. 
遵循组织过程和标准来制定和使用度量项的操作性定义并保持更新</t>
  </si>
  <si>
    <t xml:space="preserve">	Develop, keep updated, and follow a data quality process. 
开发、保持更新并遵循数据质量过程</t>
  </si>
  <si>
    <t>Develop, keep updated, and use the organization's measurement repository. 
开发、使用并保持更新组织的度量库</t>
  </si>
  <si>
    <t>Analyze organizational performance using measurement and performance data to determine performance improvement needs. 
使用度量和性能数据来分析组织性能，以确定性能改进需求</t>
  </si>
  <si>
    <t>Periodically communicate performance results to the organization. 
定期将性能结果传达给组织</t>
  </si>
  <si>
    <t>Use statistical and other quantitative techniques to develop, keep updated, and communicate quality and process performance objectives that are traceable to business objectives.
 使用统计与其他量化技术来制定、持续更新并沟通可追溯到业务目标的质量与过程性能目标</t>
  </si>
  <si>
    <t>- How do you use statistical and other quantile techniques to develop, keep update, and communicate quality and process performance objectives? 
您如何使用统计和量化技术来制定，保持更新并传达质量和过程绩效目标？
- How is this traceable to your business objectives?
如何将QPPO追溯到您的业务目标？</t>
  </si>
  <si>
    <t>Select measures and analytic techniques to quantitatively manage performance to achieve quality and process performance objectives.
 选择度量和分析技术对性能进行量化管理，以实现质量与过程性能目标</t>
  </si>
  <si>
    <t>Use statistical and other quantitative techniques to develop and analyze process performance baselines and keep them updated. 
使用统计与其他量化技术来建立和分析过程性能基线并保持跟新</t>
  </si>
  <si>
    <t xml:space="preserve">	Use statistical and other quantitative techniques to develop and analyze process performance models and keep them updated. 
使用统计与其他量化技术来建立和分析过程性能模型并保持更新</t>
  </si>
  <si>
    <t xml:space="preserve">	Use statistical and other quantitative techniques to determine or predict achievement of quality and process performance objectives. 
使用统计与其他量化技术来确定或预测质量与过程性能目标的实现情况</t>
  </si>
  <si>
    <t>- Control Charts that predict process performance towards achieving a QPPO
- Regression analysis that predict process performance towards achieving a QPPO</t>
  </si>
  <si>
    <t xml:space="preserve">	'- How do you make use of statistical and other quantitative techniques to determine or predict achievement of quality and process performance objectives.
您如何利用统计和其他定量技术来确定或预测质量和过程绩效目标的可实现性？</t>
  </si>
  <si>
    <t>Use statistical and other quantitative techniques to ensure that business objectives are aligned with business strategy and performance. 
使用统计与其他量化技术来确保业务目标与业务战略和性能保持一致</t>
  </si>
  <si>
    <t>Analyze performance data using statistical and other quantitative techniques to determine the organization's ability to satisfy selected business objectives and identify potential areas for performance improvement. 
使用统计与其他量化技术来分析性能数据，以确定组织实现选定的业务目标的能力，并识别潜在的性能改进领域</t>
  </si>
  <si>
    <t>Select and implement improvement proposals, based on the statistical and quantitative analysis of the expected effect of proposed improvements on meeting business, quality, and process performance objectives.
 对改进建议实现业务目标、质量和过程性能目标的预期效果进行统计与量化分析，并依据统计与量化分析结果选择和实施改进建议</t>
  </si>
  <si>
    <t>根因分析</t>
  </si>
  <si>
    <t xml:space="preserve">Identify causes of selected outcomes and take action to either prevent recurrence of undesirable outcomes or ensure recurrence of positive outcomes. </t>
    <phoneticPr fontId="8" type="noConversion"/>
  </si>
  <si>
    <t>识别选定结果的原因并采取行动，防止不合需要的结果再次发生或确保再次出现正面结果</t>
    <phoneticPr fontId="8" type="noConversion"/>
  </si>
  <si>
    <t>Addressing root cause issues eliminates rework and directly improves quality and productivity.</t>
    <phoneticPr fontId="8" type="noConversion"/>
  </si>
  <si>
    <t>解决根源问题可以消除返工并直接提高质量和生产率</t>
  </si>
  <si>
    <t xml:space="preserve"> -List of investigated outcomes</t>
  </si>
  <si>
    <t>- Do you have a list of outcomes (opportunities or defects) to investigate? 
有调查结果（改进机会或缺陷）的列表嘛？</t>
  </si>
  <si>
    <t>Select outcomes for analysis. 
选择要进行分析的结果</t>
  </si>
  <si>
    <t>- Define the scope of the analysis
- Collect relevant data
- Determine which outcomes to analyse further</t>
  </si>
  <si>
    <t>- Analysis results
- Outcomes selected for further Analysis</t>
  </si>
  <si>
    <t>- Can you provide us with a list of outcomes (opportunity/defects) for analysis?
 可否向我们提供分析结果（机会/缺陷）列表？</t>
  </si>
  <si>
    <t>Analyse and address causes of outcomes. 
分析并处理造成结果的原因</t>
  </si>
  <si>
    <t>- Identify the affected stakeholders and involve them
- Perform causal analysis.
- Implement actions to address causes
- Communicate the result of the actions taken</t>
  </si>
  <si>
    <t>- List of causes identified
- List of actions taken on causes</t>
  </si>
  <si>
    <t>- Do you have a list of causes (for outcomes) identified in analysis?
是否有分析中识别出的原因的列表（结果）？ 
- Do you have a list of actions to address the causes identified? 
有没有针对已识别原因的解决方法的列表？</t>
  </si>
  <si>
    <t>Determine root causes of selected outcomes by following an organizational process. 
遵循组织过程来确定所选结果的根本原因</t>
  </si>
  <si>
    <t>- Identify stakeholders for a car analysis
- Follow the organisational process for car
- Use the the organisational tools for performing car
- Document the root causes</t>
  </si>
  <si>
    <t>- car processes, car tools and templates
- List of root causes identified</t>
  </si>
  <si>
    <t>- What is the process you follow to determine root causes?
 确定根本原因所遵循的过程是什么？</t>
  </si>
  <si>
    <t>Propose actions to address identified root causes. 
提出处理已识别的根本原因的行动建议</t>
  </si>
  <si>
    <t>- What actions have you identified to address causes?
 确定要采取哪些行动解决问题？</t>
  </si>
  <si>
    <t>Implement selected action proposals. 
实施选定的行动建议</t>
  </si>
  <si>
    <t>- Prioritised actions
- Action implementation steps and plans
- Grouped common causes</t>
  </si>
  <si>
    <t>- How do you select actions proposals to address identified causes? 如何选择行动建议以解决已确定的问题</t>
  </si>
  <si>
    <t>Record root cause analysis and resolution data.
 记录根本原因分析和解决的数据</t>
  </si>
  <si>
    <t>- What data is recorded about root cause resolution? 
根本原因解决方案的记录数据有哪些？</t>
  </si>
  <si>
    <t>Submit improvement proposals for changes proven to be effective. 
提交已证明有效的改进建议</t>
  </si>
  <si>
    <t xml:space="preserve">- Submit root cause improvement proposals
- Implement root cause improvement proposals
</t>
  </si>
  <si>
    <t xml:space="preserve">- List of root cause improvement proposals submitted and implemented </t>
  </si>
  <si>
    <t>- What root cause improvement proposals have been submitted and implemented?
 已提交并实施了哪些根本原因改进建议？</t>
  </si>
  <si>
    <t>- What statistical and other quantitative methods are used to perform root cause analysis? 
哪些统计方法和其他定量方法用于进行根本原因分析？</t>
  </si>
  <si>
    <t>Evaluate the effect of implemented actions on process performance using statistical 
and other quantitative techniques.
使用统计的与其他量化的技术评价实施的行动对过程性能的影响</t>
  </si>
  <si>
    <t xml:space="preserve">- Based on the action proposal take action within the project towards the projects process performance objectives.
</t>
  </si>
  <si>
    <t>- What process performance measures have been used to demonstrate the causal analysis action proposal(s) where effective in achieving the process performance objectives? 
在实现过程性能目标方面，使用了哪些过程性能度量项来证明根因分析的有效性？</t>
  </si>
  <si>
    <t>Use statistical and other quantitative techniques to evaluate other solutions and processes to determine 
if the resolution should be applied on a broader scale. 
使用统计与其他量化技术来评估其他解决方案和过程，以确定解决办法是否应该在更广泛的范围内应用</t>
  </si>
  <si>
    <t>- Have you implemented the action proposal organisationally? If yes, how did you measure if it was effective? 
您是否实施了行动建议？如果是，如何衡量它是否有效？</t>
  </si>
  <si>
    <t>PROCESS ASSET DEVELOPMENT</t>
  </si>
  <si>
    <t>过程资产开发</t>
    <phoneticPr fontId="8" type="noConversion"/>
  </si>
  <si>
    <t>开发并保持更新执行工作所需的过程资产</t>
    <phoneticPr fontId="8" type="noConversion"/>
  </si>
  <si>
    <t>提供了解和重复成功性能的能力</t>
    <phoneticPr fontId="8" type="noConversion"/>
  </si>
  <si>
    <t>Develop process assets to perform the work.
 开发过程资产来执行工作</t>
  </si>
  <si>
    <t>Determine what process assets will be needed to perform the work. 
确定执行工作所需的过程资产</t>
  </si>
  <si>
    <t>- Library of templates, standards or guidelines
'- Process and process support tools (Aris, Visio for bpm)</t>
  </si>
  <si>
    <t xml:space="preserve">	Develop, buy, or reuse process assets. 
开发、采购或重复使用过程资产</t>
  </si>
  <si>
    <t xml:space="preserve">- Purchased processes and templates, such as Rational unified process or IBM Rational Method Composer (RMC) </t>
  </si>
  <si>
    <t>Make processes and assets available. 
使过程和资产可供使用</t>
  </si>
  <si>
    <t>Develop, keep updated, and follow a strategy for building and updating process assets. 
制定、保持更新并遵循过程资产的构建和更新战略</t>
  </si>
  <si>
    <t>Develop, record, and keep updated a process architecture that describes the structure of the organization's processes and process assets.
 建立、记录并保持更新描述组织过程与过程资产之结构的过程架构</t>
  </si>
  <si>
    <t>- Process architecture contextualising individual processes, such as putting processes in an higher level value chain such as the business model canvas
- Process template format</t>
  </si>
  <si>
    <t>Develop, keep updated, and make processes and assets available for use. 
开发、保持更新过程与资产并使其可供使用</t>
  </si>
  <si>
    <t>Process sponsor/champion and workgroup lists
- Process work teams with Six Sigma black belts and green belts</t>
  </si>
  <si>
    <t>Develop, keep updated, and use tailoring criteria and guidelines for the set of standard processes and assets. 
制定、保持更新并使用标准过程和资产集的裁剪准则和指南</t>
  </si>
  <si>
    <t>Develop, keep updated, and make the organization's process asset library available for use. 
建立、保持更新组织的过程资产库并使其可供使用</t>
  </si>
  <si>
    <t>Develop, keep updated, and make work environment standards available for use. 
制定、保持更新工作环境并使其可供使用</t>
  </si>
  <si>
    <t>Develop, keep updated, and make organizational measurement and analysis standards available for use. 
制定、保持更新组织的度量与分析标准并使其可供使用</t>
  </si>
  <si>
    <t xml:space="preserve"> 估算</t>
  </si>
  <si>
    <t xml:space="preserve">Estimate the size, effort, duration, and cost of the work and resources needed to develop, acquire, or deliver the solution. </t>
    <phoneticPr fontId="8" type="noConversion"/>
  </si>
  <si>
    <t>估算开发、采购或交付解决方案所需的工作和资源的规模、工作量、周期和成本。</t>
  </si>
  <si>
    <t xml:space="preserve">Estimation provides a basis for making commitments, planning, and reducing uncertainty, which allows for early corrective actions and increases the likelihood of meeting objectives. </t>
    <phoneticPr fontId="8" type="noConversion"/>
  </si>
  <si>
    <t>估算为做出承诺、策划和减少不确定性提供了依据，有助于尽早采取纠正措施并提高实现目标的可能性</t>
  </si>
  <si>
    <t>Develop high level estimates to perform the work. 
制定粗略估算来执行工作</t>
  </si>
  <si>
    <t>- High level estimates
- WBS</t>
  </si>
  <si>
    <t/>
  </si>
  <si>
    <t>Develop, keep updated, and use the scope of what is being estimated. 
指定、使用并保持更新估算范围</t>
  </si>
  <si>
    <t>- Scope of work
- WBS</t>
  </si>
  <si>
    <t>Develop and keep updated estimates for the size of the solution. 
制定并保持更新针对解决方案规模的估算</t>
  </si>
  <si>
    <t>Based on size estimates, develop and record effort, duration, and cost estimates and their rationale for the solution.
 根据规模估算来制定并记录解决方案所需的工作量、周期和成本及其依据</t>
  </si>
  <si>
    <t>- Effort, duration or cost estimates based on size estimates
- Algorithm to derive effort, duration, cost from size estimates</t>
  </si>
  <si>
    <t xml:space="preserve">	Develop and keep updated a recorded estimation method. 
制定并保持更新已记录的估算方法</t>
  </si>
  <si>
    <t xml:space="preserve">	Use the organizational measurement repository and process assets for estimating work. 
使用组织的度量库和过程资产进行估算工作</t>
  </si>
  <si>
    <t>过程管理</t>
    <phoneticPr fontId="8" type="noConversion"/>
  </si>
  <si>
    <t>管理和实施过程和基础条件的持续改进来：支持业务目标的实现；确定和实施能够带来最大效益的过程改进；使过程改进结果可见、可使用和可持续</t>
    <phoneticPr fontId="8" type="noConversion"/>
  </si>
  <si>
    <t>Ensures that processes, infrastructure, and their improvement contribute to successfully meeting business objectives.</t>
  </si>
  <si>
    <t>确保过程、基础条件及其环境有助于成功实现业务目标</t>
    <phoneticPr fontId="8" type="noConversion"/>
  </si>
  <si>
    <t>Develop a support structure to provide process guidance, identify and fix process problems, and continuously improve processes. 
建立支持团队来提供过程指导；识别和解决过程问题；以及持续改进流程</t>
  </si>
  <si>
    <t>Appraise the current process implementation and identify strengths and weaknesses. 
评估当前的过程实施情况并确定强项和弱项</t>
  </si>
  <si>
    <t>Address improvement opportunities or process issues. 
应对改进机会或过程问题</t>
  </si>
  <si>
    <t xml:space="preserve">- How do you address process improvements identified via appraisals?
- How do you collect improvements submitted internally within the organisation?
记录了哪些过程改进？ </t>
  </si>
  <si>
    <t>Identify improvements to the processes and process assets. 
识别过程和过程资产的改进</t>
  </si>
  <si>
    <t>- How do you identify and select the proposed improvements? 
确定了针对过程和过程资产的改进有哪些？</t>
  </si>
  <si>
    <t>Develop, keep updated, and follow plans for implementing selected process improvements. 
制定、保持更新并遵循选定的过程改进的实施计划</t>
  </si>
  <si>
    <t>- Plan process updates to incorporate improvement
- Plan deployment of newly released processes
- Improvement pilots</t>
  </si>
  <si>
    <t xml:space="preserve">	Develop, keep updated, and use process improvement objectives traceable to the business objectives. 
制定、使用并保持更新可追溯到业务目标的过程改进目标</t>
  </si>
  <si>
    <t>- Develop process improvement objectives
- Link process improvement objectives to business objectives</t>
  </si>
  <si>
    <t xml:space="preserve">	Identify processes that are the largest contributors to meeting business objectives. 
确定最有助于实现业务目标的过程</t>
  </si>
  <si>
    <t>Explore and evaluate potential new processes, techniques, methods, and tools to identify improvement opportunities.
 探索和评估潜在的新过程、技术、方法和工具来识别改进机会</t>
  </si>
  <si>
    <t>Provide support for implementing, deploying, and sustaining process improvements. 
支持过程改进的实施、部署和维持</t>
  </si>
  <si>
    <t>- Training on new processes releases
- Coaching on new process releases</t>
  </si>
  <si>
    <t>- Process deployment support training
- Process deployment coaching and mentoring- Process deployment PQA</t>
  </si>
  <si>
    <t xml:space="preserve">	Deploy organizational standard processes and process assets. 
部署组织的标准过程和过程资产</t>
  </si>
  <si>
    <t>Evaluate the effectiveness of deployed improvements in achieving process improvement objectives. 
评估已部署的改进在实现过程改进目标方面的有效性</t>
  </si>
  <si>
    <t>- Perform statistical or quantitative analysis that demonstrate improved performance form implementing the improvements
'- Link statistical and quantitively analysis of improvements to business objectives or quality and process performance objectives</t>
  </si>
  <si>
    <t>组织级培训</t>
    <phoneticPr fontId="8" type="noConversion"/>
  </si>
  <si>
    <t>培养人员的技能和知识，以便他们高效且有效地执行他们的角色</t>
    <phoneticPr fontId="8" type="noConversion"/>
  </si>
  <si>
    <t>增强个人的技能和知识，提高组织工作性能</t>
    <phoneticPr fontId="8" type="noConversion"/>
  </si>
  <si>
    <t xml:space="preserve">	Train people.
 培训人员</t>
  </si>
  <si>
    <t>Identify training needs. 
识别培训需要</t>
  </si>
  <si>
    <t>Train personnel and keep records. 
培训人员并保存记录</t>
  </si>
  <si>
    <t xml:space="preserve">	Develop and keep updated the organization's strategic and short term training needs. 
开发并持续更新组织的战略和短期培训需要</t>
  </si>
  <si>
    <t>-  How do you identify strategic and short term training needs?
如何确定战略和短期培训需求？</t>
  </si>
  <si>
    <t xml:space="preserve">	Coordinate training needs and delivery between the projects and the organization. 
在项目和组织之间协调并交付培训需要</t>
  </si>
  <si>
    <t>Develop, keep updated, and follow organizational strategic and short term training plans.
 开发、持续更新并遵循组织的战略和短期培训需要</t>
  </si>
  <si>
    <t>- Class rooms
- Training facilities
- Instructors
- Outsourced courses</t>
  </si>
  <si>
    <t>Assess the effectiveness of the organization's training program.
 评估组织级培训计划的有效性</t>
  </si>
  <si>
    <t>Record, keep updated, and use the set of organizational training records.
 记录、持续更新并使用组织级培训记录集</t>
  </si>
  <si>
    <t>决策分析和解决</t>
  </si>
  <si>
    <t xml:space="preserve">Make and record decisions using a recorded process that analyzes alternatives. </t>
    <phoneticPr fontId="8" type="noConversion"/>
  </si>
  <si>
    <t>使用分析备选方案的已记录过程做出并记录决策</t>
  </si>
  <si>
    <t xml:space="preserve">Increases the objectivity of decision making and the probability of selecting the optimal solution. </t>
    <phoneticPr fontId="8" type="noConversion"/>
  </si>
  <si>
    <t>增加决策的客观性和提高找到最佳解决方案的概率</t>
  </si>
  <si>
    <t>Define and record the alternatives. 
定义并记录备选方案</t>
  </si>
  <si>
    <r>
      <t xml:space="preserve">- Describe decisions you had to make on your project where you had to select from alternative options?
</t>
    </r>
    <r>
      <rPr>
        <sz val="10"/>
        <color rgb="FF002060"/>
        <rFont val="Calibri"/>
        <family val="2"/>
        <scheme val="minor"/>
      </rPr>
      <t xml:space="preserve"> </t>
    </r>
    <r>
      <rPr>
        <sz val="10"/>
        <color rgb="FFFF0000"/>
        <rFont val="Calibri"/>
        <family val="2"/>
        <scheme val="minor"/>
      </rPr>
      <t>是否在执行的过程中定义和记录备选方案？</t>
    </r>
    <r>
      <rPr>
        <sz val="10"/>
        <rFont val="Calibri"/>
        <family val="2"/>
        <scheme val="minor"/>
      </rPr>
      <t xml:space="preserve">
- Do you (a process actor) define and record alternative options (in the process he/she execute)?</t>
    </r>
  </si>
  <si>
    <t>Make and record the decision. 
做出并记录决策</t>
  </si>
  <si>
    <t>- What records of decision making do you keep (after decisions have been made)?
- Do you (a process actor) make and record the decisions on options selected (in the process he/she executes)? 
 是否根据所选备选方案在执行的过程中做出并记录决策？</t>
  </si>
  <si>
    <t>Develop, keep updated, and use rules to determine when to follow a recorded process for criteria based decisions. 
建立、维护并使用规则来确定何时遵循已记录的基于准则的决策过程</t>
  </si>
  <si>
    <t>- DAR guidelines
- DAR points specified within a process activity (for example select a supplier using a defined DAR approach)</t>
  </si>
  <si>
    <t>- Do you (a process actor) have a set of rules that determine when to follow a recorded process for criteria based decision making?
 - What guidelines do you (process actor) have to guide criteria based (or formalised) decision making?
 是否有一套规则来确定何时遵循已记录的基于准则的决策过程</t>
  </si>
  <si>
    <t>Develop criteria for evaluating alternatives. 
建立评价备选方案的准则</t>
  </si>
  <si>
    <t xml:space="preserve">- At these DAR decision points (a process actor) of your process, how do you develop criteria for evaluating alternatives?
 - Can you describe how you develop criteria for the formal decisions you have taken on your project?
 在处理的这些DAR决策点上，您如何建立评价备选方案的准则？
</t>
  </si>
  <si>
    <t>Identify alternative solutions. 
识别备选解决方案的准则</t>
  </si>
  <si>
    <t>- At these formal project decision points, what alternatives have you identified?
 - At these DAR decision points, what alternatives have you identified?
 识别了哪些备选解决方案？</t>
  </si>
  <si>
    <t xml:space="preserve">	Select evaluation methods. 
选择评价方法</t>
  </si>
  <si>
    <t>- Can you describe the evaluation methods you follow for these formal decisions on your project?
 - At these DAR decision points, what evaluation methods for making a decision have been used?
 决策的评价方法有哪些</t>
  </si>
  <si>
    <t xml:space="preserve">	Evaluate and select solutions using criteria and methods. 
使用准则和评价方法来评价和选择解决方案</t>
  </si>
  <si>
    <t>- Have you followed these methods and recorded the results of decisions made using criteria?
 - At these DAR decision points, what decision have you made? Was this based on the alternatives, criteria and decision methods specified above?
 做了哪些决策？使用了哪些准则和评价方法来评价和选择解决方案?</t>
  </si>
  <si>
    <t xml:space="preserve">	Develop, keep updated, and use a description of role based decision authority. 
建立、维护和使用基于角色的决策权威主体的描述</t>
  </si>
  <si>
    <t>- What role based decision making guidelines or processes do you have in the organisation?
 - Explain role based decision authority in your organisation?
 请针对基于角色的决策权威主体做相应描述</t>
  </si>
  <si>
    <t>监视与控制</t>
    <phoneticPr fontId="8" type="noConversion"/>
  </si>
  <si>
    <t>提供对项目进度的掌握，以便在绩效显著偏离计划时采取适当的纠正措施</t>
    <phoneticPr fontId="8" type="noConversion"/>
  </si>
  <si>
    <t>通过及早采取行动调整显著绩效偏差，提高达成目标的可能性</t>
    <phoneticPr fontId="8" type="noConversion"/>
  </si>
  <si>
    <t>Record task completions. 
记录任务完成情况</t>
  </si>
  <si>
    <t>- Minutes with completed tasks
- Plan with completed tasks</t>
  </si>
  <si>
    <t>Identify and resolve issues. 
识别并解决问题</t>
  </si>
  <si>
    <t>Track actual results against estimates for size, effort, schedule, resources, knowledge and skills, and budget. 
从规模、工作量、进度、资源、知识和技能以及预算等方面，对比估算跟踪实际结果</t>
  </si>
  <si>
    <t>Track the involvement of identified stakeholders and commitments.
 跟踪已识别的利益相关方参与和承诺情况</t>
  </si>
  <si>
    <t>- How do you manage stakeholder invovlment to ensure successful work completion?
- How do you check that stakeholders are involve as per the plan?
如何跟踪利益相关方的参与情况</t>
  </si>
  <si>
    <t>Monitor the transition to operations and support. 
监控向运营和支持的迁移</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</si>
  <si>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</si>
  <si>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</si>
  <si>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Take corrective actions when actual results differ significantly from planned results and manage to closure. 
当实际结果相较于计划结果存在显著差异时，采取纠正措施并管理直至关闭</t>
  </si>
  <si>
    <t>Manage the project using the project plan and the project process. 
使用项目计划和项目过程管理项目</t>
  </si>
  <si>
    <t>- Project plan
- Project schedule</t>
  </si>
  <si>
    <t>- What procesess do you use for manaign the projects?</t>
  </si>
  <si>
    <t>Manage critical dependencies and activities. 
管理关键依赖关系和活动</t>
  </si>
  <si>
    <t>Manage and resolve issues with affected stakeholders. 
管理和解决受影响的干系人的问题</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</si>
  <si>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</si>
  <si>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同行评审</t>
    <phoneticPr fontId="8" type="noConversion"/>
  </si>
  <si>
    <t>通过生产者同行或主体专家（SME）的评审来识别并解决工作产品的问题</t>
    <phoneticPr fontId="8" type="noConversion"/>
  </si>
  <si>
    <t>及早发现问题或缺陷，降低成本和返工</t>
    <phoneticPr fontId="8" type="noConversion"/>
  </si>
  <si>
    <t>Perform reviews of work products and record issues. 
对工作产品进行评审并记录问题</t>
  </si>
  <si>
    <t>Develop and keep updated procedures and supporting materials used to prepare for and perform peer reviews. 
开发并持续更新用于准备和执行同行评审的程序与支持材料</t>
  </si>
  <si>
    <t>Select work products to be peer reviewed. 
选择要进行同行评审的工作产品</t>
  </si>
  <si>
    <t>Prepare and perform peer reviews on selected work products using established procedures. 
使用既定程序准备和执行选定工作产品的同行评审</t>
  </si>
  <si>
    <t>- Prepare for peer reviews
- Conduct peer reviews based on review criteria
- Record results of peer review</t>
  </si>
  <si>
    <t xml:space="preserve">	Resolve issues identified in peer reviews. 
解决同行评审中发现的问题</t>
  </si>
  <si>
    <t>Analyze results and data from peer reviews. 
分析从同行评审得到的结果和数据</t>
  </si>
  <si>
    <t>- Analyse the results of peer reviews
'- Register improvements based on results
'- Take corrective action on the project based on the results of the peer reviews
'- Monitor the performance of processes for possible signals from peer review data</t>
  </si>
  <si>
    <t>风险与机会管理</t>
    <phoneticPr fontId="8" type="noConversion"/>
  </si>
  <si>
    <t>识别、记录、分析和管理潜在地风险或机会</t>
    <phoneticPr fontId="8" type="noConversion"/>
  </si>
  <si>
    <t>缓解不利影响或充分利用积极影响来提高实现目标地可能性</t>
    <phoneticPr fontId="8" type="noConversion"/>
  </si>
  <si>
    <t>Identify and record risks or opportunities and keep them updated. 
识别、记录风险或机会并持续对其更新</t>
  </si>
  <si>
    <t>Analyze identified risks or opportunities. 
分析已识别地风险或机会</t>
  </si>
  <si>
    <t>Monitor identified risks or opportunities and communicate status to affected stakeholders. 
监控已识别地风险或机会并与受影响地干系人沟通风险或机会地状态</t>
  </si>
  <si>
    <t xml:space="preserve">		Identify and use risk or opportunity categories. 
识别和使用风险或机会类别</t>
  </si>
  <si>
    <t>Define and use parameters for risk or opportunity analysis and handling. 
定义和使用用于风险或机会分析和处理地参数</t>
  </si>
  <si>
    <t>Develop and keep updated a risk or opportunity management strategy. 
制定和持续更新风险或机会管理策略</t>
  </si>
  <si>
    <t>Develop and keep updated risk or opportunity management plans. 
制定和持续更新风险或机会管理计划</t>
  </si>
  <si>
    <t xml:space="preserve">	Manage risks or opportunities by implementing planned risk or opportunity management activities. 
通过实施已计划地风险或机会管理活动来管理风险或机会</t>
  </si>
  <si>
    <t>策划</t>
    <phoneticPr fontId="8"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</si>
  <si>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</si>
  <si>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8" type="noConversion"/>
  </si>
  <si>
    <t>优化成本、功能和质量以增加实现目标的可能性</t>
    <phoneticPr fontId="8" type="noConversion"/>
  </si>
  <si>
    <t>Develop a list of tasks. 
制定任务列表</t>
  </si>
  <si>
    <t>Assign people to tasks.
 将人员分配到任务</t>
  </si>
  <si>
    <t>Develop and keep updated the approach for accomplishing the work. 
开发完成工作的方法并保持更新</t>
  </si>
  <si>
    <t>Plan for the knowledge and skills needed to perform the work. 
计划执行工作所需的知识和技能</t>
  </si>
  <si>
    <t>Based on recorded estimates, develop and keep the budget and schedule updated. 
根据记录的估算，制定预算和进度并保持更新</t>
  </si>
  <si>
    <t>Plan the involvement of identified stakeholders. 
计划已识别的干系人的参与</t>
  </si>
  <si>
    <t>Plan transition to operations and support. 
计划向运营和支持的转移</t>
  </si>
  <si>
    <t>Ensure plans are feasible by reconciling available and estimated resources.
 通过协商可用资源和估算的资源确保计划的可行性</t>
  </si>
  <si>
    <t>Develop the project plan, ensure consistency among its elements, and keep it updated. 
制定项目计划，确保其元素之间的一致性，并保持更新</t>
  </si>
  <si>
    <t xml:space="preserve">	Review plans and obtain commitments from affected stakeholders.
 评审计划并获得受影响的干系人的承诺</t>
  </si>
  <si>
    <t>Use the organization's set of standard processes and tailoring guidelines to develop, keep updated, and follow the project process.
 使用组织的标准过程集和裁剪指南来开发项目过程，保持更新，并遵循项目过程</t>
  </si>
  <si>
    <t>- Explain how you derive your plan form your organisational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</si>
  <si>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使用项目过程、组织的过程资产和度量库制定计划并保持更新</t>
  </si>
  <si>
    <t>Identify and negotiate critical dependencies. 
识别和协商关键依赖关系</t>
  </si>
  <si>
    <t>Plan for the project environment and keep it updated based on the organization's standards. 
根据组织标准计划项目环境并保持更新</t>
  </si>
  <si>
    <t xml:space="preserve">	Use statistical and other quantitative techniques to develop and keep the project processes updated to enable achievement of the quality and process performance objectives.[Additional Requirement Information: Managing the progress towards achieving qppo ojbectives should be an integral part of how the project is planned and manged.] 
使用统计与其他量化技术来开发项目过程并保持更新，以实现质量与过程性能目标</t>
  </si>
  <si>
    <t>需求开发和管理</t>
    <phoneticPr fontId="8" type="noConversion"/>
  </si>
  <si>
    <t>抽取需求，确保利益相关方取得一致理解，并调整需求、计划和工作产品</t>
    <phoneticPr fontId="8" type="noConversion"/>
  </si>
  <si>
    <t>确保客户地需求和期望得到满足</t>
    <phoneticPr fontId="8" type="noConversion"/>
  </si>
  <si>
    <t>Record requirements. 
记录需求</t>
  </si>
  <si>
    <t>Elicit stakeholder needs, expectations, constraints, and interfaces or connections.
 抽取利益相关方地需求、期望、约束条件和接口或连接</t>
  </si>
  <si>
    <t>Transform stakeholder needs, expectations, constraints, and interfaces or connections into prioritized customer requirements. 
将利益相关方地需求、期望、约束条件、接口或连接转化为优先地客户需求</t>
  </si>
  <si>
    <t>Develop an understanding with the requirements providers on the meaning of the requirements. 
与需求提供者就需求地含义达成一致</t>
  </si>
  <si>
    <t>Obtain commitment from project participants that they can implement the requirements. 
获得项目参与者地承诺，即他们可以落实这些需求</t>
  </si>
  <si>
    <t>Develop, record, and maintain bidirectional traceability among requirements and activities or work products. 
开发，记录和维护需求和活动或工作产品之间地双向可追溯性</t>
  </si>
  <si>
    <t>What bidirectional traceability do you develop and maintain among requirements, other work products or planned activities?
会开发，记录和维护需求和活动或工作产品之间地哪些双向可追溯性？</t>
  </si>
  <si>
    <t xml:space="preserve">		Ensure that plans and activities or work products remain consistent with requirements.
 确保计划和活动或工作产品与需求保持一致</t>
  </si>
  <si>
    <t>How do you ensure that plans and activities (or work products to be delivered) are consistent with the requirements?
如何确保计划和活动或工作产品与需求保持一致性？</t>
  </si>
  <si>
    <t>Develop and keep requirements updated for the solution and its components.
 开发并持续更新解决方案及组件地需求</t>
  </si>
  <si>
    <t>How do you ensure that requirements are kept up to date for the solution (and its components)?
如何解决方案及组件地需求的及时更新</t>
  </si>
  <si>
    <t>Develop operational concepts and scenarios. 
开发操作概念和场景</t>
  </si>
  <si>
    <t>Allocate the requirements to be implemented. 
分配要落实地需求</t>
  </si>
  <si>
    <t xml:space="preserve">	Identify, develop, and keep updated interface or connection requirements. 
识别、开发并持续更新接口或连接需求</t>
  </si>
  <si>
    <t>Ensure that requirements are necessary and sufficient. 
确保需求是必要且充分的</t>
  </si>
  <si>
    <t>Balance stakeholder needs and constraints 
在利益相关方地需求和约束条件之间取得平衡</t>
  </si>
  <si>
    <t>Validate requirements to ensure the resulting solution will perform as intended in the target environment. 
确认需求，以确保生成地解决方案在目标环境中按照预期工作</t>
  </si>
  <si>
    <t>产品集成</t>
    <phoneticPr fontId="8" type="noConversion"/>
  </si>
  <si>
    <t>集成并交付满足功能和质量需求地解决方案</t>
    <phoneticPr fontId="8" type="noConversion"/>
  </si>
  <si>
    <t>通过提供达到或超过其功能和质量要求地解决方案来提高客户地满意度</t>
    <phoneticPr fontId="8" type="noConversion"/>
  </si>
  <si>
    <t>Assemble solutions and deliver to the customer. 
组装解决方案并交付给客户</t>
  </si>
  <si>
    <t>Develop, keep updated, and follow an integration strategy. 
开发、持续更新并遵循集成策略</t>
  </si>
  <si>
    <t>Develop, keep updated, and use the integration environment. 
开发、持续更新并使用集成环境</t>
  </si>
  <si>
    <t>Develop, keep updated, and follow procedures and criteria for integrating solutions and components. 
开发、持续更新并遵循用于集成解决方案和组件地规程和准则</t>
  </si>
  <si>
    <t>Confirm, prior to integration, that each component has been properly identified and operates according to its requirements and design. 
在集成之前，确认每个组件已被正确识别并按照其需求和设计正常工作</t>
  </si>
  <si>
    <t>- How do you ensure, prior to integration, that each component has been properly identified and operates according to its requirements and design? 
在集成之前，如何确认每个组件已被正确识别并按照其需求和设计正常工作？</t>
  </si>
  <si>
    <t>Evaluate integrated components to ensure conformance to the solution's requirements and design. 
评价集成地组件以确保其符合解决方案地需求和设计</t>
  </si>
  <si>
    <t xml:space="preserve">	Integrate solutions and components according to the integration strategy. 
根据集成策略集成解决方案和组件</t>
  </si>
  <si>
    <t>Review and keep updated interface or connection descriptions for coverage, completeness, and consistency throughout the solution's life.
在整个解决方案地生命周期中，评审并持续更新接口或连接描述地覆盖范围、完整性和一致性</t>
  </si>
  <si>
    <t>Evaluate integrated components for interface or connection compatibility. 
评价已集成组件地接口或连接地兼容性</t>
  </si>
  <si>
    <t>技术解决方案</t>
    <phoneticPr fontId="8" type="noConversion"/>
  </si>
  <si>
    <t>设计和构建满足客户需求的解决方案</t>
    <phoneticPr fontId="8" type="noConversion"/>
  </si>
  <si>
    <t>Provides a cost effective design and solution that meets customer requirements and reduces rework.</t>
  </si>
  <si>
    <t>提供高效的设计和解决方案，以满足客户需求并且减少返工</t>
    <phoneticPr fontId="8" type="noConversion"/>
  </si>
  <si>
    <t>Build solution to meet requirements. 
构建能够满足需求的解决方案</t>
  </si>
  <si>
    <t>Design and build a solution to meet requirements. 
设计和构建能够满足需求的解决方案</t>
  </si>
  <si>
    <t>Evaluate the design and address identified issues. 
评估设计并解决识别的问题</t>
  </si>
  <si>
    <t xml:space="preserve">	Provide guidance on use of the solution. 
提供解决方案的使用指导</t>
  </si>
  <si>
    <t>Develop criteria for design decisions. 
制定设计决策标准</t>
  </si>
  <si>
    <t>Develop alternative solutions for selected components. 
制定针对选定组件的备选解决方案</t>
  </si>
  <si>
    <t>Perform a build, buy, or reuse analysis.
 执行构建、采购或复用分析</t>
  </si>
  <si>
    <t xml:space="preserve">	Select solutions based on design criteria. 
根据设计标准选择解决方案</t>
  </si>
  <si>
    <t>Develop, keep updated, and use information needed to implement the design. 
制定、保持更新并采用实现设计所需的信息</t>
  </si>
  <si>
    <t>Design solution interfaces or connections using established criteria. 
使用既定标准设计解决方案接口或连接</t>
  </si>
  <si>
    <t>How do you design solution interfaces (or connections) using established criteria?
如何使用既定标准设计解决方案接口或连接？</t>
  </si>
  <si>
    <t>验证和确认</t>
    <phoneticPr fontId="8" type="noConversion"/>
  </si>
  <si>
    <t>验证和确认的活动包括：确认选定的解决方案和组件能够满足需求</t>
    <phoneticPr fontId="8" type="noConversion"/>
  </si>
  <si>
    <t>正式选定的解决方案和组件在目标环境下能够实现其预期用途</t>
    <phoneticPr fontId="8" type="noConversion"/>
  </si>
  <si>
    <t xml:space="preserve">	Perform verification to ensure the requirements are implemented and record and communicate results. 
执行验证来确保需求得到实现并记录和沟通结果</t>
  </si>
  <si>
    <t>- What verification do you perform to ensure that requirements are implemented? 
会执行哪些验证来确保需求得到实现？</t>
  </si>
  <si>
    <t>Perform validation to ensure the solution will function as intended in its target environment and record and communicate results. 
执行确认来确保解决方案在目标环境下按预期运行并记录和沟通结果</t>
  </si>
  <si>
    <t>Select components and methods for verification and validation.
 选择用于验证和确认的组件和方法</t>
  </si>
  <si>
    <t>Develop, keep updated, and use the environment needed to support verification and validation.
 开发、使用并保持更新支持验证和确认所需的环境</t>
  </si>
  <si>
    <t>Develop, keep updated, and follow procedures for verification and validation. 
制定、保持更新并遵循验证和确认程序</t>
  </si>
  <si>
    <t>- What procedures do you use for verification and validation? 
使用哪些程序进行验证和确认？
- How are these developed and maintained?
这些是如何开发和维护的？</t>
  </si>
  <si>
    <t>Develop, keep updated, and use criteria for verification and validation. 
制定、使用并保持更新验证和确认标准</t>
  </si>
  <si>
    <t>- What criteria do you establish for verification and validation? 
建立什么标准进行验证和确认？
- How are these developed and maintain?
这些是如何开发和维护的？</t>
  </si>
  <si>
    <t>Analyze and communicate verification and validation results. 
分析和沟通验证和确认结果</t>
  </si>
  <si>
    <t>- How do you analyse the results of verification and validation? 
如何分析验证和确认的结果？
- How is the results used and communicated?
结果如何使用和传达？</t>
  </si>
  <si>
    <t>SUPPLIER AGREEMENT MANAGEMENT</t>
  </si>
  <si>
    <t>供应商协议管理</t>
    <phoneticPr fontId="8" type="noConversion"/>
  </si>
  <si>
    <t>Establish an agreement with selected suppliers, ensure that the supplier and the acquirer perform according to the terms over the course of the agreement, and evaluate the supplier's deliverables.</t>
  </si>
  <si>
    <t>与选定地供应商签订协议，确保供应商和采购方在协议有效期间履行协议，并评估供应商的交付物</t>
    <phoneticPr fontId="8" type="noConversion"/>
  </si>
  <si>
    <t>Provides an explicit understanding between the acquirer and supplier to maximize the success of agreed-on efforts to deliver a supplier deliverable.</t>
  </si>
  <si>
    <t>为采购方与供应商提供明确的共识，从而最大限度的推动供应商依据协议进行交付</t>
    <phoneticPr fontId="8" type="noConversion"/>
  </si>
  <si>
    <t>SAM 1.1</t>
  </si>
  <si>
    <t xml:space="preserve">	Develop and record the supplier agreement.
 开发和记录供应商协议</t>
  </si>
  <si>
    <t>- What supplier agreements do you record?
记录哪些供应商协议？</t>
  </si>
  <si>
    <t>SAM 1.2</t>
  </si>
  <si>
    <t>Accept or reject the supplier deliverables. 
接受或拒收供应商交付物</t>
  </si>
  <si>
    <t>- How do you accept or reject the supplier deliverables?
如何接受或拒收供应商交付物？</t>
  </si>
  <si>
    <t>SAM 1.3</t>
  </si>
  <si>
    <t>Process supplier invoices. 
处理供应商发票</t>
  </si>
  <si>
    <t>- How do you process supplier invoices?
如何处理供应商发票？</t>
  </si>
  <si>
    <t>SAM 2.1</t>
  </si>
  <si>
    <t xml:space="preserve">	Monitor supplier as specified in the supplier agreement and keep agreement updated. 
根据供应商协议监督供应商并保持协议更新</t>
  </si>
  <si>
    <t>- How do you monitor supplier actions and deliverables? How is this established and maintained in an agreement?
如何监督供应商和交付物？如何建立和维护供应商协议？</t>
  </si>
  <si>
    <t>SAM 2.2</t>
  </si>
  <si>
    <t>Perform activities as specified in the supplier agreement.
 根据供应商协议执行活动</t>
  </si>
  <si>
    <t>- How do you perform activities that is specified in the supplier agreement?
如何根据供应商协议执行活动？</t>
  </si>
  <si>
    <t>SAM 2.3</t>
  </si>
  <si>
    <t>Verify that the supplier agreement is satisfied before accepting the acquired supplier deliverable. 
在接收之前先验证采购的供应商交付物是否符合供应商协议</t>
  </si>
  <si>
    <t>- How do you verify that the supplier agreement is satisfied before accepting the acquired supplier deliverables?
在接收之前，如何验证采购的供应商交付物是否符合供应商协议？</t>
  </si>
  <si>
    <t>SAM 2.4</t>
  </si>
  <si>
    <t>Manage invoices submitted by the supplier according to the supplier agreements. 
根据供应商协议管理供应商提交的发票</t>
  </si>
  <si>
    <t>- How do you manage invoices submitted by the supplier? How is this done in accordance with the supplier agreement?
如何管理供应商提交的发票？如何按照供应商协议进行操作？</t>
  </si>
  <si>
    <t>SAM 3.1</t>
  </si>
  <si>
    <t>Select technical supplier deliverables for analysis and conduct technical reviews. 
选择技术类的供应商交付物进行分析并执行技术评审</t>
  </si>
  <si>
    <t>- Can you explain how you would select technical supplier deliverables for analysis and how technical reviews are conducted on these deliverables?
能否解释一下如何选择技术供应商可交付成果进行分析，以及如何对这些可交付成果进行技术审查？</t>
  </si>
  <si>
    <t>SAM 3.2</t>
  </si>
  <si>
    <t xml:space="preserve">	Select and monitor supplier processes and deliverables based on criteria in the supplier agreement. 
根据供应商协议中的标准选择和监督供应商过程和交付物</t>
  </si>
  <si>
    <t>- Can you explain how you would select and monitor supplier processes and deliverables base don criteria in the supplier agreement?
能解释一下如何根据供应商协议中的标准选择和监视供应商流程和可交付成果吗？</t>
  </si>
  <si>
    <t>https://docs.microsoft.com/en-us/sql/connect/oledb/download-oledb-driver-for-sql-server?view=sql-server-ver15</t>
  </si>
  <si>
    <t>https://go.microsoft.com/fwlink/?linkid=866658</t>
  </si>
  <si>
    <t>NOTE: KEEP SPACE BETWEEN PA AND x.y, for example CAR 1.1 (NOT CAR1.1)</t>
  </si>
  <si>
    <t>PvZ</t>
  </si>
  <si>
    <t>Search string &gt;&gt;</t>
  </si>
  <si>
    <t>FirstSort</t>
  </si>
  <si>
    <t>SecondSort</t>
  </si>
  <si>
    <t>QuestionEnglish</t>
  </si>
  <si>
    <t>QuestionChinese</t>
  </si>
  <si>
    <t>ExpectedAnswerEnglish</t>
  </si>
  <si>
    <t>List of investigated outcomes</t>
  </si>
  <si>
    <t xml:space="preserve">Purchased processes and templates, such as Rational unified process or IBM Rational Method Composer (RMC) </t>
  </si>
  <si>
    <t>Processes and process template library on GitHub, SVN, Drobox or SharePoint</t>
  </si>
  <si>
    <t>Organisational process for developing new and maintaining existing processes</t>
  </si>
  <si>
    <t>Estimation algorithm (or method)</t>
  </si>
  <si>
    <t>Appraisal report</t>
  </si>
  <si>
    <t>Process improvement register</t>
  </si>
  <si>
    <t>Evaluation results of new processes, techniques, methods or tools</t>
  </si>
  <si>
    <t>Process release effectiveness assessment against business objectives</t>
  </si>
  <si>
    <t>Invoice approval limits based on management level</t>
  </si>
  <si>
    <t>Minutes with issues identified</t>
  </si>
  <si>
    <t>Meeting attendance registers</t>
  </si>
  <si>
    <t>Identified critical dependencies in the project plan and schedule</t>
  </si>
  <si>
    <t>Minutes of actions to address work environments issues</t>
  </si>
  <si>
    <t>Relevant stakeholder meeting minutes</t>
  </si>
  <si>
    <t>Develop measurement competencies</t>
  </si>
  <si>
    <t>Define the scope of the analysis
, Collect relevant data
, Determine which outcomes to analyse further, Analysis results
, Outcomes selected for further Analysis</t>
  </si>
  <si>
    <t>Identify the affected stakeholders and involve them
, Perform causal analysis.
, Implement actions to address causes
, Communicate the result of the actions taken, List of causes identified
, List of actions taken on causes</t>
  </si>
  <si>
    <t>Identify stakeholders for a car analysis
, Follow the organisational process for car
, Use the the organisational tools for performing car
, Document the root causes, car processes, car tools and templates
, List of root causes identified</t>
  </si>
  <si>
    <t>Identified actions to address causes, Lost of actions identified to address causes</t>
  </si>
  <si>
    <t>Prioritise actions based on benefits, Prioritised actions
, Action implementation steps and plans
, Grouped common causes</t>
  </si>
  <si>
    <t>Root cause analysis data is recorded and distributed, Root cause analysis records</t>
  </si>
  <si>
    <t xml:space="preserve">Submit root cause improvement proposals
, Implement root cause improvement proposals
, List of root cause improvement proposals submitted and implemented </t>
  </si>
  <si>
    <t>Use of control charts to identify signals for root cause analysis, Control chart signal detection rules</t>
  </si>
  <si>
    <t>Based on the action proposal take action within the project towards the projects process performance objectives.
, Projects process performance objective before the action proposal and after the action proposal.</t>
  </si>
  <si>
    <t>Comparing process performance baselines before and after the root cause action proposal has been implemented on the process across the organisation., Process control charts before and after root cause action proposal has been taken</t>
  </si>
  <si>
    <t>DAR guidelines
, DAR points specified within a process activity (for example select a supplier using a defined DAR approach)</t>
  </si>
  <si>
    <t>Make high level estimates of work effort, cost or duration, High level estimates
, WBS</t>
  </si>
  <si>
    <t>Work scoping session, Scope of work
, WBS</t>
  </si>
  <si>
    <t>Size the work packages, Work package size estimates</t>
  </si>
  <si>
    <t>Use historical measurements and the size estimates to determine effort, duration or cost estimates, Effort, duration or cost estimates based on size estimates
, Algorithm to derive effort, duration, cost from size estimates</t>
  </si>
  <si>
    <t>Use the organisation measurement repository (historical data) as input into the estimation algorithm to derive new estimates for the current work package, Organisational measurement repository</t>
  </si>
  <si>
    <t>Determine how the organisation will improve
确定组织要如何改进
, Set the approach for improvement
设定改进方法
, Communicate the result of improvement
沟通改进的结果, Improvement approach/strategy
改进方法/策略
, Improvement targets
改进的目标</t>
  </si>
  <si>
    <t>Develop the strategy (may include a mission and/or vision statement) 
, Define a strategic target to be achieved, Organisational strategy with strategic targets
, Process improvement directives in support of achieving the strategic targets</t>
  </si>
  <si>
    <t>Senior management makes training resources (budget, tools, staff) available to support process training, Process training function in the organisational chart
, Budget for process training resources (staff, tools, facilities)</t>
  </si>
  <si>
    <t>Process improvement status review (improvements registered and incorporated)
, Process performance reporting to senior management, Process improvement register and the status thereof
, Process improvement performance reports</t>
  </si>
  <si>
    <t>Verify compliance to directives
, Review performance improvements
, Review improvement trends, Improvement incentives, rewards and recognition for process "champions"</t>
  </si>
  <si>
    <t>Make resources available for measurement activities, Updated organisation measurement repository</t>
  </si>
  <si>
    <t>Review process performance results (statistical and quantitative based)
, Set new targets based on existing performance results (statistical and quantitative based)</t>
  </si>
  <si>
    <t>Processes are preformed (can be ad-hoc) 
执行过程, Process compliance check
过程遵从检查</t>
  </si>
  <si>
    <t>Budget is made available for a process group  
过程组的可用预算
, A process group structure is established
过程组结构已建立, Engineering Process Group
工程过程组</t>
  </si>
  <si>
    <t>Write processes, Process documentation</t>
  </si>
  <si>
    <t>Tailor organisational process assets for a project
为项目裁剪组织过程资产, Tailored process
已裁剪的过程
, Organisational process assets
组织过程资产
, Tailoring guidelines</t>
  </si>
  <si>
    <t>Process compliance audit
过程遵从检查, Process compliance
过程遵从</t>
  </si>
  <si>
    <t>Lessons learned from following a process is collected 
收集相关过程中的经验教训, Process improvements registered
已注册流程改进</t>
  </si>
  <si>
    <t>Minutes with completed tasks
, Plan with completed tasks</t>
  </si>
  <si>
    <t>Monitor transition and support activities
, Attend change control board meetings for transitioning of solution Reports showing activities/tasks are achived as per transaiton planning.
, Monitoring Transition milestones are met.
, Release records
, Operation and support acceptance records</t>
  </si>
  <si>
    <t>Set thresholds for when corrective actions must be taken, Reports showing thresholds exceeded (planned versus actual)</t>
  </si>
  <si>
    <t>Using the tailroing guidliens, develop a project plan for the project from the orgnaisaitonal set of standard process assets, Project plan
, Project schedule</t>
  </si>
  <si>
    <t>Class rooms
, Training facilities
, Instructors
, Outsourced courses</t>
  </si>
  <si>
    <t>Perform some form of process engineering, Any process assets</t>
  </si>
  <si>
    <t>Library of templates, standards or guidelines
', Process and process support tools (Aris, Visio for bpm)</t>
  </si>
  <si>
    <t>Process architecture contextualising individual processes, such as putting processes in an higher level value chain such as the business model canvas
, Process template format</t>
  </si>
  <si>
    <t>Process Engineering Steering committee meetingsProcess sponsor/champion and workgroup lists
, Process work teams with Six Sigma black belts and green belts</t>
  </si>
  <si>
    <t>EPG developing processes, EPG structure</t>
  </si>
  <si>
    <t>Evaluate improvements to select most promising improvements, Subset of proposed improvements from the full list of suggested (identified) improvements.</t>
  </si>
  <si>
    <t>Plan process updates to incorporate improvement
, Plan deployment of newly released processes
, Improvement pilots, Process improvement action plan (implementation plan)</t>
  </si>
  <si>
    <t>Develop process improvement objectives
, Link process improvement objectives to business objectives, Business objective traced to process improvement objectives</t>
  </si>
  <si>
    <t>Identify major process improvements and their potential contribution to business objectives, Process improvement value assessment</t>
  </si>
  <si>
    <t>Training on new processes releases
, Coaching on new process releases, Process deployment support training
, Process deployment coaching and mentoring, Process deployment PQA</t>
  </si>
  <si>
    <t>Develop a transition plan for projects to manage the deployment of new process releases, Released process asset library</t>
  </si>
  <si>
    <t>Perform statistical or quantitative analysis that demonstrate improved performance form implementing the improvements
', Link statistical and quantitively analysis of improvements to business objectives or quality and process performance objectives, Mean values and UCL/LCL of previous baseline versus mean value and UCL/LCL of new process baseline</t>
  </si>
  <si>
    <t>Prepare for peer reviews
, Conduct peer reviews based on review criteria
, Record results of peer review</t>
  </si>
  <si>
    <t>Analyse the results of peer reviews
', Register improvements based on results
', Take corrective action on the project based on the results of the peer reviews
', Monitor the performance of processes for possible signals from peer review data</t>
  </si>
  <si>
    <t>What is the process you follow to determine root causes?
 确定根本原因所遵循的过程是什么？</t>
  </si>
  <si>
    <t xml:space="preserve">What is your strategy (business goals) do you have? What policies do you have to support you achieving the strategy (business goals)? Does the policy require staff to follow proces in support of your strategy (business goals)? 
How do they tell staff that they expect them to follow process in order to achieve the business objectives? 
How does senior management identify what is essential for doing work?
How does senior management define the approach needed to accomplish the objectives of the organisation?       </t>
  </si>
  <si>
    <t xml:space="preserve">HOw do you communicate your strategy (business goals) to staff? How do you communicate your policy to staff?
What organisational objectives has senior management defined and communicated?
Are these objectives to be achieved through process improvements?	</t>
  </si>
  <si>
    <t xml:space="preserve">What resources (budget, people, tools, structure)  and training have you (senior management) provided for 1) developing, supporting, 2) performing, 3) improving and 4) evaluating adherence to expected processes?	 </t>
  </si>
  <si>
    <t>What information (reporting) do you request (and do you obtain) from projects and support functions that informat you about strategy (business goal) acheivement? How do you (senior management) provide governance and oversight of effective process implementation and improvement?</t>
  </si>
  <si>
    <t>What quality assurance reports do you obtain about compliance/ non-compliance to your policy (in support of your strategy)? What do you do with non-complinace? How do you handel exemplary compliance and support for process? How do you (senior management) provide governance and oversight of effective process implementation and improvement?</t>
  </si>
  <si>
    <t>How do you (senior management) ensure that competencies and processes align with the goals of the organisation?</t>
  </si>
  <si>
    <t xml:space="preserve">How do you (senior management) ensure that selected (key or important business) decisions are driven by statistical and quantitative analysis? </t>
  </si>
  <si>
    <t>What procesess do you use for manaign the projects?</t>
  </si>
  <si>
    <t xml:space="preserve">Do you have a list of outcomes (opportunities or defects) to investigate? </t>
  </si>
  <si>
    <t>有调查结果（改进机会或缺陷）的列表嘛？</t>
  </si>
  <si>
    <t>Can you provide us with a list of outcomes (opportunity/defects) for analysis?</t>
  </si>
  <si>
    <t>可否向我们提供分析结果（机会/缺陷）列表？</t>
  </si>
  <si>
    <t>Do you have a list of causes (for outcomes) identified in analysis?</t>
  </si>
  <si>
    <t xml:space="preserve">是否有分析中识别出的原因的列表（结果）？ </t>
  </si>
  <si>
    <t>Do you have a list of actions to address the causes identified?</t>
  </si>
  <si>
    <t>有没有针对已识别原因的解决方法的列表？</t>
  </si>
  <si>
    <t>What actions have you identified to address causes?</t>
  </si>
  <si>
    <t>确定要采取哪些行动解决问题？</t>
  </si>
  <si>
    <t xml:space="preserve">How do you select actions proposals to address identified causes? </t>
  </si>
  <si>
    <t>如何选择行动建议以解决已确定的问题</t>
  </si>
  <si>
    <t xml:space="preserve">What data is recorded about root cause resolution? </t>
  </si>
  <si>
    <t>根本原因解决方案的记录数据有哪些？</t>
  </si>
  <si>
    <t>What root cause improvement proposals have been submitted and implemented?</t>
  </si>
  <si>
    <t>已提交并实施了哪些根本原因改进建议？</t>
  </si>
  <si>
    <t xml:space="preserve">What statistical and other quantitative methods are used to perform root cause analysis? </t>
  </si>
  <si>
    <t>哪些统计方法和其他定量方法用于进行根本原因分析？</t>
  </si>
  <si>
    <t xml:space="preserve">What process performance measures have been used to demonstrate the causal analysis action proposal(s) where effective in achieving the process performance objectives? </t>
  </si>
  <si>
    <t>在实现过程性能目标方面，使用了哪些过程性能度量项来证明根因分析的有效性？</t>
  </si>
  <si>
    <t xml:space="preserve">Have you implemented the action proposal organisationally? If yes, how did you measure if it was effective? </t>
  </si>
  <si>
    <t>您是否实施了行动建议？如果是，如何衡量它是否有效？</t>
  </si>
  <si>
    <t>Describe decisions you had to make on your project where you had to select from alternative options?
Do you (a process actor) define and record alternative options (in the process he/she execute)?</t>
  </si>
  <si>
    <t>是否在执行的过程中定义和记录备选方案？</t>
  </si>
  <si>
    <t>Do you (a process actor) define and record alternative options (in the process he/she execute)?</t>
  </si>
  <si>
    <t>是否根据所选备选方案在执行的过程中做出并记录决策？</t>
  </si>
  <si>
    <t>What records of decision making do you keep (after decisions have been made)?</t>
  </si>
  <si>
    <t xml:space="preserve">Do you (a process actor) make and record the decisions on options selected (in the process he/she executes)? </t>
  </si>
  <si>
    <t>是否有一套规则来确定何时遵循已记录的基于准则的决策过程</t>
  </si>
  <si>
    <t>What guidelines do you (process actor) have to guide criteria based (or formalised) decision making?</t>
  </si>
  <si>
    <t>Do you (a process actor) have a set of rules that determine when to follow a recorded process for criteria based decision making?</t>
  </si>
  <si>
    <t>At these DAR decision points (a process actor) of your process, how do you develop criteria for evaluating alternatives?</t>
  </si>
  <si>
    <t>在处理的这些DAR决策点上，您如何建立评价备选方案的准则？</t>
  </si>
  <si>
    <t xml:space="preserve">Can you describe how you develop criteria for the formal decisions you have taken on your project?
</t>
  </si>
  <si>
    <t>识别了哪些备选解决方案？</t>
  </si>
  <si>
    <t xml:space="preserve">At these formal project decision points, what alternatives have you identified? </t>
  </si>
  <si>
    <t>At these DAR decision points, what alternatives have you identified?</t>
  </si>
  <si>
    <t>Can you describe the evaluation methods you follow for these formal decisions on your project?</t>
  </si>
  <si>
    <t>决策的评价方法有哪些</t>
  </si>
  <si>
    <t>At these DAR decision points, what evaluation methods for making a decision have been used?</t>
  </si>
  <si>
    <t>Have you followed these methods and recorded the results of decisions made using criteria?</t>
  </si>
  <si>
    <t>做了哪些决策？使用了哪些准则和评价方法来评价和选择解决方案?</t>
  </si>
  <si>
    <t>Explain role based decision authority in your organisation?</t>
  </si>
  <si>
    <t>What high level estimates do you make?</t>
  </si>
  <si>
    <t>有制定哪些粗略估算来执行工作？</t>
  </si>
  <si>
    <t>How do you scope the work (what is included and what is excluded)?</t>
  </si>
  <si>
    <t>如何确定工作的估算范围，包含哪些？</t>
  </si>
  <si>
    <t>How do you size the work (FP, LOC, number of UCs, number of workstations, number of network points, number of data records, etc)?</t>
  </si>
  <si>
    <t>如何估算工作规模（FP，LOC，UC数，工作站数，网络点数，数据记录数等）？</t>
  </si>
  <si>
    <t>How do you use the size estimates to develop effort, duration and cost estimates?</t>
  </si>
  <si>
    <t>如何根据规模估算来制定所需的工作量、周期和成本</t>
  </si>
  <si>
    <t>Explain how your estimation method works? Is this estimation method documented (recorded)?</t>
  </si>
  <si>
    <t>解释一下如何制定并记录估算方法</t>
  </si>
  <si>
    <t>How do you make use of the organisational measurement repository to perform your estimates?</t>
  </si>
  <si>
    <t>如何使用组织的度量库和过程资产进行估算工作</t>
  </si>
  <si>
    <t xml:space="preserve">What organisational measurement repository do you have and how is it used? How do you support the creation, maintenance and use of the different performance objective?
We have seen your QPPOs, we understand the measures, with regards to the remaining organisational objectives, how do you ensure that those measures are collected, analysed and used accross the organisation?x
How do you (senior management) ensure that measures supporting objectives are collected, analysed and used?	 </t>
  </si>
  <si>
    <t>Do you follow process? How can this be shown?</t>
  </si>
  <si>
    <t>遵循相应的过程了嘛？如何体现？</t>
  </si>
  <si>
    <t>What resources (people, budget, tools) are made available for developing process?</t>
  </si>
  <si>
    <t>为开发过程提供了哪些资源（人员，预算，工具）？</t>
  </si>
  <si>
    <t>What process do you (process actor) follow?</t>
  </si>
  <si>
    <t>'您（过程参与者）遵循什么过程？</t>
  </si>
  <si>
    <t>Do you (process actor) have an organisational process for doing your work?</t>
  </si>
  <si>
    <t xml:space="preserve">您（流程参与者）自己的工作是否有遵循组织工作过程？ </t>
  </si>
  <si>
    <t>How do you apply the process in your work?</t>
  </si>
  <si>
    <t>您如何在工作中应用该过程？</t>
  </si>
  <si>
    <t>How is your (process actor) compliance to your process checked?</t>
  </si>
  <si>
    <t>如何检查（流程参与者）对过程是否被遵循？</t>
  </si>
  <si>
    <t>What process improvements have you (process actor) submitted, or do you know of that has been submitted, to the processes that you follow?</t>
  </si>
  <si>
    <t>是否有提交过过程改进？内容是什么？</t>
  </si>
  <si>
    <t>How do you record completed tasks?</t>
  </si>
  <si>
    <t>如何记录任务完成情况</t>
  </si>
  <si>
    <t>How do you identify and resolve issues?</t>
  </si>
  <si>
    <t>如何识别并解决问题</t>
  </si>
  <si>
    <t>How do you track actual results achieved (size, effort, duration, or cost) against planned values?</t>
  </si>
  <si>
    <t>如何从规模、工作量、进度、资源、知识和技能以及预算等方面，对比估算跟踪实际结果？</t>
  </si>
  <si>
    <t>How do you manage stakeholder invovlment to ensure successful work completion?
How do you check that stakeholders are involve as per the plan?</t>
  </si>
  <si>
    <t>如何跟踪利益相关方的参与情况</t>
  </si>
  <si>
    <t>How do you monitor transitioning of solutions to operations and support?</t>
  </si>
  <si>
    <t>如何监控向运营和支持的迁移</t>
  </si>
  <si>
    <t>When and how do you take corrective actions when actual results differ significantly from planned result?</t>
  </si>
  <si>
    <t>当实际结果相较于计划结果存在显著差异时，如何采取纠正措施并管理直至关闭</t>
  </si>
  <si>
    <t>How do you manage critical dependencies?</t>
  </si>
  <si>
    <t>如何管理关键依赖关系？</t>
  </si>
  <si>
    <t>How do you identify work environ issues?</t>
  </si>
  <si>
    <t>如何识别工作环境问题</t>
  </si>
  <si>
    <t>How do you manage issues early on with stakhodlers to increase the likelihood of meeting ojbeictvs
What quantitive tehcnciqes do they use to monitor the porject is on track?
How do you manage and resolve issues with affected stakeholders?</t>
  </si>
  <si>
    <t>Do you provide training to staff?</t>
  </si>
  <si>
    <t>是否向员工提供培训</t>
  </si>
  <si>
    <t>How do you identify training needs?</t>
  </si>
  <si>
    <t>如何确定培训需求？</t>
  </si>
  <si>
    <t>What training records do you maintain?</t>
  </si>
  <si>
    <t>有哪些培训记录？</t>
  </si>
  <si>
    <t xml:space="preserve"> How do you identify strategic and short term training needs?</t>
  </si>
  <si>
    <t>如何确定战略和短期培训需求？</t>
  </si>
  <si>
    <t>How is training needs between projects (and support functions) coordinated with organisational training needs?</t>
  </si>
  <si>
    <t>项目（和支持职能）之间的培训需求如何与组织培训需求相协调一致？</t>
  </si>
  <si>
    <t>How do you execute the strategic and short term training plans?</t>
  </si>
  <si>
    <t>如何执行战略和短期培训计划？</t>
  </si>
  <si>
    <t>How do you establish and maintain a training capability for the organisation?</t>
  </si>
  <si>
    <t>如何建立和维护组织的培训能力？</t>
  </si>
  <si>
    <t>How do you assess the effectiveness of the organisation training program?</t>
  </si>
  <si>
    <t>如何评估组织培训计划的有效性？</t>
  </si>
  <si>
    <t>What training records to you establish ad maintain?</t>
  </si>
  <si>
    <t>需要建立并维护哪些培训记录</t>
  </si>
  <si>
    <t>What processes assets is defined for your organisation?</t>
  </si>
  <si>
    <t>组织定义的过程资产有哪些？</t>
  </si>
  <si>
    <t>What processes assets has been identified as needed?</t>
  </si>
  <si>
    <t>多需要识别的过程资产有哪些？</t>
  </si>
  <si>
    <t>What processes assets has been developed (reused) or purchased?</t>
  </si>
  <si>
    <t>已开发（复用）或购买了哪些流程资产？</t>
  </si>
  <si>
    <t>How is process assets made available to the organisation?</t>
  </si>
  <si>
    <t>过程资产如何提供给组织？</t>
  </si>
  <si>
    <t>What process is defined for developing process assets?</t>
  </si>
  <si>
    <t>为开发过程资产定义了什么流程？</t>
  </si>
  <si>
    <t>What process architecture is in place describing the structure of the organization's processes?</t>
  </si>
  <si>
    <t>哪种过体系结构描述了组织过程结构？</t>
  </si>
  <si>
    <t>How are process assets made available for use in the organisation?</t>
  </si>
  <si>
    <t>如何在组织中使用过程资产？</t>
  </si>
  <si>
    <t>What tailoring guidelines do you have for your standard process assets?</t>
  </si>
  <si>
    <t>对标准过程资产的裁剪准则有哪些？</t>
  </si>
  <si>
    <t>What work environment standards have been established and maintained?</t>
  </si>
  <si>
    <t>建立并维护了哪些工作环境标准？</t>
  </si>
  <si>
    <t>What organisational measurement and analysis standards are available for use?</t>
  </si>
  <si>
    <t>有哪些可用的组织度量和分析标准？</t>
  </si>
  <si>
    <t>What process support structure (for example an EPG) do you have in place?</t>
  </si>
  <si>
    <t>您拥有什么过程支持结构（例如EPG）？</t>
  </si>
  <si>
    <t>What appraisals (CMMI, COBIT, ISO) have you done on your current processes?</t>
  </si>
  <si>
    <t>对当前过程进行了哪些评估？(update)</t>
  </si>
  <si>
    <t>How do you address process improvements identified via appraisals?
How do you collect improvements submitted internally within the organisation?</t>
  </si>
  <si>
    <t xml:space="preserve">记录了哪些过程改进？ </t>
  </si>
  <si>
    <t xml:space="preserve">How do you identify and select the proposed improvements? </t>
  </si>
  <si>
    <t>确定了针对过程和过程资产的改进有哪些？</t>
  </si>
  <si>
    <t>What process improvement actions are followed to implement identified improvements?</t>
  </si>
  <si>
    <t>采取了哪些过程改进措施以实现识别的改进？</t>
  </si>
  <si>
    <t>How do you link your process improvement objectives to your business objectives?</t>
  </si>
  <si>
    <t>如何将过程改进与业务目标联系起来？</t>
  </si>
  <si>
    <t>How do you prioritise your process improvements?</t>
  </si>
  <si>
    <t>如何确定过程改进的优先级？</t>
  </si>
  <si>
    <t>How do you evaluate potential new improvements opportunities. Improvements include against processes, techniques, methods and tools?</t>
  </si>
  <si>
    <t>您如何评估潜在的新的改进机会。改进包括针对过程，技术，方法和工具使用的改进嘛？</t>
  </si>
  <si>
    <t>What support is provided for implementing and deploying new process improvements?</t>
  </si>
  <si>
    <t>为实施和部署新过程改进提供了哪些支持？</t>
  </si>
  <si>
    <t>How are organisational standard processes and process assets deployed?</t>
  </si>
  <si>
    <t>组织标准过程和过程资产如何部署？</t>
  </si>
  <si>
    <t>How do you evaluate the effectiveness of improvements towards achieving business objectives?</t>
  </si>
  <si>
    <t>如何评估对实现业务目标的改进效果？</t>
  </si>
  <si>
    <t>How do you make use of statistical and other quantitative techniques to validate selected performance improvements against proposed improvement exceptions, business objectives, or quality and process performance objectives?</t>
  </si>
  <si>
    <t>你是如何使用统计化和量化技术来确认已实施改进项对商业目标和质量与过程性能目标的效果的？</t>
  </si>
  <si>
    <t>How do you assemble the solution and deliver it to the customer?</t>
  </si>
  <si>
    <t>如何组装解决方案并交付给客户</t>
  </si>
  <si>
    <t>Describe your integration strategy.</t>
  </si>
  <si>
    <t>描述集成策略</t>
  </si>
  <si>
    <t>Describe your integration environment.</t>
  </si>
  <si>
    <t>描述集成环境</t>
  </si>
  <si>
    <t>Descried the procedures and criteria you use to integrate components and solutions?</t>
  </si>
  <si>
    <t>描述用于集成解决方案和组件地规程和准则</t>
  </si>
  <si>
    <t xml:space="preserve">How do you ensure, prior to integration, that each component has been properly identified and operates according to its requirements and design? </t>
  </si>
  <si>
    <t>在集成之前，如何确认每个组件已被正确识别并按照其需求和设计正常工作？</t>
  </si>
  <si>
    <t>How do you evaluate integrated components to ensure conformance to the solution's requirements and design?</t>
  </si>
  <si>
    <t>如何评价集成地组件以确保其符合解决方案地需求和设计</t>
  </si>
  <si>
    <t>What is your integration strategy?</t>
  </si>
  <si>
    <t>集成策略是什么</t>
  </si>
  <si>
    <t>How do you review and keep updated interface or connection descriptions for coverage, completeness, and consistency throughout the solution's life?</t>
  </si>
  <si>
    <t>在整个解决方案地生命周期中，如何评审并持续更新接口或连接描述地覆盖范围、完整性和一致性？</t>
  </si>
  <si>
    <t>How do you confirm, prior to integration, that component interfaces or connections comply with interface or connection descriptions?</t>
  </si>
  <si>
    <t>在集成之前，如何确认组件地接口或连接符合接口或连接描述</t>
  </si>
  <si>
    <t>How do you evaluate integrated components for interface or connection compatibility?</t>
  </si>
  <si>
    <t>图和评价已集成组件地接口或连接地兼容性</t>
  </si>
  <si>
    <t>Do you have a list of tasks that needs to be performed?</t>
  </si>
  <si>
    <t>有制定需要执行的任务列表嘛？</t>
  </si>
  <si>
    <t>Do you assign people to the tasks?</t>
  </si>
  <si>
    <t>如何将人员分配到任务</t>
  </si>
  <si>
    <t>Do you have an approach (scrum, waterfall, etc) for doing the work?</t>
  </si>
  <si>
    <t>开发的方法，（敏捷，瀑布？）</t>
  </si>
  <si>
    <t>How do you make sure you have the right knowledge and skills for the task to be performed?</t>
  </si>
  <si>
    <t>如何确保具备执行工作所需的知识和技能？</t>
  </si>
  <si>
    <t>How do you develop the budget and schedule?</t>
  </si>
  <si>
    <t>如何制定预算和进度表</t>
  </si>
  <si>
    <t>How do you plan for stakeholder involvement?</t>
  </si>
  <si>
    <t>如何对干系人的参与做相应的计划</t>
  </si>
  <si>
    <t>How do you plan for transition to operations and support?</t>
  </si>
  <si>
    <t>如何对向运营和支持的转移做相应的计划？</t>
  </si>
  <si>
    <t>How do you ensure your plans are feasible in terms of resource availability and work that needs to be performed?</t>
  </si>
  <si>
    <t>在资源可用性和需要执行的工作方面，如何确保计划可行？</t>
  </si>
  <si>
    <t>How do you ensure the plan and its deliverablea are consistent and aligned.</t>
  </si>
  <si>
    <t>在项目计划中会记录哪些信息？</t>
  </si>
  <si>
    <t>How do you review the plans with stakeholders, and how do you get commitment to the plans?</t>
  </si>
  <si>
    <t>如何制定评审计划？如何获得受影响的干系人的承诺？</t>
  </si>
  <si>
    <t>Explain how you derive your plan form your organisational set of standard process?</t>
  </si>
  <si>
    <t xml:space="preserve">说明如何根据组织标准过程集制定出计划？ </t>
  </si>
  <si>
    <t>How do you make use of tailoring guidelines to plan?</t>
  </si>
  <si>
    <t>如何利用裁剪指南做计划？</t>
  </si>
  <si>
    <t>How do you keep your plan updated with the project process, the process assets and the measurement repository?</t>
  </si>
  <si>
    <t>如何使用项目过程、组织的过程资产和度量库制定计划并保持更新？</t>
  </si>
  <si>
    <t>Explain how you identify and negotiate critical dependencies?</t>
  </si>
  <si>
    <t>如何识别和协商关键依赖关系？</t>
  </si>
  <si>
    <t>Explain how you use organisational standards to plan for your project environment?</t>
  </si>
  <si>
    <t>如何使用组织标准计划项目环境并保持更新？</t>
  </si>
  <si>
    <t>How do you make use of statistical and other quantitative techniques to develop and keep the project processes updated to enable achievement of the quality and process performance objectives for the project or organisation?</t>
  </si>
  <si>
    <t>如何使用统计与其他量化技术来开发项目过程并保持更新，以实现过程或组织的质量与过程性能目标？</t>
  </si>
  <si>
    <t>What peer reviews do you (process actor) perform or are performed on your work products?</t>
  </si>
  <si>
    <t>对哪些工作产品进行同行评审</t>
  </si>
  <si>
    <t>What procedures do you use to prepare and perform peer reviews?</t>
  </si>
  <si>
    <t>准备和执行同行评审的步骤有哪些</t>
  </si>
  <si>
    <t>What works products (generated by the process actor) are selected for peer reviews?</t>
  </si>
  <si>
    <t>选择进行同行评审的工作产品有哪些？</t>
  </si>
  <si>
    <t>Can you describe the peer review process, how is it performed from preparation to end?</t>
  </si>
  <si>
    <t>同行评审的既定程序有哪些？请描述</t>
  </si>
  <si>
    <t>What do you do with issues identified during peer reviews?</t>
  </si>
  <si>
    <t>如何解决同行评审中发现的问题</t>
  </si>
  <si>
    <t>What do you do with the results of peer reviews?</t>
  </si>
  <si>
    <t>如何分析从同行评审得到的结果和数据</t>
  </si>
  <si>
    <t>What requirements have you documented (or recorded)</t>
  </si>
  <si>
    <t>会记录哪些需求？</t>
  </si>
  <si>
    <t>How do you elicit (extract) stakeholder needs, expectations, constraints, and interfaces (or connections)?</t>
  </si>
  <si>
    <t>如何抽取利益相关方地需求、期望、约束条件和接口或连接？</t>
  </si>
  <si>
    <t>How do you transform stakeholder needs, expectations, contains, and interfaces (or connections) into prioritized customer requirements?</t>
  </si>
  <si>
    <t>如何将利益相关方地需求、期望、约束条件、接口或连接转化为优先地客户需求</t>
  </si>
  <si>
    <t>How do you developed and understanding with the requirements provider on the meaning of the requirements?</t>
  </si>
  <si>
    <t>如何与需求提供者就需求地含义达成一致？</t>
  </si>
  <si>
    <t>How (or what) commitments do you obtain from project participants (developers, testers, etc) that they can implement the requirements?</t>
  </si>
  <si>
    <t>可以获得项目参与者地什么承诺，使得这些需求可以落实</t>
  </si>
  <si>
    <t>What bidirectional traceability do you develop and maintain among requirements, other work products or planned activities?</t>
  </si>
  <si>
    <t>会开发，记录和维护需求和活动或工作产品之间地哪些双向可追溯性？</t>
  </si>
  <si>
    <t>How do you ensure that plans and activities (or work products to be delivered) are consistent with the requirements?</t>
  </si>
  <si>
    <t>如何确保计划和活动或工作产品与需求保持一致性？</t>
  </si>
  <si>
    <t>How do you ensure that requirements are kept up to date for the solution (and its components)?</t>
  </si>
  <si>
    <t>如何解决方案及组件地需求的及时更新</t>
  </si>
  <si>
    <t>What operational concepts and scenarios do you develop for requirements?</t>
  </si>
  <si>
    <t>针对需求开发哪些操作概念和场景？</t>
  </si>
  <si>
    <t>How do you allocate requirements for implementation?</t>
  </si>
  <si>
    <t>如何分配要落实地需求？</t>
  </si>
  <si>
    <t>How do you identify, develop, and keep updated interfaces or connection requirements?</t>
  </si>
  <si>
    <t>如何识别、开发并持续更新接口或连接需求？</t>
  </si>
  <si>
    <t>How do you ensure requirements are necessary and sufficient?</t>
  </si>
  <si>
    <t>如何确保需求是必要且充分的？</t>
  </si>
  <si>
    <t>How do you balance stakeholder needs and constraints?</t>
  </si>
  <si>
    <t>如何在利益相关方地需求和约束条件之间取得平衡？</t>
  </si>
  <si>
    <t>How do you validate requirements to ensure the resulting solution will perform as intended in the target environment?</t>
  </si>
  <si>
    <t>如何 确认需求，以确保生成地解决方案在目标环境中按照预期工作？</t>
  </si>
  <si>
    <t>How do you identify and record risks or opportunities and keep them updated?</t>
  </si>
  <si>
    <t>如何识别、记录风险或机会并持续对其更新？</t>
  </si>
  <si>
    <t>How do you analyse identified risks or opportunities?</t>
  </si>
  <si>
    <t>如何分析已识别地风险或机会</t>
  </si>
  <si>
    <t>How do you monitor identified risks or opportunities and comminate this tatus to affected stakeholders?</t>
  </si>
  <si>
    <t>如何监控已识别地风险或机会并与受影响地干系人沟通风险或机会地状态？</t>
  </si>
  <si>
    <t>Explain how you make use of risk or opportunity categories?</t>
  </si>
  <si>
    <t>如何使用风险或机会类别？</t>
  </si>
  <si>
    <t>What parameters for risk or opportunity analysis is defined and what is it used for?</t>
  </si>
  <si>
    <t>定义用于风险或机会分析的参数用那些，如何使用？</t>
  </si>
  <si>
    <t>Explain any risk or opportunity management strategies that you may develop and maintain?</t>
  </si>
  <si>
    <t>制定和持续更新风险或机会管理策略有哪些？</t>
  </si>
  <si>
    <t>Explain any risk or opportunity management plans that you may develop and maintain?</t>
  </si>
  <si>
    <t>制定和持续更新风险或机会管理计划有哪些？</t>
  </si>
  <si>
    <t>Explain how you manage (mitigate) risk or opportunity items?</t>
  </si>
  <si>
    <t>如何管理风险或机会？</t>
  </si>
  <si>
    <t>What supplier agreements do you record?</t>
  </si>
  <si>
    <t>记录哪些供应商协议？</t>
  </si>
  <si>
    <t>How do you accept or reject the supplier deliverables?</t>
  </si>
  <si>
    <t>如何接受或拒收供应商交付物？</t>
  </si>
  <si>
    <t>How do you process supplier invoices?</t>
  </si>
  <si>
    <t>如何处理供应商发票？</t>
  </si>
  <si>
    <t>How do you monitor supplier actions and deliverables? How is this established and maintained in an agreement?</t>
  </si>
  <si>
    <t>如何监督供应商和交付物？如何建立和维护供应商协议？</t>
  </si>
  <si>
    <t>How do you perform activities that is specified in the supplier agreement?</t>
  </si>
  <si>
    <t>如何根据供应商协议执行活动？</t>
  </si>
  <si>
    <t>How do you verify that the supplier agreement is satisfied before accepting the acquired supplier deliverables?</t>
  </si>
  <si>
    <t>在接收之前，如何验证采购的供应商交付物是否符合供应商协议？</t>
  </si>
  <si>
    <t>How do you manage invoices submitted by the supplier? How is this done in accordance with the supplier agreement?</t>
  </si>
  <si>
    <t>如何管理供应商提交的发票？如何按照供应商协议进行操作？</t>
  </si>
  <si>
    <t>Can you explain how you would select technical supplier deliverables for analysis and how technical reviews are conducted on these deliverables?</t>
  </si>
  <si>
    <t>能否解释一下如何选择技术供应商可交付成果进行分析，以及如何对这些可交付成果进行技术审查？</t>
  </si>
  <si>
    <t>Can you explain how you would select and monitor supplier processes and deliverables base don criteria in the supplier agreement?</t>
  </si>
  <si>
    <t>能解释一下如何根据供应商协议中的标准选择和监视供应商流程和可交付成果吗？</t>
  </si>
  <si>
    <t>Do you build solutions that meet requirements?</t>
  </si>
  <si>
    <t>如何构建能够满足需求的解决方案？</t>
  </si>
  <si>
    <t>Describe how you design and build a solution to meet the requirements?</t>
  </si>
  <si>
    <t>如何设计和构建能够满足需求的解决方案？</t>
  </si>
  <si>
    <t>How do you evaluate the designs (reviews) and how do you address identified issues?</t>
  </si>
  <si>
    <t>如何评估设计并解决识别的问题？</t>
  </si>
  <si>
    <t>What guidance do you (as designer) provide on the use of the solution (user manuals, instellation manuals)?</t>
  </si>
  <si>
    <t>提供那些解决方案使用指南？</t>
  </si>
  <si>
    <t>What criteria do you (user) develop for design decisions?</t>
  </si>
  <si>
    <t>会制定哪些设计决策标准？</t>
  </si>
  <si>
    <t>What alternative solutions for selected components do you make?</t>
  </si>
  <si>
    <t>会制定哪些针对选定组件的备选解决方案？</t>
  </si>
  <si>
    <t>How do you perform, build, buy or reuse decisions?</t>
  </si>
  <si>
    <t>如何执行构建、采购或复用分析？</t>
  </si>
  <si>
    <t>How do you use criteria to select your solutions?</t>
  </si>
  <si>
    <t>如何使用设计标准选择解决方案？</t>
  </si>
  <si>
    <t>How do you develop, keep updates, and use information needed to implement the design?</t>
  </si>
  <si>
    <t>如何制定、保持更新并采用实现设计所需的信息？</t>
  </si>
  <si>
    <t>How do you design solution interfaces (or connections) using established criteria?</t>
  </si>
  <si>
    <t>如何使用既定标准设计解决方案接口或连接？</t>
  </si>
  <si>
    <t xml:space="preserve">What verification do you perform to ensure that requirements are implemented? </t>
  </si>
  <si>
    <t>会执行哪些验证来确保需求得到实现？</t>
  </si>
  <si>
    <t>What validation do you perform to ensure solutions function in the intended target environment?</t>
  </si>
  <si>
    <t>执行哪些确认来确保解决方案在目标环境下按预期运行？</t>
  </si>
  <si>
    <t>How do you decide which components and the methods that will be followed for verification and validation?</t>
  </si>
  <si>
    <t>如何选择用于验证和确认的组件和方法？</t>
  </si>
  <si>
    <t>How do you setup, maintain and use the environment needed to support verification and validation?</t>
  </si>
  <si>
    <t>如何开发、使用并保持更新支持验证和确认所需的环境？</t>
  </si>
  <si>
    <t xml:space="preserve">What procedures do you use for verification and validation? </t>
  </si>
  <si>
    <t>使用哪些程序进行验证和确认？</t>
  </si>
  <si>
    <t>How are these developed and maintained?</t>
  </si>
  <si>
    <t>这些是如何开发和维护的？</t>
  </si>
  <si>
    <t xml:space="preserve">What criteria do you establish for verification and validation? </t>
  </si>
  <si>
    <t>建立什么标准进行验证和确认？</t>
  </si>
  <si>
    <t>How are these developed and maintain?</t>
  </si>
  <si>
    <t xml:space="preserve">How do you analyse the results of verification and validation? </t>
  </si>
  <si>
    <t>如何分析验证和确认的结果？</t>
  </si>
  <si>
    <t>How is the results used and communicated?</t>
  </si>
  <si>
    <t>结果如何使用和传达？</t>
  </si>
  <si>
    <t xml:space="preserve">What resources (budget, people, tools, structure)  and training have you (senior management) provided for 1) developing, supporting, 2) performing, 3) improving and 4) evaluating adherence to expected processes?	</t>
  </si>
  <si>
    <t>How do you (senior management) ensure that selected (key or important business) decisions are driven by statistical and quantitative analysis?</t>
  </si>
  <si>
    <t>How does senior management identify what is essential for doing work?</t>
  </si>
  <si>
    <t>How does senior management define the approach needed to accomplish the objectives of the org</t>
  </si>
  <si>
    <t>Develop the strategy (may include a mission and/or vision statement) , Define a strategic target to be achieved, Organisational strategy with strategic targets, Process improvement directives in support of achieving the strategic targets</t>
  </si>
  <si>
    <t>Senior management makes training resources (budget, tools, staff) available to support process training, Process training function in the organisational chart, Budget for process training resources (staff, tools, facilities)</t>
  </si>
  <si>
    <t>Process improvement status review (improvements registered and incorporated), Process performance reporting to senior management, Process improvement register and the status thereof, Process improvement performance reports</t>
  </si>
  <si>
    <t>Verify compliance to directives, Review performance improvements, Review improvement trends, Improvement incentives, rewards and recognition for process  champions</t>
  </si>
  <si>
    <t>Review process performance results (statistical and quantitative based), Set new targets based on existing performance results (statistical and quantitative based)</t>
  </si>
  <si>
    <t>What is your strategy (business goals) do you have?</t>
  </si>
  <si>
    <t>How do they tell staff that they expect them to follow process in order to achieve the business objectives?</t>
  </si>
  <si>
    <t xml:space="preserve">What is contained in your organizational policy and how is this communicated to staff?	</t>
  </si>
  <si>
    <t>What organisational objectives has senior management developed and how are these objectives communicated to staff?</t>
  </si>
  <si>
    <t>What is the importance of process implementation and improvement and how is this assisting the organization achieving its objectives?</t>
  </si>
  <si>
    <t>What information (reporting) do you request (and do you obtain) from projects and support functions that informs you about strategy (business goal) achievement? How do you (senior management) provide governance and oversight of effective process implementation and improvement?</t>
  </si>
  <si>
    <t>What quality assurance reports do you obtain about compliance/ non-compliance to your policy (in support of your strategy)? What do you do with non-compliance? How do you handle exemplary compliance and support for process? How do you (senior management) provide governance and oversight of effective process implementation and improvement?</t>
  </si>
  <si>
    <t xml:space="preserve">What organisational measurement repository do you have and how is it used? How do you support the creation, maintenance and use of the different performance objective?
We have seen your QPPOs, we understand the measures, with regards to the remaining organisational objectives, how do you ensure that those measures are collected, analysed and used across the organisation
How do you (senior management) ensure that measures supporting objectives are collected, analysed and used?	</t>
  </si>
  <si>
    <t>Do you have a list of outcomes (opportunities or defects) to investigate?</t>
  </si>
  <si>
    <t>Define the scope of the analysis, Collect relevant data, Determine which outcomes to analyse further, Analysis results, Outcomes selected for further Analysis</t>
  </si>
  <si>
    <t>是否有分析中识别出的原因的列表（结果）？</t>
  </si>
  <si>
    <t>Identify the affected stakeholders and involve them, Perform causal analysis., Implement actions to address causes, Communicate the result of the actions taken, List of causes identified, List of actions taken on causes</t>
  </si>
  <si>
    <t>Identify stakeholders for a car analysis, Follow the organisational process for car, Use the the organisational tools for performing car, Document the root causes, car processes, car tools and templates, List of root causes identified</t>
  </si>
  <si>
    <t>How do you select actions proposals to address identified causes?</t>
  </si>
  <si>
    <t>Prioritise actions based on benefits, Prioritised actions, Action implementation steps and plans, Grouped common causes</t>
  </si>
  <si>
    <t>What data is recorded about root cause resolution?</t>
  </si>
  <si>
    <t>Submit root cause improvement proposals
, Implement root cause improvement proposals
, List of root cause improvement proposals submitted and implemented</t>
  </si>
  <si>
    <t>What statistical and other quantitative methods are used to perform root cause analysis?</t>
  </si>
  <si>
    <t>What process performance measures have been used to demonstrate the causal analysis action proposal(s) where effective in achieving the process performance objectives?</t>
  </si>
  <si>
    <t>Have you implemented the action proposal organisationally? If yes, how did you measure if it was effective?</t>
  </si>
  <si>
    <t>Describe how you perform version control.</t>
  </si>
  <si>
    <t>请描述一下是如何执行版本控制的？</t>
  </si>
  <si>
    <t>Putting work products under version control, Check in and Check out of documents and source code, version management system (example GitHub)</t>
  </si>
  <si>
    <t>How do you identify what items (documents and source code) to put under configuration management?</t>
  </si>
  <si>
    <t>如何识别要管理的项目？</t>
  </si>
  <si>
    <t>Develop and maintain a configuration management plan, Configuration Management plan listing items to put under CM</t>
  </si>
  <si>
    <t>What configuration management systems do you use (the name of the system or systems)?</t>
  </si>
  <si>
    <t>使用什么配置管理系统？</t>
  </si>
  <si>
    <t>Establish and maintain a configuration management system, Configuration Management System</t>
  </si>
  <si>
    <t>- Explain how you establish software baselines and how these baselines form the basis for further development and further code releases?</t>
  </si>
  <si>
    <t>请解释如何为进一步开发建立软件基线？</t>
  </si>
  <si>
    <t>Establish development and testing baselines, Establish software releases to the customer, Baseline version, Software releases</t>
  </si>
  <si>
    <t>Explain how you establish software releases that for the basis for further development?</t>
  </si>
  <si>
    <t>请解释如何建立软件版本作为进一步开发奠定基础？</t>
  </si>
  <si>
    <t>How do you manage changes (who is allowed to make changes) to items under configuration management, as well as configuration management baselines and releases?</t>
  </si>
  <si>
    <t>如何管理配置管理下的变更？</t>
  </si>
  <si>
    <t>Check in and check out configuration items, Register a change request against a configuration item, CCB meetings to approve / decline changes to baselines and releases, CCB minutes</t>
  </si>
  <si>
    <t>What records, such as version history, do you maintain on configuration items?</t>
  </si>
  <si>
    <t>对于配置项会保留哪些记录？</t>
  </si>
  <si>
    <t>Establish and maintain configuration change histories on configuration items, configuration item change histories, Baseline label descriptions</t>
  </si>
  <si>
    <t>How do you ensure the integrity of items under configuration management, the integrity of baselines and the integrity of releases?</t>
  </si>
  <si>
    <t>如何确保配置管理下项目的完整性，基准的完整性和发行版的完整性？</t>
  </si>
  <si>
    <t>Perform configuration audits on configuration items, configuration baselines and configuration releases, Configuration audit reports</t>
  </si>
  <si>
    <t>Do you (a process actor) make and record the decisions on options selected (in the process he/she executes)?</t>
  </si>
  <si>
    <t>DAR guidelines, DAR points specified within a process activity (for example select a supplier using a defined DAR approach)</t>
  </si>
  <si>
    <t>At these formal project decision points, what alternatives have you identified?</t>
  </si>
  <si>
    <t>Make high level estimates of work effort, cost or duration, High level estimates, WBS</t>
  </si>
  <si>
    <t>Work scoping session, Scope of work, WBS</t>
  </si>
  <si>
    <t>Use historical measurements and the size estimates to determine effort, duration or cost estimates, Effort, duration or cost estimates based on size estimates, Algorithm to derive effort, duration, cost from size estimates</t>
  </si>
  <si>
    <t>您（过程参与者）遵循什么过程？</t>
  </si>
  <si>
    <t>您（流程参与者）自己的工作是否有遵循组织工作过程？</t>
  </si>
  <si>
    <t>Minutes with completed tasks, Plan with completed tasks</t>
  </si>
  <si>
    <t>How do you manage stakeholder involvement to ensure successful work completion?
How do you check that stakeholders are involve as per the plan?</t>
  </si>
  <si>
    <t>Monitor transition and support activities, Attend change control board meetings for transitioning of solution Reports showing activities/tasks are achived as per transaiton planning., Monitoring Transition milestones are met., Release records, Operation and support acceptance records</t>
  </si>
  <si>
    <t>What processes do you use for managing the projects?</t>
  </si>
  <si>
    <t>Using the tailroing guidliens, develop a project plan for the project from the orgnaisaitonal set of standard process assets, Project plan, Project schedule</t>
  </si>
  <si>
    <t>How do you manage issues early on with stakeholders to increase the likelihood of meeting objectives
What quantitively techniques do they use to monitor the project is on track?
How do you manage and resolve issues with affected stakeholders?</t>
  </si>
  <si>
    <t>What performance measurements do you collect?</t>
  </si>
  <si>
    <t>会收集哪些性能指标？</t>
  </si>
  <si>
    <t>Collect  available  data and distribute performance reprots., Performance measurements.</t>
  </si>
  <si>
    <t>What performance issues do you identify?</t>
  </si>
  <si>
    <t>会识别哪些性能问题？</t>
  </si>
  <si>
    <t>Identify performance issues., Performance issue analysis</t>
  </si>
  <si>
    <t>Do you identify your business needs and then derive measurement objectives from it?</t>
  </si>
  <si>
    <t>会识别相应的业务需求，然后从中得出度量目标吗？</t>
  </si>
  <si>
    <t>GQIM sheet, Documented business objectives to measurement objectives</t>
  </si>
  <si>
    <t>What measurement operational definitions are specified (who to collect what to collect when to collect)?</t>
  </si>
  <si>
    <t>有详细规定哪些度量项的操作性定义（谁收集，收集什么，何时收集）？</t>
  </si>
  <si>
    <t>GQIM sheet, Documented who, when, where of measurement collection</t>
  </si>
  <si>
    <t>Do you collect measurements according to the operation definiens? If yes please elaborate?</t>
  </si>
  <si>
    <t>是否根据操作定义收集收集度量项？如果是，请详细说明？</t>
  </si>
  <si>
    <t>Collecting measurements, Measurement database</t>
  </si>
  <si>
    <t>Do you analyse performance according to the operation definiens? If yesplease elaborate?</t>
  </si>
  <si>
    <t>您是否根据操作定义分析性能？如果是，请详细说明？</t>
  </si>
  <si>
    <t>Analysing measurements, Measurement reports according to GQIM sheet</t>
  </si>
  <si>
    <t>Do you store measurements and analysis results? If yesplease elaborate?</t>
  </si>
  <si>
    <t>您是否会存储测量和分析结果？如果是，请详细说明？</t>
  </si>
  <si>
    <t>Storing measurement, reports and analysis, Measurement repository</t>
  </si>
  <si>
    <t>What actions to you take on issues identified from performance reports?</t>
  </si>
  <si>
    <t>会对绩效报告中发现的问题采取了哪些措施？</t>
  </si>
  <si>
    <t>Take corrective action on measurement results as appropriate, Corrective actions</t>
  </si>
  <si>
    <t>How are measurement objectives traced to business objectives?</t>
  </si>
  <si>
    <t>度量目标是如何追溯到业务目标？</t>
  </si>
  <si>
    <t>GQIM sheets, Business objectives traced to measurement and performance objectives</t>
  </si>
  <si>
    <t>Please explain how your measurement process functions?</t>
  </si>
  <si>
    <t>请说明度量过程是怎样的？</t>
  </si>
  <si>
    <t>Measurements process</t>
  </si>
  <si>
    <t>How do you ensure data quality for measurements?</t>
  </si>
  <si>
    <t>您如何确保度量数据的质量？</t>
  </si>
  <si>
    <t>Data quality checks (within Measurements process)</t>
  </si>
  <si>
    <t>Do you have a measurement repository? If yes what is it used for.</t>
  </si>
  <si>
    <t>有度量库吗？主要用途是什么。</t>
  </si>
  <si>
    <t>Up to date organisational measurement repository</t>
  </si>
  <si>
    <t>How do you analyse organization performance?</t>
  </si>
  <si>
    <t>如何分析组织性能？</t>
  </si>
  <si>
    <t>Process improvements based on measurement analysis reports</t>
  </si>
  <si>
    <t>How is performance results common communicated within the organisation?</t>
  </si>
  <si>
    <t>如何在组织内部共同沟通绩效结果？</t>
  </si>
  <si>
    <t>Organisational performance reports</t>
  </si>
  <si>
    <t>How do you use statistical and other quantile techniques to develop keep update and communicate quality and process performance objectives?</t>
  </si>
  <si>
    <t>您如何使用统计和量化技术来制定，保持更新并传达质量和过程绩效目标？</t>
  </si>
  <si>
    <t>Defined QPPOs traced to business objectives</t>
  </si>
  <si>
    <t>How is this traceable to your business objectives?</t>
  </si>
  <si>
    <t>如何将QPPO追溯到您的业务目标？</t>
  </si>
  <si>
    <t>How do you select measures and analyst techniques to quantitively mange performance to achieve quality and process performance objectives?</t>
  </si>
  <si>
    <t>您如何选择度量和分析技术来量化管理性能以实现质量和流程绩效目标？</t>
  </si>
  <si>
    <t>GQIM sheets that specify the QPPOs and its associated analytical techniques</t>
  </si>
  <si>
    <t>How do you make use of statistical and other quantitative techniques to develop and analyse process performance baselines and keep them updated.</t>
  </si>
  <si>
    <t>您如何利用统计和其他定量技术来开发和分析流程绩效基准并保持更新最新状态。</t>
  </si>
  <si>
    <t>Process Performance Baselines</t>
  </si>
  <si>
    <t>How do you make use of statistical and other quantitative techniques to develop and analyse process performance models and keep them updated.</t>
  </si>
  <si>
    <t>Process Performance Models</t>
  </si>
  <si>
    <t>How do you make use of statistical and other quantitative techniques to determine or predict achievement of quality and process performance objectives.</t>
  </si>
  <si>
    <t>您如何利用统计和其他定量技术来确定或预测质量和过程绩效目标的可实现性？</t>
  </si>
  <si>
    <t>Control Charts that predict process performance towards achieving a QPPO, Regression analysis that predict process performance towards achieving a QPPO</t>
  </si>
  <si>
    <t>How do you make use of statistical and other quantitative techniques to ensure that business objectives are aligned with business strategy and performance.</t>
  </si>
  <si>
    <t>您如何利用统计和其他定量技术来确保业务目标与业务战略和绩效保持一致。</t>
  </si>
  <si>
    <t>Revised business objectives  based on QPPO achievements</t>
  </si>
  <si>
    <t>How do you analyse performance data using statistical and other quantitative techniques to determine the organization's ability to satisfy selected business objectives and identify potential areas for performance improvement.</t>
  </si>
  <si>
    <t>您如何使用统计和其他定量技术来分析性能数据，以确定组织满足选定业务目标的能力，并确定潜在的性能改进。</t>
  </si>
  <si>
    <t>Revised PPB and PPM results based on improvements incorporated</t>
  </si>
  <si>
    <t>How do you select and implement improvement proposals based on the statistical and quantitative analysis of the expected effect of proposed improvements on meeting business quality and process performance objectives.</t>
  </si>
  <si>
    <t>对所建议的改进对满足业务，质量和过程性能目标达成的预期效果进行统计和定量分析，如何基于此分析结果来选择和实施改进建议。</t>
  </si>
  <si>
    <t>Evaluate improvement proposals based on its potential to achieve or improve QPPOs towards business objectives</t>
  </si>
  <si>
    <t>How do you identify strategic and short term training needs?</t>
  </si>
  <si>
    <t>Class rooms, Training facilities, Instructors, Outsourced courses</t>
  </si>
  <si>
    <t>Library of templates, standards or guidelines, Process and process support tools (Aris, Visio for bpm)</t>
  </si>
  <si>
    <t>Purchased processes and templates, such as Rational unified process or IBM Rational Method Composer (RMC)</t>
  </si>
  <si>
    <t>Process architecture contextualising individual processes, such as putting processes in an higher level value chain such as the business model canvas, Process template format</t>
  </si>
  <si>
    <t>Process Engineering Steering committee meetings, Process sponsor/champion and workgroup lists, Process work teams with Six Sigma black belts and green belts</t>
  </si>
  <si>
    <t>记录了哪些过程改进？</t>
  </si>
  <si>
    <t>How do you identify and select the proposed improvements?</t>
  </si>
  <si>
    <t>Plan process updates to incorporate improvement, Plan deployment of newly released processes, Improvement pilots, Process improvement action plan (implementation plan)</t>
  </si>
  <si>
    <t>Develop process improvement objectives, Link process improvement objectives to business objectives, Business objective traced to process improvement objectives</t>
  </si>
  <si>
    <t>Training on new processes releases, Coaching on new process releases, Process deployment support training, Process deployment coaching and mentoring, Process deployment PQA</t>
  </si>
  <si>
    <t>Perform statistical or quantitative analysis that demonstrate improved performance form implementing the improvements', Link statistical and quantitively analysis of improvements to business objectives or quality and process performance objectives, Mean values and UCL/LCL of previous baseline versus mean value and UCL/LCL of new process baseline</t>
  </si>
  <si>
    <t>How do you ensure, prior to integration, that each component has been properly identified and operates according to its requirements and design?</t>
  </si>
  <si>
    <t>How do you ensure the plan and its deliverables are consistent and aligned.</t>
  </si>
  <si>
    <t>说明如何根据组织标准过程集制定出计划？</t>
  </si>
  <si>
    <t>How do you identify work products and processes for process quality assurance?</t>
  </si>
  <si>
    <t>如何识别工作产品和过程以保证过程质量？</t>
  </si>
  <si>
    <t>- Setup PQA checklists - Perform process or product quality assurance - PQA checklists - PQA results</t>
  </si>
  <si>
    <t>Based on historical data, how do you plan for quality assurance?</t>
  </si>
  <si>
    <t>您如何为质量保证做计划？</t>
  </si>
  <si>
    <t>Use historical quality assurance activities to plan future quality assurance, Develop and keep updated checklists based on process descriptions, standards, and procedures., PQA plan, Evaluation reports, Noncompliance reports, Improvement proposals</t>
  </si>
  <si>
    <t>How do you plan for quality assurance?</t>
  </si>
  <si>
    <t>Throughout the project, how do you objectively evaluate process and work products?</t>
  </si>
  <si>
    <t>如何客观评价过程和工作产品？</t>
  </si>
  <si>
    <t>Objectively evaluate performed processes against recorded processes, Objective value work products against applicable standards</t>
  </si>
  <si>
    <t>How do you objectively evaluate process and work products?</t>
  </si>
  <si>
    <t>Explain how quality and non-compliance issues that cannot be resolve, are handled?</t>
  </si>
  <si>
    <t>您如何沟通和解决不符合项问题？</t>
  </si>
  <si>
    <t>Identify noncompliance issues and trends, Communicate and resolve noncompliance issues, Escale noncompliance issues that cannot be resolved, Develop quality trends analyssi reports, Noncompliance resolutions</t>
  </si>
  <si>
    <t>How to you communicate and address non-compliance issues?</t>
  </si>
  <si>
    <t>Identify noncompliance issues and trends, Communicate and resolve noncompliance issues, Escale noncompliance issues that cannot be resolved</t>
  </si>
  <si>
    <t>Where do you record the results of quality assurance activities?</t>
  </si>
  <si>
    <t>将记录质量保证活动的结果记录在哪里</t>
  </si>
  <si>
    <t>PQA reports stored under CM, PQA reports stored</t>
  </si>
  <si>
    <t>How do you record and use the results of quality assurance activities?</t>
  </si>
  <si>
    <t>如何记录和使用质量保证活动的结果？</t>
  </si>
  <si>
    <t>Identify quality trends and register improvements or training needs based on them, PQA reports stored, Improvements and training initiatives based on PQA noncompliance reports</t>
  </si>
  <si>
    <t>Prepare for peer reviews, Conduct peer reviews based on review criteria, Record results of peer review</t>
  </si>
  <si>
    <t>Analyse the results of peer reviews, Register improvements based on results, Take corrective action on the project based on the results of the peer reviews, Monitor the performance of processes for possible signals from peer review data</t>
  </si>
  <si>
    <t>What guidance do you (as designer) provide on the use of the solution (user manuals, installation manuals)?</t>
  </si>
  <si>
    <t>What verification do you perform to ensure that requirements are implemented?</t>
  </si>
  <si>
    <t>What procedures do you use for verification and validation?</t>
  </si>
  <si>
    <t>What criteria do you establish for verification and validation?</t>
  </si>
  <si>
    <t>How do you analyse the results of verification and validation?</t>
  </si>
  <si>
    <t>xx</t>
  </si>
  <si>
    <t>xxx</t>
  </si>
  <si>
    <t xml:space="preserve">Risk are evaluated by probability and impact which is used to determine its priority and related risk mitigating actions.
</t>
  </si>
  <si>
    <t>运用能判断风险的优先级和缓解措施的可能性和影响度来评价风险</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</si>
</sst>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sz val="9"/>
      <name val="Calibri"/>
      <family val="3"/>
      <charset val="134"/>
      <scheme val="minor"/>
    </font>
    <font>
      <sz val="11"/>
      <color rgb="FF000000"/>
      <name val="Calibri"/>
      <family val="2"/>
    </font>
    <font>
      <u/>
      <sz val="12"/>
      <color indexed="12"/>
      <name val="Arial"/>
      <family val="2"/>
    </font>
    <font>
      <sz val="10"/>
      <name val="Geneva"/>
      <charset val="134"/>
    </font>
    <font>
      <b/>
      <sz val="20"/>
      <color rgb="FF505050"/>
      <name val="Calibri"/>
      <family val="2"/>
      <scheme val="minor"/>
    </font>
    <font>
      <sz val="10"/>
      <color rgb="FFFF0000"/>
      <name val="Calibri"/>
      <family val="2"/>
      <scheme val="minor"/>
    </font>
    <font>
      <sz val="10"/>
      <color rgb="FF002060"/>
      <name val="Calibri"/>
      <family val="2"/>
      <scheme val="minor"/>
    </font>
    <font>
      <sz val="11"/>
      <color rgb="FFFF0000"/>
      <name val="Calibri"/>
      <family val="2"/>
      <scheme val="minor"/>
    </font>
  </fonts>
  <fills count="16">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indexed="22"/>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16">
    <xf numFmtId="0" fontId="0" fillId="0" borderId="0"/>
    <xf numFmtId="0" fontId="17" fillId="0" borderId="0" applyNumberFormat="0" applyFill="0" applyBorder="0" applyAlignment="0" applyProtection="0">
      <alignment vertical="top"/>
      <protection locked="0"/>
    </xf>
    <xf numFmtId="0" fontId="26" fillId="0" borderId="0"/>
    <xf numFmtId="0" fontId="27" fillId="0" borderId="0"/>
    <xf numFmtId="0" fontId="27" fillId="0" borderId="0"/>
    <xf numFmtId="0" fontId="26" fillId="0" borderId="0"/>
    <xf numFmtId="0" fontId="7" fillId="0" borderId="0"/>
    <xf numFmtId="0" fontId="6" fillId="0" borderId="0"/>
    <xf numFmtId="0" fontId="6" fillId="0" borderId="0"/>
    <xf numFmtId="0" fontId="26" fillId="0" borderId="0"/>
    <xf numFmtId="0" fontId="6" fillId="0" borderId="0"/>
    <xf numFmtId="0" fontId="3" fillId="0" borderId="0"/>
    <xf numFmtId="0" fontId="2" fillId="0" borderId="0"/>
    <xf numFmtId="0" fontId="2" fillId="0" borderId="0"/>
    <xf numFmtId="0" fontId="2" fillId="0" borderId="0"/>
    <xf numFmtId="0" fontId="31" fillId="0" borderId="0"/>
  </cellStyleXfs>
  <cellXfs count="141">
    <xf numFmtId="0" fontId="0" fillId="0" borderId="0" xfId="0"/>
    <xf numFmtId="0" fontId="13" fillId="3" borderId="1" xfId="2" applyFont="1" applyFill="1" applyBorder="1" applyAlignment="1">
      <alignment horizontal="left" vertical="center"/>
    </xf>
    <xf numFmtId="0" fontId="13" fillId="3" borderId="1" xfId="2" applyFont="1" applyFill="1" applyBorder="1" applyAlignment="1">
      <alignment horizontal="left" vertical="center" wrapText="1"/>
    </xf>
    <xf numFmtId="0" fontId="13" fillId="4" borderId="1" xfId="2" applyFont="1" applyFill="1" applyBorder="1" applyAlignment="1">
      <alignment horizontal="left" vertical="top" wrapText="1"/>
    </xf>
    <xf numFmtId="0" fontId="13" fillId="2" borderId="1" xfId="2" applyFont="1" applyFill="1" applyBorder="1" applyAlignment="1">
      <alignment horizontal="center" vertical="center"/>
    </xf>
    <xf numFmtId="0" fontId="13" fillId="0" borderId="1" xfId="5" applyFont="1" applyBorder="1" applyAlignment="1">
      <alignment horizontal="left" vertical="center" wrapText="1"/>
    </xf>
    <xf numFmtId="0" fontId="15" fillId="0" borderId="1" xfId="5" applyFont="1" applyBorder="1" applyAlignment="1">
      <alignment horizontal="center" vertical="center" wrapText="1"/>
    </xf>
    <xf numFmtId="0" fontId="13" fillId="5" borderId="1" xfId="2" applyFont="1" applyFill="1" applyBorder="1" applyAlignment="1">
      <alignment horizontal="center" vertical="center" wrapText="1"/>
    </xf>
    <xf numFmtId="0" fontId="13" fillId="2" borderId="1" xfId="2" applyFont="1" applyFill="1" applyBorder="1" applyAlignment="1">
      <alignment horizontal="left" vertical="center" wrapText="1"/>
    </xf>
    <xf numFmtId="0" fontId="13" fillId="2" borderId="1" xfId="2" applyFont="1" applyFill="1" applyBorder="1" applyAlignment="1">
      <alignment horizontal="center" vertical="center" wrapText="1"/>
    </xf>
    <xf numFmtId="0" fontId="13" fillId="5" borderId="2" xfId="2" applyFont="1" applyFill="1" applyBorder="1" applyAlignment="1">
      <alignment vertical="center" wrapText="1"/>
    </xf>
    <xf numFmtId="0" fontId="13" fillId="4" borderId="1" xfId="2" applyFont="1" applyFill="1" applyBorder="1" applyAlignment="1">
      <alignment vertical="center" wrapText="1"/>
    </xf>
    <xf numFmtId="0" fontId="16" fillId="0" borderId="1" xfId="1" applyNumberFormat="1" applyFont="1" applyFill="1" applyBorder="1" applyAlignment="1" applyProtection="1">
      <alignment horizontal="center" vertical="center" wrapText="1"/>
    </xf>
    <xf numFmtId="0" fontId="13" fillId="3" borderId="1" xfId="2" applyFont="1" applyFill="1" applyBorder="1" applyAlignment="1">
      <alignment horizontal="center" vertical="center" wrapText="1"/>
    </xf>
    <xf numFmtId="0" fontId="0" fillId="0" borderId="0" xfId="0" applyAlignment="1">
      <alignment horizontal="left" vertical="top" wrapText="1"/>
    </xf>
    <xf numFmtId="15" fontId="0" fillId="0" borderId="0" xfId="0" applyNumberFormat="1" applyAlignment="1">
      <alignment horizontal="left" vertical="top" wrapText="1"/>
    </xf>
    <xf numFmtId="0" fontId="17" fillId="0" borderId="0" xfId="1" applyAlignment="1" applyProtection="1"/>
    <xf numFmtId="0" fontId="5" fillId="0" borderId="0" xfId="0" applyFont="1"/>
    <xf numFmtId="0" fontId="4" fillId="0" borderId="0" xfId="0" applyFont="1"/>
    <xf numFmtId="0" fontId="0" fillId="0" borderId="0" xfId="0" applyAlignment="1">
      <alignment horizontal="left" vertical="top"/>
    </xf>
    <xf numFmtId="0" fontId="14" fillId="11" borderId="2" xfId="2" applyFont="1" applyFill="1" applyBorder="1" applyAlignment="1">
      <alignment vertical="center" wrapText="1"/>
    </xf>
    <xf numFmtId="0" fontId="14" fillId="11" borderId="3" xfId="2" applyFont="1" applyFill="1" applyBorder="1" applyAlignment="1">
      <alignment vertical="center" wrapText="1"/>
    </xf>
    <xf numFmtId="0" fontId="13" fillId="10" borderId="1" xfId="2" applyFont="1" applyFill="1" applyBorder="1" applyAlignment="1">
      <alignment horizontal="left" vertical="center" wrapText="1"/>
    </xf>
    <xf numFmtId="0" fontId="13" fillId="4" borderId="1" xfId="2" applyFont="1" applyFill="1" applyBorder="1" applyAlignment="1">
      <alignment horizontal="left" vertical="center" wrapText="1"/>
    </xf>
    <xf numFmtId="0" fontId="2" fillId="0" borderId="0" xfId="0" applyFont="1" applyAlignment="1">
      <alignment horizontal="left" vertical="top" wrapText="1"/>
    </xf>
    <xf numFmtId="0" fontId="2" fillId="0" borderId="0" xfId="12"/>
    <xf numFmtId="0" fontId="10" fillId="0" borderId="0" xfId="13" applyFont="1"/>
    <xf numFmtId="0" fontId="10" fillId="0" borderId="0" xfId="13" applyFont="1" applyAlignment="1">
      <alignment horizontal="left" indent="1"/>
    </xf>
    <xf numFmtId="0" fontId="30" fillId="0" borderId="0" xfId="1" applyFont="1" applyAlignment="1" applyProtection="1"/>
    <xf numFmtId="0" fontId="19" fillId="13" borderId="5" xfId="13" applyFont="1" applyFill="1" applyBorder="1" applyAlignment="1">
      <alignment horizontal="center" vertical="center" textRotation="90" wrapText="1"/>
    </xf>
    <xf numFmtId="0" fontId="19" fillId="0" borderId="5" xfId="13" applyFont="1" applyBorder="1" applyAlignment="1">
      <alignment horizontal="center" vertical="center" textRotation="90" wrapText="1"/>
    </xf>
    <xf numFmtId="0" fontId="12" fillId="13" borderId="4" xfId="13" applyFont="1" applyFill="1" applyBorder="1" applyAlignment="1">
      <alignment horizontal="center" vertical="center" wrapText="1"/>
    </xf>
    <xf numFmtId="0" fontId="2" fillId="2" borderId="0" xfId="13" applyFill="1"/>
    <xf numFmtId="0" fontId="19" fillId="13" borderId="5" xfId="13" applyFont="1" applyFill="1" applyBorder="1" applyAlignment="1">
      <alignment horizontal="center" vertical="center" wrapText="1"/>
    </xf>
    <xf numFmtId="0" fontId="19" fillId="0" borderId="5" xfId="13" applyFont="1" applyBorder="1" applyAlignment="1">
      <alignment horizontal="center" vertical="center" wrapText="1"/>
    </xf>
    <xf numFmtId="0" fontId="19" fillId="11" borderId="5" xfId="13" applyFont="1" applyFill="1" applyBorder="1" applyAlignment="1">
      <alignment horizontal="center" vertical="center" wrapText="1"/>
    </xf>
    <xf numFmtId="0" fontId="19" fillId="11" borderId="5" xfId="14" quotePrefix="1" applyFont="1" applyFill="1" applyBorder="1" applyAlignment="1">
      <alignment horizontal="center" vertical="center" wrapText="1"/>
    </xf>
    <xf numFmtId="0" fontId="12" fillId="8" borderId="4" xfId="13" applyFont="1" applyFill="1" applyBorder="1" applyAlignment="1">
      <alignment horizontal="center" vertical="center" wrapText="1"/>
    </xf>
    <xf numFmtId="0" fontId="19" fillId="11" borderId="5" xfId="14" applyFont="1" applyFill="1" applyBorder="1" applyAlignment="1">
      <alignment horizontal="center" vertical="center" wrapText="1"/>
    </xf>
    <xf numFmtId="0" fontId="21" fillId="2" borderId="0" xfId="13" applyFont="1" applyFill="1"/>
    <xf numFmtId="0" fontId="8" fillId="2" borderId="0" xfId="13" applyFont="1" applyFill="1"/>
    <xf numFmtId="0" fontId="23" fillId="13"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11" fillId="13" borderId="4" xfId="13" applyFont="1" applyFill="1" applyBorder="1" applyAlignment="1">
      <alignment horizontal="center" vertical="center" wrapText="1"/>
    </xf>
    <xf numFmtId="0" fontId="22" fillId="2" borderId="0" xfId="13" applyFont="1" applyFill="1" applyAlignment="1">
      <alignment horizontal="center" vertical="center"/>
    </xf>
    <xf numFmtId="0" fontId="22" fillId="2" borderId="5" xfId="13" applyFont="1" applyFill="1" applyBorder="1" applyAlignment="1">
      <alignment horizontal="center" vertical="center"/>
    </xf>
    <xf numFmtId="0" fontId="24" fillId="2" borderId="0" xfId="13" applyFont="1" applyFill="1"/>
    <xf numFmtId="0" fontId="2" fillId="2" borderId="0" xfId="13" applyFill="1" applyAlignment="1">
      <alignment horizontal="center" vertical="center"/>
    </xf>
    <xf numFmtId="0" fontId="25" fillId="7" borderId="5" xfId="13" applyFont="1" applyFill="1" applyBorder="1" applyAlignment="1">
      <alignment horizontal="center" vertical="center" wrapText="1"/>
    </xf>
    <xf numFmtId="0" fontId="25" fillId="0" borderId="5" xfId="13" applyFont="1" applyBorder="1" applyAlignment="1">
      <alignment horizontal="center" vertical="center" wrapText="1"/>
    </xf>
    <xf numFmtId="0" fontId="18" fillId="2" borderId="0" xfId="13" applyFont="1" applyFill="1"/>
    <xf numFmtId="0" fontId="18" fillId="2" borderId="0" xfId="13" applyFont="1" applyFill="1" applyAlignment="1">
      <alignment horizontal="center" vertical="center"/>
    </xf>
    <xf numFmtId="0" fontId="9" fillId="14" borderId="0" xfId="13" applyFont="1" applyFill="1" applyAlignment="1">
      <alignment horizontal="center" vertical="center" textRotation="90" wrapText="1"/>
    </xf>
    <xf numFmtId="0" fontId="19" fillId="11" borderId="5" xfId="13" quotePrefix="1" applyFont="1" applyFill="1" applyBorder="1" applyAlignment="1">
      <alignment horizontal="center" vertical="center" wrapText="1"/>
    </xf>
    <xf numFmtId="0" fontId="20" fillId="2" borderId="0" xfId="13" applyFont="1" applyFill="1"/>
    <xf numFmtId="0" fontId="2" fillId="0" borderId="0" xfId="13"/>
    <xf numFmtId="0" fontId="2" fillId="0" borderId="0" xfId="13" applyAlignment="1">
      <alignment horizontal="left" vertical="top"/>
    </xf>
    <xf numFmtId="0" fontId="13" fillId="3" borderId="1" xfId="15" applyFont="1" applyFill="1" applyBorder="1" applyAlignment="1">
      <alignment horizontal="left" vertical="center" wrapText="1"/>
    </xf>
    <xf numFmtId="0" fontId="13" fillId="3" borderId="1" xfId="15" applyFont="1" applyFill="1" applyBorder="1" applyAlignment="1">
      <alignment horizontal="center" vertical="center" textRotation="90" wrapText="1"/>
    </xf>
    <xf numFmtId="0" fontId="13" fillId="3" borderId="1" xfId="15" applyFont="1" applyFill="1" applyBorder="1" applyAlignment="1">
      <alignment horizontal="center" vertical="center" wrapText="1"/>
    </xf>
    <xf numFmtId="0" fontId="9" fillId="0" borderId="1" xfId="13" applyFont="1" applyBorder="1" applyAlignment="1">
      <alignment horizontal="left" vertical="center" wrapText="1"/>
    </xf>
    <xf numFmtId="0" fontId="9" fillId="2" borderId="0" xfId="13" applyFont="1" applyFill="1"/>
    <xf numFmtId="0" fontId="9" fillId="0" borderId="1" xfId="13" applyFont="1" applyBorder="1" applyAlignment="1">
      <alignment horizontal="left" vertical="top" wrapText="1"/>
    </xf>
    <xf numFmtId="0" fontId="9" fillId="2" borderId="0" xfId="13" applyFont="1" applyFill="1" applyAlignment="1">
      <alignment horizontal="left" vertical="top" wrapText="1"/>
    </xf>
    <xf numFmtId="0" fontId="9" fillId="2" borderId="0" xfId="13" applyFont="1" applyFill="1" applyAlignment="1">
      <alignment horizontal="center" vertical="center"/>
    </xf>
    <xf numFmtId="0" fontId="9" fillId="0" borderId="1" xfId="13" applyFont="1" applyBorder="1" applyAlignment="1">
      <alignment horizontal="left" vertical="center"/>
    </xf>
    <xf numFmtId="0" fontId="11" fillId="2" borderId="0" xfId="13" applyFont="1" applyFill="1" applyAlignment="1">
      <alignment horizontal="left" vertical="top"/>
    </xf>
    <xf numFmtId="0" fontId="8" fillId="2" borderId="0" xfId="13" applyFont="1" applyFill="1" applyAlignment="1">
      <alignment horizontal="left" vertical="top"/>
    </xf>
    <xf numFmtId="0" fontId="12" fillId="2" borderId="0" xfId="13" applyFont="1" applyFill="1" applyAlignment="1">
      <alignment horizontal="left" vertical="top"/>
    </xf>
    <xf numFmtId="0" fontId="10" fillId="2" borderId="0" xfId="13" applyFont="1" applyFill="1" applyAlignment="1">
      <alignment horizontal="left" vertical="top"/>
    </xf>
    <xf numFmtId="0" fontId="9" fillId="2" borderId="0" xfId="13" applyFont="1" applyFill="1" applyAlignment="1">
      <alignment horizontal="left" vertical="top"/>
    </xf>
    <xf numFmtId="0" fontId="32" fillId="0" borderId="0" xfId="13" applyFont="1" applyAlignment="1">
      <alignment horizontal="left" vertical="top"/>
    </xf>
    <xf numFmtId="0" fontId="9" fillId="0" borderId="0" xfId="13" applyFont="1" applyAlignment="1">
      <alignment horizontal="left" vertical="top"/>
    </xf>
    <xf numFmtId="0" fontId="9" fillId="0" borderId="0" xfId="13" applyFont="1" applyAlignment="1">
      <alignment horizontal="center" vertical="center"/>
    </xf>
    <xf numFmtId="0" fontId="9" fillId="0" borderId="0" xfId="13" applyFont="1" applyAlignment="1">
      <alignment horizontal="left" vertical="top" wrapText="1"/>
    </xf>
    <xf numFmtId="0" fontId="19" fillId="9" borderId="1" xfId="13" applyFont="1" applyFill="1" applyBorder="1"/>
    <xf numFmtId="0" fontId="19" fillId="9" borderId="0" xfId="13" applyFont="1" applyFill="1"/>
    <xf numFmtId="0" fontId="19" fillId="9" borderId="0" xfId="13" applyFont="1" applyFill="1" applyAlignment="1">
      <alignment horizontal="center" vertical="center"/>
    </xf>
    <xf numFmtId="0" fontId="9" fillId="0" borderId="0" xfId="13" applyFont="1"/>
    <xf numFmtId="0" fontId="13" fillId="15" borderId="1" xfId="2" applyFont="1" applyFill="1" applyBorder="1" applyAlignment="1">
      <alignment horizontal="left" vertical="top" wrapText="1"/>
    </xf>
    <xf numFmtId="0" fontId="13" fillId="15" borderId="1" xfId="2" applyFont="1" applyFill="1" applyBorder="1" applyAlignment="1">
      <alignment horizontal="left" vertical="top" textRotation="180" wrapText="1"/>
    </xf>
    <xf numFmtId="0" fontId="13" fillId="15" borderId="0" xfId="2" applyFont="1" applyFill="1" applyAlignment="1">
      <alignment horizontal="left" vertical="top" textRotation="180" wrapText="1"/>
    </xf>
    <xf numFmtId="0" fontId="9" fillId="0" borderId="0" xfId="13" applyFont="1" applyAlignment="1">
      <alignment horizontal="center" vertical="top" wrapText="1"/>
    </xf>
    <xf numFmtId="0" fontId="9" fillId="0" borderId="0" xfId="13" applyFont="1" applyAlignment="1">
      <alignment horizontal="center" vertical="top"/>
    </xf>
    <xf numFmtId="0" fontId="13" fillId="0" borderId="0" xfId="2" applyFont="1" applyAlignment="1">
      <alignment horizontal="left" vertical="top"/>
    </xf>
    <xf numFmtId="0" fontId="13" fillId="4" borderId="1" xfId="2" quotePrefix="1" applyFont="1" applyFill="1" applyBorder="1" applyAlignment="1">
      <alignment horizontal="left" vertical="top" wrapText="1"/>
    </xf>
    <xf numFmtId="0" fontId="13" fillId="4" borderId="0" xfId="2" quotePrefix="1" applyFont="1" applyFill="1" applyAlignment="1">
      <alignment horizontal="left" vertical="top" wrapText="1"/>
    </xf>
    <xf numFmtId="0" fontId="13" fillId="0" borderId="0" xfId="5" applyFont="1" applyAlignment="1">
      <alignment horizontal="left" vertical="top" wrapText="1"/>
    </xf>
    <xf numFmtId="0" fontId="13" fillId="15" borderId="6" xfId="2" applyFont="1" applyFill="1" applyBorder="1" applyAlignment="1">
      <alignment horizontal="left" vertical="top" textRotation="180" wrapText="1"/>
    </xf>
    <xf numFmtId="0" fontId="13" fillId="0" borderId="0" xfId="2" applyFont="1" applyAlignment="1">
      <alignment horizontal="left" vertical="top" wrapText="1"/>
    </xf>
    <xf numFmtId="0" fontId="9" fillId="0" borderId="0" xfId="13" applyFont="1" applyAlignment="1">
      <alignment horizontal="left" vertical="center"/>
    </xf>
    <xf numFmtId="0" fontId="9" fillId="0" borderId="0" xfId="13" applyFont="1" applyAlignment="1">
      <alignment vertical="center"/>
    </xf>
    <xf numFmtId="0" fontId="19" fillId="9" borderId="1" xfId="13" applyFont="1" applyFill="1" applyBorder="1" applyAlignment="1">
      <alignment horizontal="center" vertical="center"/>
    </xf>
    <xf numFmtId="0" fontId="13" fillId="15" borderId="1" xfId="2" applyFont="1" applyFill="1" applyBorder="1" applyAlignment="1">
      <alignment horizontal="left" vertical="center" wrapText="1"/>
    </xf>
    <xf numFmtId="0" fontId="13" fillId="15" borderId="1" xfId="2" applyFont="1" applyFill="1" applyBorder="1" applyAlignment="1">
      <alignment horizontal="left" vertical="center" textRotation="180" wrapText="1"/>
    </xf>
    <xf numFmtId="0" fontId="13" fillId="15" borderId="1" xfId="2" applyFont="1" applyFill="1" applyBorder="1" applyAlignment="1">
      <alignment horizontal="center" vertical="center" textRotation="180" wrapText="1"/>
    </xf>
    <xf numFmtId="0" fontId="9" fillId="0" borderId="0" xfId="13" applyFont="1" applyAlignment="1">
      <alignment horizontal="center" vertical="center" wrapText="1"/>
    </xf>
    <xf numFmtId="0" fontId="9" fillId="0" borderId="0" xfId="13" applyFont="1" applyAlignment="1">
      <alignment horizontal="left" vertical="center" wrapText="1"/>
    </xf>
    <xf numFmtId="0" fontId="13" fillId="4" borderId="1" xfId="2" quotePrefix="1" applyFont="1" applyFill="1" applyBorder="1" applyAlignment="1">
      <alignment horizontal="left" vertical="center" wrapText="1"/>
    </xf>
    <xf numFmtId="0" fontId="13" fillId="4" borderId="1" xfId="2" applyFont="1" applyFill="1" applyBorder="1" applyAlignment="1">
      <alignment horizontal="center" vertical="center" wrapText="1"/>
    </xf>
    <xf numFmtId="0" fontId="13" fillId="0" borderId="0" xfId="5" applyFont="1" applyAlignment="1">
      <alignment horizontal="left" vertical="center" wrapText="1"/>
    </xf>
    <xf numFmtId="0" fontId="13" fillId="0" borderId="0" xfId="2" applyFont="1" applyAlignment="1">
      <alignment horizontal="left" vertical="center" wrapText="1"/>
    </xf>
    <xf numFmtId="0" fontId="13" fillId="4" borderId="1" xfId="2" quotePrefix="1" applyFont="1" applyFill="1" applyBorder="1" applyAlignment="1">
      <alignment horizontal="center" vertical="center" wrapText="1"/>
    </xf>
    <xf numFmtId="0" fontId="19" fillId="9" borderId="1" xfId="13" applyFont="1" applyFill="1" applyBorder="1" applyAlignment="1">
      <alignment horizontal="left" vertical="top"/>
    </xf>
    <xf numFmtId="0" fontId="13" fillId="15" borderId="7" xfId="2" applyFont="1" applyFill="1" applyBorder="1" applyAlignment="1">
      <alignment horizontal="left" vertical="top" wrapText="1"/>
    </xf>
    <xf numFmtId="0" fontId="13" fillId="15" borderId="8" xfId="2" applyFont="1" applyFill="1" applyBorder="1" applyAlignment="1">
      <alignment horizontal="left" vertical="top" wrapText="1"/>
    </xf>
    <xf numFmtId="0" fontId="13" fillId="15" borderId="7" xfId="2" applyFont="1" applyFill="1" applyBorder="1" applyAlignment="1">
      <alignment horizontal="left" vertical="top" textRotation="180" wrapText="1"/>
    </xf>
    <xf numFmtId="0" fontId="13" fillId="4" borderId="7" xfId="2" applyFont="1" applyFill="1" applyBorder="1" applyAlignment="1">
      <alignment horizontal="left" vertical="top" wrapText="1"/>
    </xf>
    <xf numFmtId="0" fontId="13" fillId="4" borderId="8" xfId="2" applyFont="1" applyFill="1" applyBorder="1" applyAlignment="1">
      <alignment horizontal="left" vertical="top" wrapText="1"/>
    </xf>
    <xf numFmtId="0" fontId="13" fillId="4" borderId="7" xfId="2" quotePrefix="1" applyFont="1" applyFill="1" applyBorder="1" applyAlignment="1">
      <alignment horizontal="left" vertical="top" wrapText="1"/>
    </xf>
    <xf numFmtId="0" fontId="13" fillId="15" borderId="1" xfId="2" applyFont="1" applyFill="1" applyBorder="1" applyAlignment="1">
      <alignment horizontal="center" vertical="center" wrapText="1"/>
    </xf>
    <xf numFmtId="0" fontId="9" fillId="0" borderId="0" xfId="13" applyFont="1" applyAlignment="1">
      <alignment horizontal="center"/>
    </xf>
    <xf numFmtId="0" fontId="9" fillId="0" borderId="0" xfId="13" applyFont="1" applyAlignment="1">
      <alignment vertical="top"/>
    </xf>
    <xf numFmtId="0" fontId="13" fillId="0" borderId="0" xfId="2" applyFont="1" applyAlignment="1">
      <alignment horizontal="left" vertical="center"/>
    </xf>
    <xf numFmtId="0" fontId="33" fillId="4" borderId="1" xfId="2" applyFont="1" applyFill="1" applyBorder="1" applyAlignment="1">
      <alignment horizontal="left" vertical="top" wrapText="1"/>
    </xf>
    <xf numFmtId="0" fontId="9" fillId="0" borderId="0" xfId="13" applyFont="1" applyAlignment="1">
      <alignment wrapText="1"/>
    </xf>
    <xf numFmtId="0" fontId="19" fillId="9" borderId="1" xfId="13" applyFont="1" applyFill="1" applyBorder="1" applyAlignment="1">
      <alignment horizontal="left" vertical="top" wrapText="1"/>
    </xf>
    <xf numFmtId="0" fontId="9" fillId="0" borderId="0" xfId="13" applyFont="1" applyAlignment="1">
      <alignment vertical="center" wrapText="1"/>
    </xf>
    <xf numFmtId="0" fontId="9" fillId="0" borderId="0" xfId="13" quotePrefix="1" applyFont="1" applyAlignment="1">
      <alignment horizontal="left" vertical="center"/>
    </xf>
    <xf numFmtId="0" fontId="19" fillId="0" borderId="5" xfId="13" applyFont="1" applyBorder="1" applyAlignment="1">
      <alignment horizontal="center" vertical="center" wrapText="1"/>
    </xf>
    <xf numFmtId="0" fontId="35" fillId="0" borderId="0" xfId="0" applyFont="1"/>
    <xf numFmtId="0" fontId="1" fillId="0" borderId="1" xfId="0" applyFont="1" applyBorder="1"/>
    <xf numFmtId="0" fontId="13" fillId="4" borderId="1" xfId="2" applyFont="1" applyFill="1" applyBorder="1" applyAlignment="1">
      <alignment horizontal="left" vertical="center" wrapText="1"/>
    </xf>
    <xf numFmtId="0" fontId="0" fillId="0" borderId="0" xfId="0" applyAlignment="1">
      <alignment horizontal="right" vertical="top" wrapText="1"/>
    </xf>
    <xf numFmtId="0" fontId="0" fillId="0" borderId="1" xfId="0" applyBorder="1" applyAlignment="1">
      <alignment horizontal="left" vertical="top" wrapText="1"/>
    </xf>
    <xf numFmtId="0" fontId="13" fillId="4" borderId="0" xfId="2" quotePrefix="1" applyFont="1" applyFill="1" applyBorder="1" applyAlignment="1">
      <alignment horizontal="left" vertical="top" wrapText="1"/>
    </xf>
    <xf numFmtId="0" fontId="19" fillId="0" borderId="5" xfId="13" applyFont="1" applyBorder="1" applyAlignment="1">
      <alignment horizontal="center" vertical="top" wrapText="1"/>
    </xf>
    <xf numFmtId="0" fontId="19" fillId="13" borderId="5" xfId="13" applyFont="1" applyFill="1" applyBorder="1" applyAlignment="1">
      <alignment horizontal="center" vertical="center" wrapText="1"/>
    </xf>
    <xf numFmtId="0" fontId="19" fillId="0" borderId="5" xfId="13" applyFont="1" applyBorder="1" applyAlignment="1">
      <alignment horizontal="center" vertical="center" wrapText="1"/>
    </xf>
    <xf numFmtId="0" fontId="19" fillId="6" borderId="5" xfId="13" applyFont="1" applyFill="1" applyBorder="1" applyAlignment="1">
      <alignment horizontal="center" vertical="center" wrapText="1"/>
    </xf>
    <xf numFmtId="0" fontId="13" fillId="4" borderId="1" xfId="2" applyFont="1" applyFill="1" applyBorder="1" applyAlignment="1">
      <alignment horizontal="left" vertical="center" wrapText="1"/>
    </xf>
    <xf numFmtId="0" fontId="13" fillId="12" borderId="2" xfId="2" applyFont="1" applyFill="1" applyBorder="1" applyAlignment="1">
      <alignment horizontal="center" vertical="center" wrapText="1"/>
    </xf>
    <xf numFmtId="0" fontId="13" fillId="12" borderId="3" xfId="2" applyFont="1" applyFill="1" applyBorder="1" applyAlignment="1">
      <alignment horizontal="center" vertical="center" wrapText="1"/>
    </xf>
    <xf numFmtId="0" fontId="13" fillId="12" borderId="4" xfId="2" applyFont="1" applyFill="1" applyBorder="1" applyAlignment="1">
      <alignment horizontal="center" vertical="center" wrapText="1"/>
    </xf>
    <xf numFmtId="0" fontId="13" fillId="10" borderId="2" xfId="2" applyFont="1" applyFill="1" applyBorder="1" applyAlignment="1">
      <alignment horizontal="left" vertical="center" wrapText="1"/>
    </xf>
    <xf numFmtId="0" fontId="13" fillId="10" borderId="3" xfId="2" applyFont="1" applyFill="1" applyBorder="1" applyAlignment="1">
      <alignment horizontal="left" vertical="center" wrapText="1"/>
    </xf>
    <xf numFmtId="0" fontId="13" fillId="10" borderId="4" xfId="2" applyFont="1" applyFill="1" applyBorder="1" applyAlignment="1">
      <alignment horizontal="left" vertical="center" wrapText="1"/>
    </xf>
    <xf numFmtId="0" fontId="13" fillId="5" borderId="2" xfId="2" applyFont="1" applyFill="1" applyBorder="1" applyAlignment="1">
      <alignment horizontal="center" vertical="center" wrapText="1"/>
    </xf>
    <xf numFmtId="0" fontId="13" fillId="5" borderId="3" xfId="2" applyFont="1" applyFill="1" applyBorder="1" applyAlignment="1">
      <alignment horizontal="center" vertical="center" wrapText="1"/>
    </xf>
    <xf numFmtId="0" fontId="13" fillId="5" borderId="4" xfId="2" applyFont="1" applyFill="1" applyBorder="1" applyAlignment="1">
      <alignment horizontal="center" vertical="center" wrapText="1"/>
    </xf>
    <xf numFmtId="0" fontId="0" fillId="0" borderId="0" xfId="0" quotePrefix="1" applyAlignment="1">
      <alignment horizontal="left" vertical="top" wrapText="1"/>
    </xf>
  </cellXfs>
  <cellStyles count="16">
    <cellStyle name="Hyperlink" xfId="1" builtinId="8"/>
    <cellStyle name="Normal" xfId="0" builtinId="0"/>
    <cellStyle name="Normal 2" xfId="2" xr:uid="{00000000-0005-0000-0000-00002B000000}"/>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4 2 2 2 8 12" xfId="7" xr:uid="{39C3A0A8-960F-487B-A6BA-995D5BFD8A7F}"/>
    <cellStyle name="Normal 7 4 2 2 2 8 3 8" xfId="10" xr:uid="{A11D860C-1C60-4651-8844-BE9DD8254D9A}"/>
    <cellStyle name="Normal_Consolidate Data 1 2 3" xfId="15" xr:uid="{250BE227-2B9B-450E-B3D8-7E1B921C247A}"/>
    <cellStyle name="常规_CMMI_PIID0809_v1.2" xfId="5" xr:uid="{00000000-0005-0000-0000-000035000000}"/>
  </cellStyles>
  <dxfs count="295">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00CC00"/>
      <color rgb="FFF9A51A"/>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externalLink" Target="externalLinks/externalLink1.xml"/><Relationship Id="rId42"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3.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externalLink" Target="externalLinks/externalLink2.xml"/><Relationship Id="rId43" Type="http://schemas.openxmlformats.org/officeDocument/2006/relationships/customXml" Target="../customXml/item3.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91440</xdr:colOff>
          <xdr:row>3</xdr:row>
          <xdr:rowOff>60960</xdr:rowOff>
        </xdr:from>
        <xdr:to>
          <xdr:col>3</xdr:col>
          <xdr:colOff>0</xdr:colOff>
          <xdr:row>5</xdr:row>
          <xdr:rowOff>7620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10</xdr:row>
          <xdr:rowOff>167640</xdr:rowOff>
        </xdr:from>
        <xdr:to>
          <xdr:col>2</xdr:col>
          <xdr:colOff>548640</xdr:colOff>
          <xdr:row>12</xdr:row>
          <xdr:rowOff>91440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99060</xdr:colOff>
          <xdr:row>25</xdr:row>
          <xdr:rowOff>144780</xdr:rowOff>
        </xdr:from>
        <xdr:to>
          <xdr:col>2</xdr:col>
          <xdr:colOff>518160</xdr:colOff>
          <xdr:row>27</xdr:row>
          <xdr:rowOff>106680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160020</xdr:colOff>
          <xdr:row>13</xdr:row>
          <xdr:rowOff>114300</xdr:rowOff>
        </xdr:from>
        <xdr:to>
          <xdr:col>3</xdr:col>
          <xdr:colOff>7620</xdr:colOff>
          <xdr:row>15</xdr:row>
          <xdr:rowOff>121920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16</xdr:row>
          <xdr:rowOff>144780</xdr:rowOff>
        </xdr:from>
        <xdr:to>
          <xdr:col>3</xdr:col>
          <xdr:colOff>441960</xdr:colOff>
          <xdr:row>18</xdr:row>
          <xdr:rowOff>175260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228600</xdr:colOff>
          <xdr:row>20</xdr:row>
          <xdr:rowOff>160020</xdr:rowOff>
        </xdr:from>
        <xdr:to>
          <xdr:col>3</xdr:col>
          <xdr:colOff>60960</xdr:colOff>
          <xdr:row>24</xdr:row>
          <xdr:rowOff>83820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11</xdr:row>
          <xdr:rowOff>22860</xdr:rowOff>
        </xdr:from>
        <xdr:to>
          <xdr:col>6</xdr:col>
          <xdr:colOff>556260</xdr:colOff>
          <xdr:row>12</xdr:row>
          <xdr:rowOff>160020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480060</xdr:colOff>
          <xdr:row>10</xdr:row>
          <xdr:rowOff>175260</xdr:rowOff>
        </xdr:from>
        <xdr:to>
          <xdr:col>10</xdr:col>
          <xdr:colOff>38100</xdr:colOff>
          <xdr:row>12</xdr:row>
          <xdr:rowOff>175260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45720</xdr:colOff>
          <xdr:row>14</xdr:row>
          <xdr:rowOff>30480</xdr:rowOff>
        </xdr:from>
        <xdr:to>
          <xdr:col>7</xdr:col>
          <xdr:colOff>7620</xdr:colOff>
          <xdr:row>16</xdr:row>
          <xdr:rowOff>45720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14</xdr:row>
          <xdr:rowOff>30480</xdr:rowOff>
        </xdr:from>
        <xdr:to>
          <xdr:col>10</xdr:col>
          <xdr:colOff>7620</xdr:colOff>
          <xdr:row>16</xdr:row>
          <xdr:rowOff>99060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xdr:colOff>
          <xdr:row>21</xdr:row>
          <xdr:rowOff>60960</xdr:rowOff>
        </xdr:from>
        <xdr:to>
          <xdr:col>7</xdr:col>
          <xdr:colOff>38100</xdr:colOff>
          <xdr:row>23</xdr:row>
          <xdr:rowOff>175260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45720</xdr:colOff>
          <xdr:row>21</xdr:row>
          <xdr:rowOff>68580</xdr:rowOff>
        </xdr:from>
        <xdr:to>
          <xdr:col>10</xdr:col>
          <xdr:colOff>30480</xdr:colOff>
          <xdr:row>24</xdr:row>
          <xdr:rowOff>45720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Celar Instantiation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01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137160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01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findings to DB</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02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129540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02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18" Type="http://schemas.openxmlformats.org/officeDocument/2006/relationships/ctrlProp" Target="../ctrlProps/ctrlProp12.xml"/><Relationship Id="rId3" Type="http://schemas.openxmlformats.org/officeDocument/2006/relationships/hyperlink" Target="https://go.microsoft.com/fwlink/?linkid=866658" TargetMode="External"/><Relationship Id="rId7" Type="http://schemas.openxmlformats.org/officeDocument/2006/relationships/ctrlProp" Target="../ctrlProps/ctrlProp1.xml"/><Relationship Id="rId12" Type="http://schemas.openxmlformats.org/officeDocument/2006/relationships/ctrlProp" Target="../ctrlProps/ctrlProp6.xml"/><Relationship Id="rId17" Type="http://schemas.openxmlformats.org/officeDocument/2006/relationships/ctrlProp" Target="../ctrlProps/ctrlProp11.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10.xml"/><Relationship Id="rId1" Type="http://schemas.openxmlformats.org/officeDocument/2006/relationships/hyperlink" Target="https://www.whatismyip.com/"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trlProp" Target="../ctrlProps/ctrlProp9.xml"/><Relationship Id="rId10" Type="http://schemas.openxmlformats.org/officeDocument/2006/relationships/ctrlProp" Target="../ctrlProps/ctrlProp4.xml"/><Relationship Id="rId4" Type="http://schemas.openxmlformats.org/officeDocument/2006/relationships/printerSettings" Target="../printerSettings/printerSettings1.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hyperlink" Target="https://www.onlinedoctranslator.com/en/translationfor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dimension ref="B2:T38"/>
  <sheetViews>
    <sheetView topLeftCell="A10" workbookViewId="0">
      <selection activeCell="H30" sqref="H30"/>
    </sheetView>
    <sheetView workbookViewId="1"/>
  </sheetViews>
  <sheetFormatPr defaultRowHeight="14.4"/>
  <cols>
    <col min="6" max="6" width="10.6640625" customWidth="1"/>
    <col min="7" max="7" width="22.5546875" customWidth="1"/>
  </cols>
  <sheetData>
    <row r="2" spans="2:20">
      <c r="B2" s="16" t="s">
        <v>622</v>
      </c>
    </row>
    <row r="4" spans="2:20">
      <c r="P4" s="18" t="s">
        <v>606</v>
      </c>
    </row>
    <row r="5" spans="2:20">
      <c r="H5" s="18" t="s">
        <v>613</v>
      </c>
      <c r="J5" s="18" t="s">
        <v>614</v>
      </c>
      <c r="O5" s="18" t="s">
        <v>81</v>
      </c>
      <c r="P5" s="18" t="s">
        <v>138</v>
      </c>
      <c r="Q5" s="18" t="s">
        <v>607</v>
      </c>
      <c r="R5" s="18" t="s">
        <v>609</v>
      </c>
      <c r="S5" s="18" t="s">
        <v>610</v>
      </c>
      <c r="T5" s="18" t="s">
        <v>611</v>
      </c>
    </row>
    <row r="6" spans="2:20">
      <c r="O6" s="18" t="s">
        <v>51</v>
      </c>
    </row>
    <row r="7" spans="2:20">
      <c r="B7" s="17" t="s">
        <v>605</v>
      </c>
      <c r="C7" s="17" t="s">
        <v>604</v>
      </c>
      <c r="O7" s="18" t="s">
        <v>509</v>
      </c>
      <c r="P7">
        <v>1</v>
      </c>
      <c r="Q7">
        <v>0</v>
      </c>
      <c r="R7">
        <v>1</v>
      </c>
      <c r="T7">
        <v>1</v>
      </c>
    </row>
    <row r="8" spans="2:20">
      <c r="O8" s="18" t="s">
        <v>608</v>
      </c>
      <c r="P8">
        <v>0</v>
      </c>
      <c r="Q8">
        <v>0</v>
      </c>
    </row>
    <row r="18" spans="6:15">
      <c r="F18" s="18" t="s">
        <v>612</v>
      </c>
    </row>
    <row r="20" spans="6:15">
      <c r="O20" s="18" t="s">
        <v>52</v>
      </c>
    </row>
    <row r="26" spans="6:15">
      <c r="F26" s="18" t="s">
        <v>612</v>
      </c>
    </row>
    <row r="30" spans="6:15">
      <c r="G30" s="121"/>
    </row>
    <row r="36" spans="2:2">
      <c r="B36" s="120" t="s">
        <v>1062</v>
      </c>
    </row>
    <row r="37" spans="2:2">
      <c r="B37" s="16" t="s">
        <v>1060</v>
      </c>
    </row>
    <row r="38" spans="2:2">
      <c r="B38" s="16" t="s">
        <v>1061</v>
      </c>
    </row>
  </sheetData>
  <hyperlinks>
    <hyperlink ref="B2" r:id="rId1" xr:uid="{E2B289EB-57B3-4AC4-B4F7-FE064FD9BA58}"/>
    <hyperlink ref="B37" r:id="rId2" xr:uid="{0B65FCF2-94F3-4482-9A47-79347D61655C}"/>
    <hyperlink ref="B38" r:id="rId3" xr:uid="{8F17E8A8-9448-4350-B5F1-5750AA665565}"/>
  </hyperlinks>
  <pageMargins left="0.7" right="0.7" top="0.75" bottom="0.75" header="0.3" footer="0.3"/>
  <pageSetup paperSize="9" orientation="portrait" r:id="rId4"/>
  <drawing r:id="rId5"/>
  <legacyDrawing r:id="rId6"/>
  <mc:AlternateContent xmlns:mc="http://schemas.openxmlformats.org/markup-compatibility/2006">
    <mc:Choice Requires="x14">
      <controls>
        <mc:AlternateContent xmlns:mc="http://schemas.openxmlformats.org/markup-compatibility/2006">
          <mc:Choice Requires="x14">
            <control shapeId="43009" r:id="rId7" name="Button 1">
              <controlPr defaultSize="0" print="0" autoFill="0" autoPict="0" macro="[0]!Format_PAs_Click">
                <anchor moveWithCells="1" sizeWithCells="1">
                  <from>
                    <xdr:col>1</xdr:col>
                    <xdr:colOff>91440</xdr:colOff>
                    <xdr:row>3</xdr:row>
                    <xdr:rowOff>60960</xdr:rowOff>
                  </from>
                  <to>
                    <xdr:col>3</xdr:col>
                    <xdr:colOff>0</xdr:colOff>
                    <xdr:row>5</xdr:row>
                    <xdr:rowOff>7620</xdr:rowOff>
                  </to>
                </anchor>
              </controlPr>
            </control>
          </mc:Choice>
        </mc:AlternateContent>
        <mc:AlternateContent xmlns:mc="http://schemas.openxmlformats.org/markup-compatibility/2006">
          <mc:Choice Requires="x14">
            <control shapeId="43010" r:id="rId8" name="Button 2">
              <controlPr defaultSize="0" print="0" autoFill="0" autoPict="0" macro="[0]!Filter_on_Level">
                <anchor moveWithCells="1" sizeWithCells="1">
                  <from>
                    <xdr:col>1</xdr:col>
                    <xdr:colOff>99060</xdr:colOff>
                    <xdr:row>10</xdr:row>
                    <xdr:rowOff>167640</xdr:rowOff>
                  </from>
                  <to>
                    <xdr:col>2</xdr:col>
                    <xdr:colOff>548640</xdr:colOff>
                    <xdr:row>12</xdr:row>
                    <xdr:rowOff>91440</xdr:rowOff>
                  </to>
                </anchor>
              </controlPr>
            </control>
          </mc:Choice>
        </mc:AlternateContent>
        <mc:AlternateContent xmlns:mc="http://schemas.openxmlformats.org/markup-compatibility/2006">
          <mc:Choice Requires="x14">
            <control shapeId="43011" r:id="rId9" name="Button 3">
              <controlPr defaultSize="0" print="0" autoFill="0" autoPict="0" macro="[0]!Filter_Clear">
                <anchor moveWithCells="1" sizeWithCells="1">
                  <from>
                    <xdr:col>1</xdr:col>
                    <xdr:colOff>99060</xdr:colOff>
                    <xdr:row>25</xdr:row>
                    <xdr:rowOff>144780</xdr:rowOff>
                  </from>
                  <to>
                    <xdr:col>2</xdr:col>
                    <xdr:colOff>518160</xdr:colOff>
                    <xdr:row>27</xdr:row>
                    <xdr:rowOff>106680</xdr:rowOff>
                  </to>
                </anchor>
              </controlPr>
            </control>
          </mc:Choice>
        </mc:AlternateContent>
        <mc:AlternateContent xmlns:mc="http://schemas.openxmlformats.org/markup-compatibility/2006">
          <mc:Choice Requires="x14">
            <control shapeId="43012" r:id="rId10" name="Button 4">
              <controlPr defaultSize="0" print="0" autoFill="0" autoPict="0" macro="[0]!Filter_on_PA_level">
                <anchor moveWithCells="1" sizeWithCells="1">
                  <from>
                    <xdr:col>1</xdr:col>
                    <xdr:colOff>160020</xdr:colOff>
                    <xdr:row>13</xdr:row>
                    <xdr:rowOff>114300</xdr:rowOff>
                  </from>
                  <to>
                    <xdr:col>3</xdr:col>
                    <xdr:colOff>7620</xdr:colOff>
                    <xdr:row>15</xdr:row>
                    <xdr:rowOff>121920</xdr:rowOff>
                  </to>
                </anchor>
              </controlPr>
            </control>
          </mc:Choice>
        </mc:AlternateContent>
        <mc:AlternateContent xmlns:mc="http://schemas.openxmlformats.org/markup-compatibility/2006">
          <mc:Choice Requires="x14">
            <control shapeId="43013" r:id="rId11" name="Button 5">
              <controlPr defaultSize="0" print="0" autoFill="0" autoPict="0" macro="[0]!Filter_on_Process_level">
                <anchor moveWithCells="1" sizeWithCells="1">
                  <from>
                    <xdr:col>2</xdr:col>
                    <xdr:colOff>45720</xdr:colOff>
                    <xdr:row>16</xdr:row>
                    <xdr:rowOff>144780</xdr:rowOff>
                  </from>
                  <to>
                    <xdr:col>3</xdr:col>
                    <xdr:colOff>441960</xdr:colOff>
                    <xdr:row>18</xdr:row>
                    <xdr:rowOff>175260</xdr:rowOff>
                  </to>
                </anchor>
              </controlPr>
            </control>
          </mc:Choice>
        </mc:AlternateContent>
        <mc:AlternateContent xmlns:mc="http://schemas.openxmlformats.org/markup-compatibility/2006">
          <mc:Choice Requires="x14">
            <control shapeId="43014" r:id="rId12" name="Button 6">
              <controlPr defaultSize="0" print="0" autoFill="0" autoPict="0" macro="[0]!Filter_on_PA_Instantiation_level">
                <anchor moveWithCells="1" sizeWithCells="1">
                  <from>
                    <xdr:col>1</xdr:col>
                    <xdr:colOff>228600</xdr:colOff>
                    <xdr:row>20</xdr:row>
                    <xdr:rowOff>160020</xdr:rowOff>
                  </from>
                  <to>
                    <xdr:col>3</xdr:col>
                    <xdr:colOff>60960</xdr:colOff>
                    <xdr:row>24</xdr:row>
                    <xdr:rowOff>83820</xdr:rowOff>
                  </to>
                </anchor>
              </controlPr>
            </control>
          </mc:Choice>
        </mc:AlternateContent>
        <mc:AlternateContent xmlns:mc="http://schemas.openxmlformats.org/markup-compatibility/2006">
          <mc:Choice Requires="x14">
            <control shapeId="43015" r:id="rId13" name="Button 7">
              <controlPr defaultSize="0" print="0" autoFill="0" autoPict="0" macro="[0]!Set_char_for_level">
                <anchor moveWithCells="1" sizeWithCells="1">
                  <from>
                    <xdr:col>5</xdr:col>
                    <xdr:colOff>0</xdr:colOff>
                    <xdr:row>11</xdr:row>
                    <xdr:rowOff>22860</xdr:rowOff>
                  </from>
                  <to>
                    <xdr:col>6</xdr:col>
                    <xdr:colOff>556260</xdr:colOff>
                    <xdr:row>12</xdr:row>
                    <xdr:rowOff>160020</xdr:rowOff>
                  </to>
                </anchor>
              </controlPr>
            </control>
          </mc:Choice>
        </mc:AlternateContent>
        <mc:AlternateContent xmlns:mc="http://schemas.openxmlformats.org/markup-compatibility/2006">
          <mc:Choice Requires="x14">
            <control shapeId="43016" r:id="rId14" name="Button 8">
              <controlPr defaultSize="0" print="0" autoFill="0" autoPict="0" macro="[0]!Clear_char_for_level">
                <anchor moveWithCells="1" sizeWithCells="1">
                  <from>
                    <xdr:col>7</xdr:col>
                    <xdr:colOff>480060</xdr:colOff>
                    <xdr:row>10</xdr:row>
                    <xdr:rowOff>175260</xdr:rowOff>
                  </from>
                  <to>
                    <xdr:col>10</xdr:col>
                    <xdr:colOff>38100</xdr:colOff>
                    <xdr:row>12</xdr:row>
                    <xdr:rowOff>175260</xdr:rowOff>
                  </to>
                </anchor>
              </controlPr>
            </control>
          </mc:Choice>
        </mc:AlternateContent>
        <mc:AlternateContent xmlns:mc="http://schemas.openxmlformats.org/markup-compatibility/2006">
          <mc:Choice Requires="x14">
            <control shapeId="43017" r:id="rId15" name="Button 9">
              <controlPr defaultSize="0" print="0" autoFill="0" autoPict="0" macro="[0]!Set_char_for_Prac_OU">
                <anchor moveWithCells="1" sizeWithCells="1">
                  <from>
                    <xdr:col>5</xdr:col>
                    <xdr:colOff>45720</xdr:colOff>
                    <xdr:row>14</xdr:row>
                    <xdr:rowOff>30480</xdr:rowOff>
                  </from>
                  <to>
                    <xdr:col>7</xdr:col>
                    <xdr:colOff>7620</xdr:colOff>
                    <xdr:row>16</xdr:row>
                    <xdr:rowOff>45720</xdr:rowOff>
                  </to>
                </anchor>
              </controlPr>
            </control>
          </mc:Choice>
        </mc:AlternateContent>
        <mc:AlternateContent xmlns:mc="http://schemas.openxmlformats.org/markup-compatibility/2006">
          <mc:Choice Requires="x14">
            <control shapeId="43018" r:id="rId16" name="Button 10">
              <controlPr defaultSize="0" print="0" autoFill="0" autoPict="0" macro="[0]!Clear_char_for_Prac_OU">
                <anchor moveWithCells="1" sizeWithCells="1">
                  <from>
                    <xdr:col>7</xdr:col>
                    <xdr:colOff>541020</xdr:colOff>
                    <xdr:row>14</xdr:row>
                    <xdr:rowOff>30480</xdr:rowOff>
                  </from>
                  <to>
                    <xdr:col>10</xdr:col>
                    <xdr:colOff>7620</xdr:colOff>
                    <xdr:row>16</xdr:row>
                    <xdr:rowOff>99060</xdr:rowOff>
                  </to>
                </anchor>
              </controlPr>
            </control>
          </mc:Choice>
        </mc:AlternateContent>
        <mc:AlternateContent xmlns:mc="http://schemas.openxmlformats.org/markup-compatibility/2006">
          <mc:Choice Requires="x14">
            <control shapeId="43019" r:id="rId17" name="Button 11">
              <controlPr defaultSize="0" print="0" autoFill="0" autoPict="0" macro="[0]!Set_char_for_Prac_instantiation">
                <anchor moveWithCells="1" sizeWithCells="1">
                  <from>
                    <xdr:col>5</xdr:col>
                    <xdr:colOff>38100</xdr:colOff>
                    <xdr:row>21</xdr:row>
                    <xdr:rowOff>60960</xdr:rowOff>
                  </from>
                  <to>
                    <xdr:col>7</xdr:col>
                    <xdr:colOff>38100</xdr:colOff>
                    <xdr:row>23</xdr:row>
                    <xdr:rowOff>175260</xdr:rowOff>
                  </to>
                </anchor>
              </controlPr>
            </control>
          </mc:Choice>
        </mc:AlternateContent>
        <mc:AlternateContent xmlns:mc="http://schemas.openxmlformats.org/markup-compatibility/2006">
          <mc:Choice Requires="x14">
            <control shapeId="43020" r:id="rId18" name="Button 12">
              <controlPr defaultSize="0" print="0" autoFill="0" autoPict="0" macro="[0]!Clear_char_for_Prac_instantiation">
                <anchor moveWithCells="1" sizeWithCells="1">
                  <from>
                    <xdr:col>8</xdr:col>
                    <xdr:colOff>45720</xdr:colOff>
                    <xdr:row>21</xdr:row>
                    <xdr:rowOff>68580</xdr:rowOff>
                  </from>
                  <to>
                    <xdr:col>10</xdr:col>
                    <xdr:colOff>30480</xdr:colOff>
                    <xdr:row>24</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dimension ref="A2:G5"/>
  <sheetViews>
    <sheetView tabSelected="1" workbookViewId="0">
      <pane xSplit="3" ySplit="4" topLeftCell="D5" activePane="bottomRight" state="frozen"/>
      <selection pane="topRight" activeCell="D1" sqref="D1"/>
      <selection pane="bottomLeft" activeCell="A5" sqref="A5"/>
      <selection pane="bottomRight" activeCell="E2" sqref="E2"/>
    </sheetView>
    <sheetView workbookViewId="1"/>
  </sheetViews>
  <sheetFormatPr defaultRowHeight="14.4"/>
  <cols>
    <col min="1" max="1" width="8.88671875" style="14"/>
    <col min="2" max="2" width="12.77734375" style="14" customWidth="1"/>
    <col min="3" max="3" width="15.33203125" style="14" customWidth="1"/>
    <col min="4" max="4" width="63.44140625" style="14" customWidth="1"/>
    <col min="5" max="5" width="63.21875" style="14" customWidth="1"/>
    <col min="6" max="6" width="14.44140625" style="14" customWidth="1"/>
    <col min="7" max="7" width="18.5546875" style="14" customWidth="1"/>
    <col min="8" max="16384" width="8.88671875" style="19"/>
  </cols>
  <sheetData>
    <row r="2" spans="1:7">
      <c r="D2" s="123" t="s">
        <v>1064</v>
      </c>
      <c r="E2" s="124" t="s">
        <v>1634</v>
      </c>
    </row>
    <row r="4" spans="1:7">
      <c r="A4" s="14" t="s">
        <v>615</v>
      </c>
      <c r="B4" s="14" t="s">
        <v>616</v>
      </c>
      <c r="C4" s="14" t="s">
        <v>619</v>
      </c>
      <c r="D4" s="14" t="s">
        <v>621</v>
      </c>
      <c r="E4" s="14" t="s">
        <v>617</v>
      </c>
      <c r="F4" s="14" t="s">
        <v>618</v>
      </c>
      <c r="G4" s="14" t="s">
        <v>620</v>
      </c>
    </row>
    <row r="5" spans="1:7" ht="43.2">
      <c r="A5" s="14">
        <v>2159</v>
      </c>
      <c r="B5" s="14" t="s">
        <v>1635</v>
      </c>
      <c r="C5" s="14" t="s">
        <v>1635</v>
      </c>
      <c r="D5" s="14" t="s">
        <v>1636</v>
      </c>
      <c r="E5" s="14" t="s">
        <v>1637</v>
      </c>
    </row>
  </sheetData>
  <autoFilter ref="A4:G5" xr:uid="{40A19692-D842-4C28-989E-F405CE04BE98}"/>
  <sortState xmlns:xlrd2="http://schemas.microsoft.com/office/spreadsheetml/2017/richdata2" ref="A5:H2010">
    <sortCondition ref="D5:D2010"/>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137160</xdr:rowOff>
                  </from>
                  <to>
                    <xdr:col>2</xdr:col>
                    <xdr:colOff>876300</xdr:colOff>
                    <xdr:row>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dimension ref="A2:I221"/>
  <sheetViews>
    <sheetView workbookViewId="0">
      <pane xSplit="4" ySplit="4" topLeftCell="E5" activePane="bottomRight" state="frozen"/>
      <selection pane="topRight" activeCell="E1" sqref="E1"/>
      <selection pane="bottomLeft" activeCell="A5" sqref="A5"/>
      <selection pane="bottomRight" activeCell="G2" sqref="G2"/>
    </sheetView>
    <sheetView workbookViewId="1"/>
  </sheetViews>
  <sheetFormatPr defaultRowHeight="14.4"/>
  <cols>
    <col min="1" max="1" width="8.88671875" style="14"/>
    <col min="2" max="4" width="8.109375" style="14" customWidth="1"/>
    <col min="5" max="7" width="46" style="14" customWidth="1"/>
    <col min="8" max="8" width="14.88671875" style="14" customWidth="1"/>
    <col min="9" max="9" width="16.77734375" style="14" customWidth="1"/>
    <col min="10" max="16384" width="8.88671875" style="19"/>
  </cols>
  <sheetData>
    <row r="2" spans="1:9">
      <c r="F2" s="123" t="s">
        <v>1064</v>
      </c>
      <c r="G2" s="124"/>
    </row>
    <row r="4" spans="1:9" ht="28.8">
      <c r="A4" s="14" t="s">
        <v>615</v>
      </c>
      <c r="B4" s="14" t="s">
        <v>616</v>
      </c>
      <c r="C4" s="14" t="s">
        <v>1065</v>
      </c>
      <c r="D4" s="14" t="s">
        <v>1066</v>
      </c>
      <c r="E4" s="14" t="s">
        <v>1067</v>
      </c>
      <c r="F4" s="14" t="s">
        <v>1068</v>
      </c>
      <c r="G4" s="14" t="s">
        <v>1069</v>
      </c>
      <c r="H4" s="14" t="s">
        <v>618</v>
      </c>
      <c r="I4" s="14" t="s">
        <v>620</v>
      </c>
    </row>
    <row r="5" spans="1:9" ht="28.8">
      <c r="A5" s="14">
        <v>44</v>
      </c>
      <c r="B5" s="14" t="s">
        <v>509</v>
      </c>
      <c r="C5" s="14">
        <v>1</v>
      </c>
      <c r="D5" s="14">
        <v>1</v>
      </c>
      <c r="E5" s="14" t="s">
        <v>1474</v>
      </c>
      <c r="F5" s="14" t="s">
        <v>1144</v>
      </c>
      <c r="G5" s="14" t="s">
        <v>1070</v>
      </c>
      <c r="H5" s="14" t="s">
        <v>1063</v>
      </c>
    </row>
    <row r="6" spans="1:9" ht="57.6">
      <c r="A6" s="14">
        <v>45</v>
      </c>
      <c r="B6" s="14" t="s">
        <v>511</v>
      </c>
      <c r="C6" s="14">
        <v>1</v>
      </c>
      <c r="D6" s="14">
        <v>1</v>
      </c>
      <c r="E6" s="14" t="s">
        <v>1145</v>
      </c>
      <c r="F6" s="14" t="s">
        <v>1146</v>
      </c>
      <c r="G6" s="14" t="s">
        <v>1475</v>
      </c>
      <c r="H6" s="14" t="s">
        <v>1063</v>
      </c>
    </row>
    <row r="7" spans="1:9" ht="72">
      <c r="A7" s="14">
        <v>46</v>
      </c>
      <c r="B7" s="14" t="s">
        <v>512</v>
      </c>
      <c r="C7" s="14">
        <v>1</v>
      </c>
      <c r="D7" s="14">
        <v>1</v>
      </c>
      <c r="E7" s="14" t="s">
        <v>1147</v>
      </c>
      <c r="F7" s="14" t="s">
        <v>1476</v>
      </c>
      <c r="G7" s="14" t="s">
        <v>1477</v>
      </c>
      <c r="H7" s="14" t="s">
        <v>1063</v>
      </c>
    </row>
    <row r="8" spans="1:9" ht="72">
      <c r="A8" s="14">
        <v>47</v>
      </c>
      <c r="B8" s="14" t="s">
        <v>512</v>
      </c>
      <c r="C8" s="14">
        <v>1</v>
      </c>
      <c r="D8" s="14">
        <v>1</v>
      </c>
      <c r="E8" s="14" t="s">
        <v>1149</v>
      </c>
      <c r="G8" s="14" t="s">
        <v>1477</v>
      </c>
      <c r="H8" s="14" t="s">
        <v>1063</v>
      </c>
    </row>
    <row r="9" spans="1:9" ht="72">
      <c r="A9" s="14">
        <v>48</v>
      </c>
      <c r="B9" s="14" t="s">
        <v>513</v>
      </c>
      <c r="C9" s="14">
        <v>1</v>
      </c>
      <c r="D9" s="14">
        <v>1</v>
      </c>
      <c r="E9" s="14" t="s">
        <v>1134</v>
      </c>
      <c r="F9" s="14" t="s">
        <v>1150</v>
      </c>
      <c r="G9" s="14" t="s">
        <v>1478</v>
      </c>
      <c r="H9" s="14" t="s">
        <v>1063</v>
      </c>
    </row>
    <row r="10" spans="1:9" ht="28.8">
      <c r="A10" s="14">
        <v>49</v>
      </c>
      <c r="B10" s="14" t="s">
        <v>514</v>
      </c>
      <c r="C10" s="14">
        <v>1</v>
      </c>
      <c r="D10" s="14">
        <v>1</v>
      </c>
      <c r="E10" s="14" t="s">
        <v>1151</v>
      </c>
      <c r="F10" s="14" t="s">
        <v>1152</v>
      </c>
      <c r="G10" s="14" t="s">
        <v>1089</v>
      </c>
      <c r="H10" s="14" t="s">
        <v>1063</v>
      </c>
    </row>
    <row r="11" spans="1:9" ht="43.2">
      <c r="A11" s="14">
        <v>50</v>
      </c>
      <c r="B11" s="14" t="s">
        <v>517</v>
      </c>
      <c r="C11" s="14">
        <v>1</v>
      </c>
      <c r="D11" s="14">
        <v>1</v>
      </c>
      <c r="E11" s="14" t="s">
        <v>1479</v>
      </c>
      <c r="F11" s="14" t="s">
        <v>1154</v>
      </c>
      <c r="G11" s="14" t="s">
        <v>1480</v>
      </c>
      <c r="H11" s="14" t="s">
        <v>1063</v>
      </c>
    </row>
    <row r="12" spans="1:9" ht="28.8">
      <c r="A12" s="14">
        <v>51</v>
      </c>
      <c r="B12" s="14" t="s">
        <v>519</v>
      </c>
      <c r="C12" s="14">
        <v>1</v>
      </c>
      <c r="D12" s="14">
        <v>1</v>
      </c>
      <c r="E12" s="14" t="s">
        <v>1481</v>
      </c>
      <c r="F12" s="14" t="s">
        <v>1156</v>
      </c>
      <c r="G12" s="14" t="s">
        <v>1091</v>
      </c>
      <c r="H12" s="14" t="s">
        <v>1063</v>
      </c>
    </row>
    <row r="13" spans="1:9" ht="72">
      <c r="A13" s="14">
        <v>52</v>
      </c>
      <c r="B13" s="14" t="s">
        <v>522</v>
      </c>
      <c r="C13" s="14">
        <v>1</v>
      </c>
      <c r="D13" s="14">
        <v>1</v>
      </c>
      <c r="E13" s="14" t="s">
        <v>1157</v>
      </c>
      <c r="F13" s="14" t="s">
        <v>1158</v>
      </c>
      <c r="G13" s="14" t="s">
        <v>1482</v>
      </c>
      <c r="H13" s="14" t="s">
        <v>1063</v>
      </c>
    </row>
    <row r="14" spans="1:9" ht="28.8">
      <c r="A14" s="14">
        <v>53</v>
      </c>
      <c r="B14" s="14" t="s">
        <v>523</v>
      </c>
      <c r="C14" s="14">
        <v>1</v>
      </c>
      <c r="D14" s="14">
        <v>1</v>
      </c>
      <c r="E14" s="14" t="s">
        <v>1483</v>
      </c>
      <c r="F14" s="14" t="s">
        <v>1160</v>
      </c>
      <c r="G14" s="14" t="s">
        <v>1093</v>
      </c>
      <c r="H14" s="14" t="s">
        <v>1063</v>
      </c>
    </row>
    <row r="15" spans="1:9" ht="72">
      <c r="A15" s="14">
        <v>54</v>
      </c>
      <c r="B15" s="14" t="s">
        <v>527</v>
      </c>
      <c r="C15" s="14">
        <v>1</v>
      </c>
      <c r="D15" s="14">
        <v>1</v>
      </c>
      <c r="E15" s="14" t="s">
        <v>1484</v>
      </c>
      <c r="F15" s="14" t="s">
        <v>1162</v>
      </c>
      <c r="G15" s="14" t="s">
        <v>1094</v>
      </c>
      <c r="H15" s="14" t="s">
        <v>1063</v>
      </c>
    </row>
    <row r="16" spans="1:9" ht="72">
      <c r="A16" s="14">
        <v>55</v>
      </c>
      <c r="B16" s="14" t="s">
        <v>529</v>
      </c>
      <c r="C16" s="14">
        <v>1</v>
      </c>
      <c r="D16" s="14">
        <v>1</v>
      </c>
      <c r="E16" s="14" t="s">
        <v>1485</v>
      </c>
      <c r="F16" s="14" t="s">
        <v>1164</v>
      </c>
      <c r="G16" s="14" t="s">
        <v>1095</v>
      </c>
      <c r="H16" s="14" t="s">
        <v>1063</v>
      </c>
    </row>
    <row r="17" spans="1:8" ht="43.2">
      <c r="A17" s="14">
        <v>4</v>
      </c>
      <c r="B17" s="14" t="s">
        <v>533</v>
      </c>
      <c r="C17" s="14">
        <v>1</v>
      </c>
      <c r="D17" s="14">
        <v>1</v>
      </c>
      <c r="E17" s="14" t="s">
        <v>1486</v>
      </c>
      <c r="F17" s="14" t="s">
        <v>1487</v>
      </c>
      <c r="G17" s="14" t="s">
        <v>1488</v>
      </c>
      <c r="H17" s="14" t="s">
        <v>1063</v>
      </c>
    </row>
    <row r="18" spans="1:8" ht="43.2">
      <c r="A18" s="14">
        <v>5</v>
      </c>
      <c r="B18" s="14" t="s">
        <v>536</v>
      </c>
      <c r="C18" s="14">
        <v>1</v>
      </c>
      <c r="D18" s="14">
        <v>1</v>
      </c>
      <c r="E18" s="14" t="s">
        <v>1489</v>
      </c>
      <c r="F18" s="14" t="s">
        <v>1490</v>
      </c>
      <c r="G18" s="14" t="s">
        <v>1491</v>
      </c>
      <c r="H18" s="14" t="s">
        <v>1063</v>
      </c>
    </row>
    <row r="19" spans="1:8" ht="28.8">
      <c r="A19" s="14">
        <v>6</v>
      </c>
      <c r="B19" s="14" t="s">
        <v>541</v>
      </c>
      <c r="C19" s="14">
        <v>1</v>
      </c>
      <c r="D19" s="14">
        <v>1</v>
      </c>
      <c r="E19" s="14" t="s">
        <v>1492</v>
      </c>
      <c r="F19" s="14" t="s">
        <v>1493</v>
      </c>
      <c r="G19" s="14" t="s">
        <v>1494</v>
      </c>
      <c r="H19" s="14" t="s">
        <v>1063</v>
      </c>
    </row>
    <row r="20" spans="1:8" ht="43.2">
      <c r="A20" s="14">
        <v>7</v>
      </c>
      <c r="B20" s="14" t="s">
        <v>545</v>
      </c>
      <c r="C20" s="14">
        <v>1</v>
      </c>
      <c r="D20" s="14">
        <v>1</v>
      </c>
      <c r="E20" s="14" t="s">
        <v>1495</v>
      </c>
      <c r="F20" s="14" t="s">
        <v>1496</v>
      </c>
      <c r="G20" s="14" t="s">
        <v>1497</v>
      </c>
      <c r="H20" s="14" t="s">
        <v>1063</v>
      </c>
    </row>
    <row r="21" spans="1:8" ht="43.2">
      <c r="A21" s="14">
        <v>8</v>
      </c>
      <c r="B21" s="14" t="s">
        <v>545</v>
      </c>
      <c r="C21" s="14">
        <v>1</v>
      </c>
      <c r="D21" s="14">
        <v>2</v>
      </c>
      <c r="E21" s="14" t="s">
        <v>1498</v>
      </c>
      <c r="F21" s="14" t="s">
        <v>1499</v>
      </c>
      <c r="G21" s="14" t="s">
        <v>1497</v>
      </c>
      <c r="H21" s="14" t="s">
        <v>1063</v>
      </c>
    </row>
    <row r="22" spans="1:8" ht="57.6">
      <c r="A22" s="14">
        <v>9</v>
      </c>
      <c r="B22" s="14" t="s">
        <v>546</v>
      </c>
      <c r="C22" s="14">
        <v>1</v>
      </c>
      <c r="D22" s="14">
        <v>1</v>
      </c>
      <c r="E22" s="14" t="s">
        <v>1500</v>
      </c>
      <c r="F22" s="14" t="s">
        <v>1501</v>
      </c>
      <c r="G22" s="14" t="s">
        <v>1502</v>
      </c>
      <c r="H22" s="14" t="s">
        <v>1063</v>
      </c>
    </row>
    <row r="23" spans="1:8" ht="43.2">
      <c r="A23" s="14">
        <v>10</v>
      </c>
      <c r="B23" s="14" t="s">
        <v>549</v>
      </c>
      <c r="C23" s="14">
        <v>1</v>
      </c>
      <c r="D23" s="14">
        <v>1</v>
      </c>
      <c r="E23" s="14" t="s">
        <v>1503</v>
      </c>
      <c r="F23" s="14" t="s">
        <v>1504</v>
      </c>
      <c r="G23" s="14" t="s">
        <v>1505</v>
      </c>
      <c r="H23" s="14" t="s">
        <v>1063</v>
      </c>
    </row>
    <row r="24" spans="1:8" ht="43.2">
      <c r="A24" s="14">
        <v>11</v>
      </c>
      <c r="B24" s="14" t="s">
        <v>552</v>
      </c>
      <c r="C24" s="14">
        <v>1</v>
      </c>
      <c r="D24" s="14">
        <v>1</v>
      </c>
      <c r="E24" s="14" t="s">
        <v>1506</v>
      </c>
      <c r="F24" s="14" t="s">
        <v>1507</v>
      </c>
      <c r="G24" s="14" t="s">
        <v>1508</v>
      </c>
      <c r="H24" s="14" t="s">
        <v>1063</v>
      </c>
    </row>
    <row r="25" spans="1:8" ht="57.6">
      <c r="A25" s="14">
        <v>56</v>
      </c>
      <c r="B25" s="14" t="s">
        <v>557</v>
      </c>
      <c r="C25" s="14">
        <v>1</v>
      </c>
      <c r="D25" s="14">
        <v>1</v>
      </c>
      <c r="E25" s="14" t="s">
        <v>1165</v>
      </c>
      <c r="F25" s="14" t="s">
        <v>1166</v>
      </c>
      <c r="H25" s="14" t="s">
        <v>1063</v>
      </c>
    </row>
    <row r="26" spans="1:8" ht="28.8">
      <c r="A26" s="14">
        <v>57</v>
      </c>
      <c r="B26" s="14" t="s">
        <v>557</v>
      </c>
      <c r="C26" s="14">
        <v>1</v>
      </c>
      <c r="D26" s="14">
        <v>2</v>
      </c>
      <c r="E26" s="14" t="s">
        <v>1167</v>
      </c>
      <c r="H26" s="14" t="s">
        <v>1063</v>
      </c>
    </row>
    <row r="27" spans="1:8" ht="28.8">
      <c r="A27" s="14">
        <v>58</v>
      </c>
      <c r="B27" s="14" t="s">
        <v>558</v>
      </c>
      <c r="C27" s="14">
        <v>1</v>
      </c>
      <c r="D27" s="14">
        <v>1</v>
      </c>
      <c r="E27" s="14" t="s">
        <v>1169</v>
      </c>
      <c r="F27" s="14" t="s">
        <v>1168</v>
      </c>
      <c r="H27" s="14" t="s">
        <v>1063</v>
      </c>
    </row>
    <row r="28" spans="1:8" ht="43.2">
      <c r="A28" s="14">
        <v>59</v>
      </c>
      <c r="B28" s="14" t="s">
        <v>558</v>
      </c>
      <c r="C28" s="14">
        <v>1</v>
      </c>
      <c r="D28" s="14">
        <v>2</v>
      </c>
      <c r="E28" s="14" t="s">
        <v>1509</v>
      </c>
      <c r="H28" s="14" t="s">
        <v>1063</v>
      </c>
    </row>
    <row r="29" spans="1:8" ht="43.2">
      <c r="A29" s="14">
        <v>60</v>
      </c>
      <c r="B29" s="14" t="s">
        <v>559</v>
      </c>
      <c r="C29" s="14">
        <v>1</v>
      </c>
      <c r="D29" s="14">
        <v>1</v>
      </c>
      <c r="E29" s="14" t="s">
        <v>1173</v>
      </c>
      <c r="F29" s="14" t="s">
        <v>1171</v>
      </c>
      <c r="G29" s="14" t="s">
        <v>1510</v>
      </c>
      <c r="H29" s="14" t="s">
        <v>1063</v>
      </c>
    </row>
    <row r="30" spans="1:8" ht="43.2">
      <c r="A30" s="14">
        <v>61</v>
      </c>
      <c r="B30" s="14" t="s">
        <v>559</v>
      </c>
      <c r="C30" s="14">
        <v>1</v>
      </c>
      <c r="D30" s="14">
        <v>2</v>
      </c>
      <c r="E30" s="14" t="s">
        <v>1172</v>
      </c>
      <c r="G30" s="14" t="s">
        <v>1510</v>
      </c>
      <c r="H30" s="14" t="s">
        <v>1063</v>
      </c>
    </row>
    <row r="31" spans="1:8" ht="43.2">
      <c r="A31" s="14">
        <v>62</v>
      </c>
      <c r="B31" s="14" t="s">
        <v>560</v>
      </c>
      <c r="C31" s="14">
        <v>1</v>
      </c>
      <c r="D31" s="14">
        <v>1</v>
      </c>
      <c r="E31" s="14" t="s">
        <v>1174</v>
      </c>
      <c r="F31" s="14" t="s">
        <v>1175</v>
      </c>
      <c r="H31" s="14" t="s">
        <v>1063</v>
      </c>
    </row>
    <row r="32" spans="1:8" ht="43.2">
      <c r="A32" s="14">
        <v>63</v>
      </c>
      <c r="B32" s="14" t="s">
        <v>560</v>
      </c>
      <c r="C32" s="14">
        <v>1</v>
      </c>
      <c r="D32" s="14">
        <v>2</v>
      </c>
      <c r="E32" s="14" t="s">
        <v>1176</v>
      </c>
      <c r="H32" s="14" t="s">
        <v>1063</v>
      </c>
    </row>
    <row r="33" spans="1:8" ht="28.8">
      <c r="A33" s="14">
        <v>64</v>
      </c>
      <c r="B33" s="14" t="s">
        <v>561</v>
      </c>
      <c r="C33" s="14">
        <v>1</v>
      </c>
      <c r="D33" s="14">
        <v>1</v>
      </c>
      <c r="E33" s="14" t="s">
        <v>1511</v>
      </c>
      <c r="F33" s="14" t="s">
        <v>1177</v>
      </c>
      <c r="H33" s="14" t="s">
        <v>1063</v>
      </c>
    </row>
    <row r="34" spans="1:8" ht="28.8">
      <c r="A34" s="14">
        <v>65</v>
      </c>
      <c r="B34" s="14" t="s">
        <v>561</v>
      </c>
      <c r="C34" s="14">
        <v>1</v>
      </c>
      <c r="D34" s="14">
        <v>2</v>
      </c>
      <c r="E34" s="14" t="s">
        <v>1179</v>
      </c>
      <c r="H34" s="14" t="s">
        <v>1063</v>
      </c>
    </row>
    <row r="35" spans="1:8" ht="28.8">
      <c r="A35" s="14">
        <v>66</v>
      </c>
      <c r="B35" s="14" t="s">
        <v>562</v>
      </c>
      <c r="C35" s="14">
        <v>1</v>
      </c>
      <c r="D35" s="14">
        <v>1</v>
      </c>
      <c r="E35" s="14" t="s">
        <v>1180</v>
      </c>
      <c r="F35" s="14" t="s">
        <v>1181</v>
      </c>
      <c r="H35" s="14" t="s">
        <v>1063</v>
      </c>
    </row>
    <row r="36" spans="1:8" ht="28.8">
      <c r="A36" s="14">
        <v>67</v>
      </c>
      <c r="B36" s="14" t="s">
        <v>562</v>
      </c>
      <c r="C36" s="14">
        <v>1</v>
      </c>
      <c r="D36" s="14">
        <v>2</v>
      </c>
      <c r="E36" s="14" t="s">
        <v>1182</v>
      </c>
      <c r="H36" s="14" t="s">
        <v>1063</v>
      </c>
    </row>
    <row r="37" spans="1:8" ht="28.8">
      <c r="A37" s="14">
        <v>68</v>
      </c>
      <c r="B37" s="14" t="s">
        <v>563</v>
      </c>
      <c r="C37" s="14">
        <v>1</v>
      </c>
      <c r="D37" s="14">
        <v>1</v>
      </c>
      <c r="E37" s="14" t="s">
        <v>1183</v>
      </c>
      <c r="F37" s="14" t="s">
        <v>1184</v>
      </c>
      <c r="H37" s="14" t="s">
        <v>1063</v>
      </c>
    </row>
    <row r="38" spans="1:8" ht="28.8">
      <c r="A38" s="14">
        <v>69</v>
      </c>
      <c r="B38" s="14" t="s">
        <v>564</v>
      </c>
      <c r="C38" s="14">
        <v>1</v>
      </c>
      <c r="D38" s="14">
        <v>1</v>
      </c>
      <c r="E38" s="14" t="s">
        <v>1185</v>
      </c>
      <c r="G38" s="14" t="s">
        <v>1079</v>
      </c>
      <c r="H38" s="14" t="s">
        <v>1063</v>
      </c>
    </row>
    <row r="39" spans="1:8" ht="28.8">
      <c r="A39" s="14">
        <v>70</v>
      </c>
      <c r="B39" s="14" t="s">
        <v>428</v>
      </c>
      <c r="C39" s="14">
        <v>1</v>
      </c>
      <c r="D39" s="14">
        <v>1</v>
      </c>
      <c r="E39" s="14" t="s">
        <v>1186</v>
      </c>
      <c r="F39" s="14" t="s">
        <v>1187</v>
      </c>
      <c r="G39" s="14" t="s">
        <v>1512</v>
      </c>
      <c r="H39" s="14" t="s">
        <v>1063</v>
      </c>
    </row>
    <row r="40" spans="1:8" ht="28.8">
      <c r="A40" s="14">
        <v>71</v>
      </c>
      <c r="B40" s="14" t="s">
        <v>431</v>
      </c>
      <c r="C40" s="14">
        <v>1</v>
      </c>
      <c r="D40" s="14">
        <v>1</v>
      </c>
      <c r="E40" s="14" t="s">
        <v>1188</v>
      </c>
      <c r="F40" s="14" t="s">
        <v>1189</v>
      </c>
      <c r="G40" s="14" t="s">
        <v>1513</v>
      </c>
      <c r="H40" s="14" t="s">
        <v>1063</v>
      </c>
    </row>
    <row r="41" spans="1:8" ht="43.2">
      <c r="A41" s="14">
        <v>72</v>
      </c>
      <c r="B41" s="14" t="s">
        <v>434</v>
      </c>
      <c r="C41" s="14">
        <v>1</v>
      </c>
      <c r="D41" s="14">
        <v>1</v>
      </c>
      <c r="E41" s="14" t="s">
        <v>1190</v>
      </c>
      <c r="F41" s="14" t="s">
        <v>1191</v>
      </c>
      <c r="G41" s="14" t="s">
        <v>1099</v>
      </c>
      <c r="H41" s="14" t="s">
        <v>1063</v>
      </c>
    </row>
    <row r="42" spans="1:8" ht="72">
      <c r="A42" s="14">
        <v>73</v>
      </c>
      <c r="B42" s="14" t="s">
        <v>438</v>
      </c>
      <c r="C42" s="14">
        <v>1</v>
      </c>
      <c r="D42" s="14">
        <v>1</v>
      </c>
      <c r="E42" s="14" t="s">
        <v>1192</v>
      </c>
      <c r="F42" s="14" t="s">
        <v>1193</v>
      </c>
      <c r="G42" s="14" t="s">
        <v>1514</v>
      </c>
      <c r="H42" s="14" t="s">
        <v>1063</v>
      </c>
    </row>
    <row r="43" spans="1:8" ht="28.8">
      <c r="A43" s="14">
        <v>74</v>
      </c>
      <c r="B43" s="14" t="s">
        <v>441</v>
      </c>
      <c r="C43" s="14">
        <v>1</v>
      </c>
      <c r="D43" s="14">
        <v>1</v>
      </c>
      <c r="E43" s="14" t="s">
        <v>1194</v>
      </c>
      <c r="F43" s="14" t="s">
        <v>1195</v>
      </c>
      <c r="G43" s="14" t="s">
        <v>1074</v>
      </c>
      <c r="H43" s="14" t="s">
        <v>1063</v>
      </c>
    </row>
    <row r="44" spans="1:8" ht="57.6">
      <c r="A44" s="14">
        <v>75</v>
      </c>
      <c r="B44" s="14" t="s">
        <v>444</v>
      </c>
      <c r="C44" s="14">
        <v>1</v>
      </c>
      <c r="D44" s="14">
        <v>1</v>
      </c>
      <c r="E44" s="14" t="s">
        <v>1196</v>
      </c>
      <c r="F44" s="14" t="s">
        <v>1197</v>
      </c>
      <c r="G44" s="14" t="s">
        <v>1101</v>
      </c>
      <c r="H44" s="14" t="s">
        <v>1063</v>
      </c>
    </row>
    <row r="45" spans="1:8" ht="28.8">
      <c r="A45" s="14">
        <v>218</v>
      </c>
      <c r="B45" s="14" t="s">
        <v>102</v>
      </c>
      <c r="C45" s="14">
        <v>1</v>
      </c>
      <c r="D45" s="14">
        <v>1</v>
      </c>
      <c r="E45" s="14" t="s">
        <v>1460</v>
      </c>
      <c r="H45" s="14" t="s">
        <v>1063</v>
      </c>
    </row>
    <row r="46" spans="1:8">
      <c r="A46" s="14">
        <v>76</v>
      </c>
      <c r="B46" s="14" t="s">
        <v>102</v>
      </c>
      <c r="C46" s="14">
        <v>1</v>
      </c>
      <c r="D46" s="14">
        <v>2</v>
      </c>
      <c r="E46" s="14" t="s">
        <v>1466</v>
      </c>
      <c r="H46" s="14" t="s">
        <v>1063</v>
      </c>
    </row>
    <row r="47" spans="1:8" ht="28.8">
      <c r="A47" s="14">
        <v>216</v>
      </c>
      <c r="B47" s="14" t="s">
        <v>102</v>
      </c>
      <c r="C47" s="14">
        <v>1</v>
      </c>
      <c r="D47" s="14">
        <v>3</v>
      </c>
      <c r="E47" s="14" t="s">
        <v>1467</v>
      </c>
      <c r="H47" s="14" t="s">
        <v>1063</v>
      </c>
    </row>
    <row r="48" spans="1:8" ht="28.8">
      <c r="A48" s="14">
        <v>217</v>
      </c>
      <c r="B48" s="14" t="s">
        <v>102</v>
      </c>
      <c r="C48" s="14">
        <v>1</v>
      </c>
      <c r="D48" s="14">
        <v>3</v>
      </c>
      <c r="E48" s="14" t="s">
        <v>1459</v>
      </c>
      <c r="H48" s="14" t="s">
        <v>1063</v>
      </c>
    </row>
    <row r="49" spans="1:8" ht="43.2">
      <c r="A49" s="14">
        <v>77</v>
      </c>
      <c r="B49" s="14" t="s">
        <v>588</v>
      </c>
      <c r="C49" s="14">
        <v>1</v>
      </c>
      <c r="D49" s="14">
        <v>1</v>
      </c>
      <c r="E49" s="14" t="s">
        <v>1469</v>
      </c>
      <c r="H49" s="14" t="s">
        <v>1063</v>
      </c>
    </row>
    <row r="50" spans="1:8" ht="28.8">
      <c r="A50" s="14">
        <v>219</v>
      </c>
      <c r="B50" s="14" t="s">
        <v>588</v>
      </c>
      <c r="C50" s="14">
        <v>1</v>
      </c>
      <c r="D50" s="14">
        <v>2</v>
      </c>
      <c r="E50" s="14" t="s">
        <v>1468</v>
      </c>
      <c r="H50" s="14" t="s">
        <v>1063</v>
      </c>
    </row>
    <row r="51" spans="1:8" ht="72">
      <c r="A51" s="14">
        <v>220</v>
      </c>
      <c r="B51" s="14" t="s">
        <v>588</v>
      </c>
      <c r="C51" s="14">
        <v>1</v>
      </c>
      <c r="D51" s="14">
        <v>3</v>
      </c>
      <c r="E51" s="14" t="s">
        <v>1470</v>
      </c>
      <c r="G51" s="14" t="s">
        <v>1461</v>
      </c>
      <c r="H51" s="14" t="s">
        <v>1063</v>
      </c>
    </row>
    <row r="52" spans="1:8" ht="72">
      <c r="A52" s="14">
        <v>78</v>
      </c>
      <c r="B52" s="14" t="s">
        <v>590</v>
      </c>
      <c r="C52" s="14">
        <v>1</v>
      </c>
      <c r="D52" s="14">
        <v>1</v>
      </c>
      <c r="E52" s="14" t="s">
        <v>1457</v>
      </c>
      <c r="G52" s="14" t="s">
        <v>1462</v>
      </c>
      <c r="H52" s="14" t="s">
        <v>1063</v>
      </c>
    </row>
    <row r="53" spans="1:8" ht="86.4">
      <c r="A53" s="14">
        <v>79</v>
      </c>
      <c r="B53" s="14" t="s">
        <v>592</v>
      </c>
      <c r="C53" s="14">
        <v>1</v>
      </c>
      <c r="D53" s="14">
        <v>1</v>
      </c>
      <c r="E53" s="14" t="s">
        <v>1471</v>
      </c>
      <c r="G53" s="14" t="s">
        <v>1463</v>
      </c>
      <c r="H53" s="14" t="s">
        <v>1063</v>
      </c>
    </row>
    <row r="54" spans="1:8" ht="115.2">
      <c r="A54" s="14">
        <v>80</v>
      </c>
      <c r="B54" s="14" t="s">
        <v>595</v>
      </c>
      <c r="C54" s="14">
        <v>1</v>
      </c>
      <c r="D54" s="14">
        <v>1</v>
      </c>
      <c r="E54" s="14" t="s">
        <v>1472</v>
      </c>
      <c r="G54" s="14" t="s">
        <v>1464</v>
      </c>
      <c r="H54" s="14" t="s">
        <v>1063</v>
      </c>
    </row>
    <row r="55" spans="1:8" ht="172.8">
      <c r="A55" s="14">
        <v>81</v>
      </c>
      <c r="B55" s="14" t="s">
        <v>598</v>
      </c>
      <c r="C55" s="14">
        <v>1</v>
      </c>
      <c r="D55" s="14">
        <v>1</v>
      </c>
      <c r="E55" s="14" t="s">
        <v>1473</v>
      </c>
      <c r="G55" s="14" t="s">
        <v>1107</v>
      </c>
      <c r="H55" s="14" t="s">
        <v>1063</v>
      </c>
    </row>
    <row r="56" spans="1:8" ht="43.2">
      <c r="A56" s="14">
        <v>82</v>
      </c>
      <c r="B56" s="14" t="s">
        <v>601</v>
      </c>
      <c r="C56" s="14">
        <v>1</v>
      </c>
      <c r="D56" s="14">
        <v>1</v>
      </c>
      <c r="E56" s="14" t="s">
        <v>1140</v>
      </c>
      <c r="G56" s="14" t="s">
        <v>1085</v>
      </c>
      <c r="H56" s="14" t="s">
        <v>1063</v>
      </c>
    </row>
    <row r="57" spans="1:8" ht="57.6">
      <c r="A57" s="14">
        <v>83</v>
      </c>
      <c r="B57" s="14" t="s">
        <v>603</v>
      </c>
      <c r="C57" s="14">
        <v>1</v>
      </c>
      <c r="D57" s="14">
        <v>1</v>
      </c>
      <c r="E57" s="14" t="s">
        <v>1458</v>
      </c>
      <c r="G57" s="14" t="s">
        <v>1465</v>
      </c>
      <c r="H57" s="14" t="s">
        <v>1063</v>
      </c>
    </row>
    <row r="58" spans="1:8">
      <c r="A58" s="14">
        <v>84</v>
      </c>
      <c r="B58" s="14" t="s">
        <v>567</v>
      </c>
      <c r="C58" s="14">
        <v>1</v>
      </c>
      <c r="D58" s="14">
        <v>1</v>
      </c>
      <c r="E58" s="14" t="s">
        <v>1199</v>
      </c>
      <c r="F58" s="14" t="s">
        <v>1200</v>
      </c>
      <c r="H58" s="14" t="s">
        <v>1063</v>
      </c>
    </row>
    <row r="59" spans="1:8" ht="28.8">
      <c r="A59" s="14">
        <v>85</v>
      </c>
      <c r="B59" s="14" t="s">
        <v>570</v>
      </c>
      <c r="C59" s="14">
        <v>1</v>
      </c>
      <c r="D59" s="14">
        <v>1</v>
      </c>
      <c r="E59" s="14" t="s">
        <v>1201</v>
      </c>
      <c r="F59" s="14" t="s">
        <v>1202</v>
      </c>
      <c r="H59" s="14" t="s">
        <v>1063</v>
      </c>
    </row>
    <row r="60" spans="1:8">
      <c r="A60" s="14">
        <v>86</v>
      </c>
      <c r="B60" s="14" t="s">
        <v>573</v>
      </c>
      <c r="C60" s="14">
        <v>1</v>
      </c>
      <c r="D60" s="14">
        <v>1</v>
      </c>
      <c r="E60" s="14" t="s">
        <v>1203</v>
      </c>
      <c r="F60" s="140" t="s">
        <v>1515</v>
      </c>
      <c r="G60" s="14" t="s">
        <v>1111</v>
      </c>
      <c r="H60" s="14" t="s">
        <v>1063</v>
      </c>
    </row>
    <row r="61" spans="1:8" ht="28.8">
      <c r="A61" s="14">
        <v>87</v>
      </c>
      <c r="B61" s="14" t="s">
        <v>577</v>
      </c>
      <c r="C61" s="14">
        <v>1</v>
      </c>
      <c r="D61" s="14">
        <v>1</v>
      </c>
      <c r="E61" s="14" t="s">
        <v>1205</v>
      </c>
      <c r="F61" s="14" t="s">
        <v>1516</v>
      </c>
      <c r="H61" s="14" t="s">
        <v>1063</v>
      </c>
    </row>
    <row r="62" spans="1:8">
      <c r="A62" s="14">
        <v>88</v>
      </c>
      <c r="B62" s="14" t="s">
        <v>577</v>
      </c>
      <c r="C62" s="14">
        <v>1</v>
      </c>
      <c r="D62" s="14">
        <v>2</v>
      </c>
      <c r="E62" s="14" t="s">
        <v>1207</v>
      </c>
      <c r="F62" s="14" t="s">
        <v>1208</v>
      </c>
      <c r="H62" s="14" t="s">
        <v>1063</v>
      </c>
    </row>
    <row r="63" spans="1:8" ht="28.8">
      <c r="A63" s="14">
        <v>89</v>
      </c>
      <c r="B63" s="14" t="s">
        <v>579</v>
      </c>
      <c r="C63" s="14">
        <v>1</v>
      </c>
      <c r="D63" s="14">
        <v>1</v>
      </c>
      <c r="E63" s="14" t="s">
        <v>1209</v>
      </c>
      <c r="F63" s="14" t="s">
        <v>1210</v>
      </c>
      <c r="H63" s="14" t="s">
        <v>1063</v>
      </c>
    </row>
    <row r="64" spans="1:8" ht="43.2">
      <c r="A64" s="14">
        <v>90</v>
      </c>
      <c r="B64" s="14" t="s">
        <v>584</v>
      </c>
      <c r="C64" s="14">
        <v>1</v>
      </c>
      <c r="D64" s="14">
        <v>1</v>
      </c>
      <c r="E64" s="14" t="s">
        <v>1211</v>
      </c>
      <c r="F64" s="14" t="s">
        <v>1212</v>
      </c>
      <c r="H64" s="14" t="s">
        <v>1063</v>
      </c>
    </row>
    <row r="65" spans="1:8" ht="28.8">
      <c r="A65" s="14">
        <v>91</v>
      </c>
      <c r="B65" s="14" t="s">
        <v>451</v>
      </c>
      <c r="C65" s="14">
        <v>1</v>
      </c>
      <c r="D65" s="14">
        <v>1</v>
      </c>
      <c r="E65" s="14" t="s">
        <v>1213</v>
      </c>
      <c r="F65" s="14" t="s">
        <v>1214</v>
      </c>
      <c r="G65" s="14" t="s">
        <v>1517</v>
      </c>
      <c r="H65" s="14" t="s">
        <v>1063</v>
      </c>
    </row>
    <row r="66" spans="1:8">
      <c r="A66" s="14">
        <v>92</v>
      </c>
      <c r="B66" s="14" t="s">
        <v>453</v>
      </c>
      <c r="C66" s="14">
        <v>1</v>
      </c>
      <c r="D66" s="14">
        <v>1</v>
      </c>
      <c r="E66" s="14" t="s">
        <v>1215</v>
      </c>
      <c r="F66" s="14" t="s">
        <v>1216</v>
      </c>
      <c r="G66" s="14" t="s">
        <v>1080</v>
      </c>
      <c r="H66" s="14" t="s">
        <v>1063</v>
      </c>
    </row>
    <row r="67" spans="1:8" ht="28.8">
      <c r="A67" s="14">
        <v>93</v>
      </c>
      <c r="B67" s="14" t="s">
        <v>456</v>
      </c>
      <c r="C67" s="14">
        <v>1</v>
      </c>
      <c r="D67" s="14">
        <v>1</v>
      </c>
      <c r="E67" s="14" t="s">
        <v>1217</v>
      </c>
      <c r="F67" s="14" t="s">
        <v>1218</v>
      </c>
      <c r="H67" s="14" t="s">
        <v>1063</v>
      </c>
    </row>
    <row r="68" spans="1:8" ht="57.6">
      <c r="A68" s="14">
        <v>94</v>
      </c>
      <c r="B68" s="14" t="s">
        <v>458</v>
      </c>
      <c r="C68" s="14">
        <v>1</v>
      </c>
      <c r="D68" s="14">
        <v>1</v>
      </c>
      <c r="E68" s="14" t="s">
        <v>1518</v>
      </c>
      <c r="F68" s="14" t="s">
        <v>1220</v>
      </c>
      <c r="G68" s="14" t="s">
        <v>1081</v>
      </c>
      <c r="H68" s="14" t="s">
        <v>1063</v>
      </c>
    </row>
    <row r="69" spans="1:8" ht="86.4">
      <c r="A69" s="14">
        <v>95</v>
      </c>
      <c r="B69" s="14" t="s">
        <v>460</v>
      </c>
      <c r="C69" s="14">
        <v>1</v>
      </c>
      <c r="D69" s="14">
        <v>1</v>
      </c>
      <c r="E69" s="14" t="s">
        <v>1221</v>
      </c>
      <c r="F69" s="14" t="s">
        <v>1222</v>
      </c>
      <c r="G69" s="14" t="s">
        <v>1519</v>
      </c>
      <c r="H69" s="14" t="s">
        <v>1063</v>
      </c>
    </row>
    <row r="70" spans="1:8" ht="43.2">
      <c r="A70" s="14">
        <v>96</v>
      </c>
      <c r="B70" s="14" t="s">
        <v>462</v>
      </c>
      <c r="C70" s="14">
        <v>1</v>
      </c>
      <c r="D70" s="14">
        <v>1</v>
      </c>
      <c r="E70" s="14" t="s">
        <v>1223</v>
      </c>
      <c r="F70" s="14" t="s">
        <v>1224</v>
      </c>
      <c r="G70" s="14" t="s">
        <v>1117</v>
      </c>
      <c r="H70" s="14" t="s">
        <v>1063</v>
      </c>
    </row>
    <row r="71" spans="1:8" ht="43.2">
      <c r="A71" s="14">
        <v>97</v>
      </c>
      <c r="B71" s="14" t="s">
        <v>466</v>
      </c>
      <c r="C71" s="14">
        <v>1</v>
      </c>
      <c r="D71" s="14">
        <v>1</v>
      </c>
      <c r="E71" s="14" t="s">
        <v>1520</v>
      </c>
      <c r="G71" s="14" t="s">
        <v>1521</v>
      </c>
      <c r="H71" s="14" t="s">
        <v>1063</v>
      </c>
    </row>
    <row r="72" spans="1:8" ht="28.8">
      <c r="A72" s="14">
        <v>98</v>
      </c>
      <c r="B72" s="14" t="s">
        <v>468</v>
      </c>
      <c r="C72" s="14">
        <v>1</v>
      </c>
      <c r="D72" s="14">
        <v>1</v>
      </c>
      <c r="E72" s="14" t="s">
        <v>1225</v>
      </c>
      <c r="F72" s="14" t="s">
        <v>1226</v>
      </c>
      <c r="G72" s="14" t="s">
        <v>1082</v>
      </c>
      <c r="H72" s="14" t="s">
        <v>1063</v>
      </c>
    </row>
    <row r="73" spans="1:8" ht="28.8">
      <c r="A73" s="14">
        <v>99</v>
      </c>
      <c r="B73" s="14" t="s">
        <v>471</v>
      </c>
      <c r="C73" s="14">
        <v>1</v>
      </c>
      <c r="D73" s="14">
        <v>1</v>
      </c>
      <c r="E73" s="14" t="s">
        <v>1227</v>
      </c>
      <c r="F73" s="14" t="s">
        <v>1228</v>
      </c>
      <c r="G73" s="14" t="s">
        <v>1083</v>
      </c>
      <c r="H73" s="14" t="s">
        <v>1063</v>
      </c>
    </row>
    <row r="74" spans="1:8" ht="86.4">
      <c r="A74" s="14">
        <v>100</v>
      </c>
      <c r="B74" s="14" t="s">
        <v>475</v>
      </c>
      <c r="C74" s="14">
        <v>1</v>
      </c>
      <c r="D74" s="14">
        <v>1</v>
      </c>
      <c r="E74" s="14" t="s">
        <v>1522</v>
      </c>
      <c r="F74" s="14" t="s">
        <v>1228</v>
      </c>
      <c r="G74" s="14" t="s">
        <v>1084</v>
      </c>
      <c r="H74" s="14" t="s">
        <v>1063</v>
      </c>
    </row>
    <row r="75" spans="1:8" ht="28.8">
      <c r="A75" s="14">
        <v>21</v>
      </c>
      <c r="B75" s="14" t="s">
        <v>253</v>
      </c>
      <c r="C75" s="14">
        <v>1</v>
      </c>
      <c r="D75" s="14">
        <v>1</v>
      </c>
      <c r="E75" s="14" t="s">
        <v>1523</v>
      </c>
      <c r="F75" s="14" t="s">
        <v>1524</v>
      </c>
      <c r="G75" s="14" t="s">
        <v>1525</v>
      </c>
      <c r="H75" s="14" t="s">
        <v>1063</v>
      </c>
    </row>
    <row r="76" spans="1:8" ht="28.8">
      <c r="A76" s="14">
        <v>22</v>
      </c>
      <c r="B76" s="14" t="s">
        <v>257</v>
      </c>
      <c r="C76" s="14">
        <v>1</v>
      </c>
      <c r="D76" s="14">
        <v>1</v>
      </c>
      <c r="E76" s="14" t="s">
        <v>1526</v>
      </c>
      <c r="F76" s="14" t="s">
        <v>1527</v>
      </c>
      <c r="G76" s="14" t="s">
        <v>1528</v>
      </c>
      <c r="H76" s="14" t="s">
        <v>1063</v>
      </c>
    </row>
    <row r="77" spans="1:8" ht="28.8">
      <c r="A77" s="14">
        <v>23</v>
      </c>
      <c r="B77" s="14" t="s">
        <v>261</v>
      </c>
      <c r="C77" s="14">
        <v>1</v>
      </c>
      <c r="D77" s="14">
        <v>1</v>
      </c>
      <c r="E77" s="14" t="s">
        <v>1529</v>
      </c>
      <c r="F77" s="14" t="s">
        <v>1530</v>
      </c>
      <c r="G77" s="14" t="s">
        <v>1531</v>
      </c>
      <c r="H77" s="14" t="s">
        <v>1063</v>
      </c>
    </row>
    <row r="78" spans="1:8" ht="43.2">
      <c r="A78" s="14">
        <v>24</v>
      </c>
      <c r="B78" s="14" t="s">
        <v>263</v>
      </c>
      <c r="C78" s="14">
        <v>1</v>
      </c>
      <c r="D78" s="14">
        <v>1</v>
      </c>
      <c r="E78" s="14" t="s">
        <v>1532</v>
      </c>
      <c r="F78" s="14" t="s">
        <v>1533</v>
      </c>
      <c r="G78" s="14" t="s">
        <v>1534</v>
      </c>
      <c r="H78" s="14" t="s">
        <v>1063</v>
      </c>
    </row>
    <row r="79" spans="1:8" ht="28.8">
      <c r="A79" s="14">
        <v>25</v>
      </c>
      <c r="B79" s="14" t="s">
        <v>265</v>
      </c>
      <c r="C79" s="14">
        <v>1</v>
      </c>
      <c r="D79" s="14">
        <v>1</v>
      </c>
      <c r="E79" s="14" t="s">
        <v>1535</v>
      </c>
      <c r="F79" s="14" t="s">
        <v>1536</v>
      </c>
      <c r="G79" s="14" t="s">
        <v>1537</v>
      </c>
      <c r="H79" s="14" t="s">
        <v>1063</v>
      </c>
    </row>
    <row r="80" spans="1:8" ht="28.8">
      <c r="A80" s="14">
        <v>26</v>
      </c>
      <c r="B80" s="14" t="s">
        <v>269</v>
      </c>
      <c r="C80" s="14">
        <v>1</v>
      </c>
      <c r="D80" s="14">
        <v>1</v>
      </c>
      <c r="E80" s="14" t="s">
        <v>1538</v>
      </c>
      <c r="F80" s="14" t="s">
        <v>1539</v>
      </c>
      <c r="G80" s="14" t="s">
        <v>1540</v>
      </c>
      <c r="H80" s="14" t="s">
        <v>1063</v>
      </c>
    </row>
    <row r="81" spans="1:8" ht="28.8">
      <c r="A81" s="14">
        <v>27</v>
      </c>
      <c r="B81" s="14" t="s">
        <v>273</v>
      </c>
      <c r="C81" s="14">
        <v>1</v>
      </c>
      <c r="D81" s="14">
        <v>1</v>
      </c>
      <c r="E81" s="14" t="s">
        <v>1541</v>
      </c>
      <c r="F81" s="14" t="s">
        <v>1542</v>
      </c>
      <c r="G81" s="14" t="s">
        <v>1543</v>
      </c>
      <c r="H81" s="14" t="s">
        <v>1063</v>
      </c>
    </row>
    <row r="82" spans="1:8" ht="28.8">
      <c r="A82" s="14">
        <v>28</v>
      </c>
      <c r="B82" s="14" t="s">
        <v>277</v>
      </c>
      <c r="C82" s="14">
        <v>1</v>
      </c>
      <c r="D82" s="14">
        <v>1</v>
      </c>
      <c r="E82" s="14" t="s">
        <v>1544</v>
      </c>
      <c r="F82" s="14" t="s">
        <v>1545</v>
      </c>
      <c r="G82" s="14" t="s">
        <v>1546</v>
      </c>
      <c r="H82" s="14" t="s">
        <v>1063</v>
      </c>
    </row>
    <row r="83" spans="1:8" ht="28.8">
      <c r="A83" s="14">
        <v>29</v>
      </c>
      <c r="B83" s="14" t="s">
        <v>281</v>
      </c>
      <c r="C83" s="14">
        <v>1</v>
      </c>
      <c r="D83" s="14">
        <v>1</v>
      </c>
      <c r="E83" s="14" t="s">
        <v>1547</v>
      </c>
      <c r="F83" s="14" t="s">
        <v>1548</v>
      </c>
      <c r="G83" s="14" t="s">
        <v>1549</v>
      </c>
      <c r="H83" s="14" t="s">
        <v>1063</v>
      </c>
    </row>
    <row r="84" spans="1:8" ht="28.8">
      <c r="A84" s="14">
        <v>30</v>
      </c>
      <c r="B84" s="14" t="s">
        <v>283</v>
      </c>
      <c r="C84" s="14">
        <v>1</v>
      </c>
      <c r="D84" s="14">
        <v>1</v>
      </c>
      <c r="E84" s="14" t="s">
        <v>1550</v>
      </c>
      <c r="F84" s="14" t="s">
        <v>1551</v>
      </c>
      <c r="G84" s="14" t="s">
        <v>1552</v>
      </c>
      <c r="H84" s="14" t="s">
        <v>1063</v>
      </c>
    </row>
    <row r="85" spans="1:8" ht="28.8">
      <c r="A85" s="14">
        <v>31</v>
      </c>
      <c r="B85" s="14" t="s">
        <v>286</v>
      </c>
      <c r="C85" s="14">
        <v>1</v>
      </c>
      <c r="D85" s="14">
        <v>1</v>
      </c>
      <c r="E85" s="14" t="s">
        <v>1553</v>
      </c>
      <c r="F85" s="14" t="s">
        <v>1554</v>
      </c>
      <c r="G85" s="14" t="s">
        <v>1555</v>
      </c>
      <c r="H85" s="14" t="s">
        <v>1063</v>
      </c>
    </row>
    <row r="86" spans="1:8" ht="28.8">
      <c r="A86" s="14">
        <v>32</v>
      </c>
      <c r="B86" s="14" t="s">
        <v>289</v>
      </c>
      <c r="C86" s="14">
        <v>1</v>
      </c>
      <c r="D86" s="14">
        <v>1</v>
      </c>
      <c r="E86" s="14" t="s">
        <v>1556</v>
      </c>
      <c r="F86" s="14" t="s">
        <v>1557</v>
      </c>
      <c r="G86" s="14" t="s">
        <v>1558</v>
      </c>
      <c r="H86" s="14" t="s">
        <v>1063</v>
      </c>
    </row>
    <row r="87" spans="1:8" ht="28.8">
      <c r="A87" s="14">
        <v>33</v>
      </c>
      <c r="B87" s="14" t="s">
        <v>292</v>
      </c>
      <c r="C87" s="14">
        <v>1</v>
      </c>
      <c r="D87" s="14">
        <v>1</v>
      </c>
      <c r="E87" s="14" t="s">
        <v>1559</v>
      </c>
      <c r="F87" s="14" t="s">
        <v>1560</v>
      </c>
      <c r="G87" s="14" t="s">
        <v>1561</v>
      </c>
      <c r="H87" s="14" t="s">
        <v>1063</v>
      </c>
    </row>
    <row r="88" spans="1:8" ht="28.8">
      <c r="A88" s="14">
        <v>34</v>
      </c>
      <c r="B88" s="14" t="s">
        <v>295</v>
      </c>
      <c r="C88" s="14">
        <v>1</v>
      </c>
      <c r="D88" s="14">
        <v>1</v>
      </c>
      <c r="E88" s="14" t="s">
        <v>1562</v>
      </c>
      <c r="F88" s="14" t="s">
        <v>1563</v>
      </c>
      <c r="G88" s="14" t="s">
        <v>1564</v>
      </c>
      <c r="H88" s="14" t="s">
        <v>1063</v>
      </c>
    </row>
    <row r="89" spans="1:8" ht="43.2">
      <c r="A89" s="14">
        <v>35</v>
      </c>
      <c r="B89" s="14" t="s">
        <v>298</v>
      </c>
      <c r="C89" s="14">
        <v>1</v>
      </c>
      <c r="D89" s="14">
        <v>1</v>
      </c>
      <c r="E89" s="14" t="s">
        <v>1565</v>
      </c>
      <c r="F89" s="14" t="s">
        <v>1566</v>
      </c>
      <c r="G89" s="14" t="s">
        <v>1567</v>
      </c>
      <c r="H89" s="14" t="s">
        <v>1063</v>
      </c>
    </row>
    <row r="90" spans="1:8" ht="28.8">
      <c r="A90" s="14">
        <v>36</v>
      </c>
      <c r="B90" s="14" t="s">
        <v>298</v>
      </c>
      <c r="C90" s="14">
        <v>1</v>
      </c>
      <c r="D90" s="14">
        <v>2</v>
      </c>
      <c r="E90" s="14" t="s">
        <v>1568</v>
      </c>
      <c r="F90" s="14" t="s">
        <v>1569</v>
      </c>
      <c r="G90" s="14" t="s">
        <v>1567</v>
      </c>
      <c r="H90" s="14" t="s">
        <v>1063</v>
      </c>
    </row>
    <row r="91" spans="1:8" ht="43.2">
      <c r="A91" s="14">
        <v>37</v>
      </c>
      <c r="B91" s="14" t="s">
        <v>300</v>
      </c>
      <c r="C91" s="14">
        <v>1</v>
      </c>
      <c r="D91" s="14">
        <v>1</v>
      </c>
      <c r="E91" s="14" t="s">
        <v>1570</v>
      </c>
      <c r="F91" s="14" t="s">
        <v>1571</v>
      </c>
      <c r="G91" s="14" t="s">
        <v>1572</v>
      </c>
      <c r="H91" s="14" t="s">
        <v>1063</v>
      </c>
    </row>
    <row r="92" spans="1:8" ht="57.6">
      <c r="A92" s="14">
        <v>38</v>
      </c>
      <c r="B92" s="14" t="s">
        <v>303</v>
      </c>
      <c r="C92" s="14">
        <v>1</v>
      </c>
      <c r="D92" s="14">
        <v>1</v>
      </c>
      <c r="E92" s="14" t="s">
        <v>1573</v>
      </c>
      <c r="F92" s="14" t="s">
        <v>1574</v>
      </c>
      <c r="G92" s="14" t="s">
        <v>1575</v>
      </c>
      <c r="H92" s="14" t="s">
        <v>1063</v>
      </c>
    </row>
    <row r="93" spans="1:8" ht="43.2">
      <c r="A93" s="14">
        <v>39</v>
      </c>
      <c r="B93" s="14" t="s">
        <v>306</v>
      </c>
      <c r="C93" s="14">
        <v>1</v>
      </c>
      <c r="D93" s="14">
        <v>1</v>
      </c>
      <c r="E93" s="14" t="s">
        <v>1576</v>
      </c>
      <c r="F93" s="14" t="s">
        <v>1574</v>
      </c>
      <c r="G93" s="14" t="s">
        <v>1577</v>
      </c>
      <c r="H93" s="14" t="s">
        <v>1063</v>
      </c>
    </row>
    <row r="94" spans="1:8" ht="57.6">
      <c r="A94" s="14">
        <v>40</v>
      </c>
      <c r="B94" s="14" t="s">
        <v>309</v>
      </c>
      <c r="C94" s="14">
        <v>1</v>
      </c>
      <c r="D94" s="14">
        <v>1</v>
      </c>
      <c r="E94" s="14" t="s">
        <v>1578</v>
      </c>
      <c r="F94" s="14" t="s">
        <v>1579</v>
      </c>
      <c r="G94" s="14" t="s">
        <v>1580</v>
      </c>
      <c r="H94" s="14" t="s">
        <v>1063</v>
      </c>
    </row>
    <row r="95" spans="1:8" ht="57.6">
      <c r="A95" s="14">
        <v>41</v>
      </c>
      <c r="B95" s="14" t="s">
        <v>310</v>
      </c>
      <c r="C95" s="14">
        <v>1</v>
      </c>
      <c r="D95" s="14">
        <v>1</v>
      </c>
      <c r="E95" s="14" t="s">
        <v>1581</v>
      </c>
      <c r="F95" s="14" t="s">
        <v>1582</v>
      </c>
      <c r="G95" s="14" t="s">
        <v>1583</v>
      </c>
      <c r="H95" s="14" t="s">
        <v>1063</v>
      </c>
    </row>
    <row r="96" spans="1:8" ht="72">
      <c r="A96" s="14">
        <v>42</v>
      </c>
      <c r="B96" s="14" t="s">
        <v>313</v>
      </c>
      <c r="C96" s="14">
        <v>1</v>
      </c>
      <c r="D96" s="14">
        <v>1</v>
      </c>
      <c r="E96" s="14" t="s">
        <v>1584</v>
      </c>
      <c r="F96" s="14" t="s">
        <v>1585</v>
      </c>
      <c r="G96" s="14" t="s">
        <v>1586</v>
      </c>
      <c r="H96" s="14" t="s">
        <v>1063</v>
      </c>
    </row>
    <row r="97" spans="1:8" ht="72">
      <c r="A97" s="14">
        <v>43</v>
      </c>
      <c r="B97" s="14" t="s">
        <v>316</v>
      </c>
      <c r="C97" s="14">
        <v>1</v>
      </c>
      <c r="D97" s="14">
        <v>1</v>
      </c>
      <c r="E97" s="14" t="s">
        <v>1587</v>
      </c>
      <c r="F97" s="14" t="s">
        <v>1588</v>
      </c>
      <c r="G97" s="14" t="s">
        <v>1589</v>
      </c>
      <c r="H97" s="14" t="s">
        <v>1063</v>
      </c>
    </row>
    <row r="98" spans="1:8">
      <c r="A98" s="14">
        <v>101</v>
      </c>
      <c r="B98" s="14" t="s">
        <v>409</v>
      </c>
      <c r="C98" s="14">
        <v>1</v>
      </c>
      <c r="D98" s="14">
        <v>1</v>
      </c>
      <c r="E98" s="14" t="s">
        <v>1230</v>
      </c>
      <c r="F98" s="14" t="s">
        <v>1231</v>
      </c>
      <c r="H98" s="14" t="s">
        <v>1063</v>
      </c>
    </row>
    <row r="99" spans="1:8">
      <c r="A99" s="14">
        <v>102</v>
      </c>
      <c r="B99" s="14" t="s">
        <v>411</v>
      </c>
      <c r="C99" s="14">
        <v>1</v>
      </c>
      <c r="D99" s="14">
        <v>1</v>
      </c>
      <c r="E99" s="14" t="s">
        <v>1232</v>
      </c>
      <c r="F99" s="14" t="s">
        <v>1233</v>
      </c>
      <c r="H99" s="14" t="s">
        <v>1063</v>
      </c>
    </row>
    <row r="100" spans="1:8">
      <c r="A100" s="14">
        <v>103</v>
      </c>
      <c r="B100" s="14" t="s">
        <v>413</v>
      </c>
      <c r="C100" s="14">
        <v>1</v>
      </c>
      <c r="D100" s="14">
        <v>1</v>
      </c>
      <c r="E100" s="14" t="s">
        <v>1234</v>
      </c>
      <c r="F100" s="14" t="s">
        <v>1235</v>
      </c>
      <c r="H100" s="14" t="s">
        <v>1063</v>
      </c>
    </row>
    <row r="101" spans="1:8" ht="28.8">
      <c r="A101" s="14">
        <v>104</v>
      </c>
      <c r="B101" s="14" t="s">
        <v>415</v>
      </c>
      <c r="C101" s="14">
        <v>1</v>
      </c>
      <c r="D101" s="14">
        <v>1</v>
      </c>
      <c r="E101" s="14" t="s">
        <v>1590</v>
      </c>
      <c r="F101" s="14" t="s">
        <v>1237</v>
      </c>
      <c r="H101" s="14" t="s">
        <v>1063</v>
      </c>
    </row>
    <row r="102" spans="1:8" ht="43.2">
      <c r="A102" s="14">
        <v>105</v>
      </c>
      <c r="B102" s="14" t="s">
        <v>416</v>
      </c>
      <c r="C102" s="14">
        <v>1</v>
      </c>
      <c r="D102" s="14">
        <v>1</v>
      </c>
      <c r="E102" s="14" t="s">
        <v>1238</v>
      </c>
      <c r="F102" s="14" t="s">
        <v>1239</v>
      </c>
      <c r="H102" s="14" t="s">
        <v>1063</v>
      </c>
    </row>
    <row r="103" spans="1:8" ht="28.8">
      <c r="A103" s="14">
        <v>106</v>
      </c>
      <c r="B103" s="14" t="s">
        <v>418</v>
      </c>
      <c r="C103" s="14">
        <v>1</v>
      </c>
      <c r="D103" s="14">
        <v>1</v>
      </c>
      <c r="E103" s="14" t="s">
        <v>1240</v>
      </c>
      <c r="F103" s="14" t="s">
        <v>1241</v>
      </c>
      <c r="H103" s="14" t="s">
        <v>1063</v>
      </c>
    </row>
    <row r="104" spans="1:8" ht="28.8">
      <c r="A104" s="14">
        <v>107</v>
      </c>
      <c r="B104" s="14" t="s">
        <v>420</v>
      </c>
      <c r="C104" s="14">
        <v>1</v>
      </c>
      <c r="D104" s="14">
        <v>1</v>
      </c>
      <c r="E104" s="14" t="s">
        <v>1242</v>
      </c>
      <c r="F104" s="14" t="s">
        <v>1243</v>
      </c>
      <c r="G104" s="14" t="s">
        <v>1591</v>
      </c>
      <c r="H104" s="14" t="s">
        <v>1063</v>
      </c>
    </row>
    <row r="105" spans="1:8" ht="28.8">
      <c r="A105" s="14">
        <v>108</v>
      </c>
      <c r="B105" s="14" t="s">
        <v>423</v>
      </c>
      <c r="C105" s="14">
        <v>1</v>
      </c>
      <c r="D105" s="14">
        <v>1</v>
      </c>
      <c r="E105" s="14" t="s">
        <v>1244</v>
      </c>
      <c r="F105" s="14" t="s">
        <v>1245</v>
      </c>
      <c r="H105" s="14" t="s">
        <v>1063</v>
      </c>
    </row>
    <row r="106" spans="1:8">
      <c r="A106" s="14">
        <v>109</v>
      </c>
      <c r="B106" s="14" t="s">
        <v>425</v>
      </c>
      <c r="C106" s="14">
        <v>1</v>
      </c>
      <c r="D106" s="14">
        <v>1</v>
      </c>
      <c r="E106" s="14" t="s">
        <v>1246</v>
      </c>
      <c r="F106" s="14" t="s">
        <v>1247</v>
      </c>
      <c r="H106" s="14" t="s">
        <v>1063</v>
      </c>
    </row>
    <row r="107" spans="1:8" ht="28.8">
      <c r="A107" s="14">
        <v>110</v>
      </c>
      <c r="B107" s="14" t="s">
        <v>321</v>
      </c>
      <c r="C107" s="14">
        <v>1</v>
      </c>
      <c r="D107" s="14">
        <v>1</v>
      </c>
      <c r="E107" s="14" t="s">
        <v>1248</v>
      </c>
      <c r="F107" s="14" t="s">
        <v>1249</v>
      </c>
      <c r="G107" s="14" t="s">
        <v>1120</v>
      </c>
      <c r="H107" s="14" t="s">
        <v>1063</v>
      </c>
    </row>
    <row r="108" spans="1:8" ht="28.8">
      <c r="A108" s="14">
        <v>111</v>
      </c>
      <c r="B108" s="14" t="s">
        <v>325</v>
      </c>
      <c r="C108" s="14">
        <v>1</v>
      </c>
      <c r="D108" s="14">
        <v>1</v>
      </c>
      <c r="E108" s="14" t="s">
        <v>1250</v>
      </c>
      <c r="F108" s="14" t="s">
        <v>1251</v>
      </c>
      <c r="G108" s="14" t="s">
        <v>1592</v>
      </c>
      <c r="H108" s="14" t="s">
        <v>1063</v>
      </c>
    </row>
    <row r="109" spans="1:8" ht="43.2">
      <c r="A109" s="14">
        <v>112</v>
      </c>
      <c r="B109" s="14" t="s">
        <v>327</v>
      </c>
      <c r="C109" s="14">
        <v>1</v>
      </c>
      <c r="D109" s="14">
        <v>1</v>
      </c>
      <c r="E109" s="14" t="s">
        <v>1252</v>
      </c>
      <c r="F109" s="14" t="s">
        <v>1253</v>
      </c>
      <c r="G109" s="14" t="s">
        <v>1593</v>
      </c>
      <c r="H109" s="14" t="s">
        <v>1063</v>
      </c>
    </row>
    <row r="110" spans="1:8" ht="28.8">
      <c r="A110" s="14">
        <v>113</v>
      </c>
      <c r="B110" s="14" t="s">
        <v>329</v>
      </c>
      <c r="C110" s="14">
        <v>1</v>
      </c>
      <c r="D110" s="14">
        <v>1</v>
      </c>
      <c r="E110" s="14" t="s">
        <v>1254</v>
      </c>
      <c r="F110" s="14" t="s">
        <v>1255</v>
      </c>
      <c r="G110" s="14" t="s">
        <v>1072</v>
      </c>
      <c r="H110" s="14" t="s">
        <v>1063</v>
      </c>
    </row>
    <row r="111" spans="1:8" ht="28.8">
      <c r="A111" s="14">
        <v>114</v>
      </c>
      <c r="B111" s="14" t="s">
        <v>332</v>
      </c>
      <c r="C111" s="14">
        <v>1</v>
      </c>
      <c r="D111" s="14">
        <v>1</v>
      </c>
      <c r="E111" s="14" t="s">
        <v>1256</v>
      </c>
      <c r="F111" s="14" t="s">
        <v>1257</v>
      </c>
      <c r="G111" s="14" t="s">
        <v>1073</v>
      </c>
      <c r="H111" s="14" t="s">
        <v>1063</v>
      </c>
    </row>
    <row r="112" spans="1:8" ht="57.6">
      <c r="A112" s="14">
        <v>115</v>
      </c>
      <c r="B112" s="14" t="s">
        <v>335</v>
      </c>
      <c r="C112" s="14">
        <v>1</v>
      </c>
      <c r="D112" s="14">
        <v>1</v>
      </c>
      <c r="E112" s="14" t="s">
        <v>1258</v>
      </c>
      <c r="F112" s="14" t="s">
        <v>1259</v>
      </c>
      <c r="G112" s="14" t="s">
        <v>1594</v>
      </c>
      <c r="H112" s="14" t="s">
        <v>1063</v>
      </c>
    </row>
    <row r="113" spans="1:8" ht="57.6">
      <c r="A113" s="14">
        <v>116</v>
      </c>
      <c r="B113" s="14" t="s">
        <v>337</v>
      </c>
      <c r="C113" s="14">
        <v>1</v>
      </c>
      <c r="D113" s="14">
        <v>1</v>
      </c>
      <c r="E113" s="14" t="s">
        <v>1260</v>
      </c>
      <c r="F113" s="14" t="s">
        <v>1261</v>
      </c>
      <c r="G113" s="14" t="s">
        <v>1595</v>
      </c>
      <c r="H113" s="14" t="s">
        <v>1063</v>
      </c>
    </row>
    <row r="114" spans="1:8" ht="28.8">
      <c r="A114" s="14">
        <v>117</v>
      </c>
      <c r="B114" s="14" t="s">
        <v>340</v>
      </c>
      <c r="C114" s="14">
        <v>1</v>
      </c>
      <c r="D114" s="14">
        <v>1</v>
      </c>
      <c r="E114" s="14" t="s">
        <v>1262</v>
      </c>
      <c r="F114" s="14" t="s">
        <v>1263</v>
      </c>
      <c r="H114" s="14" t="s">
        <v>1063</v>
      </c>
    </row>
    <row r="115" spans="1:8" ht="28.8">
      <c r="A115" s="14">
        <v>118</v>
      </c>
      <c r="B115" s="14" t="s">
        <v>342</v>
      </c>
      <c r="C115" s="14">
        <v>1</v>
      </c>
      <c r="D115" s="14">
        <v>1</v>
      </c>
      <c r="E115" s="14" t="s">
        <v>1260</v>
      </c>
      <c r="F115" s="14" t="s">
        <v>1261</v>
      </c>
      <c r="H115" s="14" t="s">
        <v>1063</v>
      </c>
    </row>
    <row r="116" spans="1:8" ht="28.8">
      <c r="A116" s="14">
        <v>119</v>
      </c>
      <c r="B116" s="14" t="s">
        <v>343</v>
      </c>
      <c r="C116" s="14">
        <v>1</v>
      </c>
      <c r="D116" s="14">
        <v>1</v>
      </c>
      <c r="E116" s="14" t="s">
        <v>1264</v>
      </c>
      <c r="F116" s="14" t="s">
        <v>1265</v>
      </c>
      <c r="H116" s="14" t="s">
        <v>1063</v>
      </c>
    </row>
    <row r="117" spans="1:8" ht="28.8">
      <c r="A117" s="14">
        <v>120</v>
      </c>
      <c r="B117" s="14" t="s">
        <v>345</v>
      </c>
      <c r="C117" s="14">
        <v>1</v>
      </c>
      <c r="D117" s="14">
        <v>1</v>
      </c>
      <c r="E117" s="14" t="s">
        <v>1266</v>
      </c>
      <c r="F117" s="14" t="s">
        <v>1267</v>
      </c>
      <c r="H117" s="14" t="s">
        <v>1063</v>
      </c>
    </row>
    <row r="118" spans="1:8" ht="28.8">
      <c r="A118" s="14">
        <v>121</v>
      </c>
      <c r="B118" s="14" t="s">
        <v>349</v>
      </c>
      <c r="C118" s="14">
        <v>1</v>
      </c>
      <c r="D118" s="14">
        <v>1</v>
      </c>
      <c r="E118" s="14" t="s">
        <v>1268</v>
      </c>
      <c r="F118" s="14" t="s">
        <v>1269</v>
      </c>
      <c r="G118" s="14" t="s">
        <v>1124</v>
      </c>
      <c r="H118" s="14" t="s">
        <v>1063</v>
      </c>
    </row>
    <row r="119" spans="1:8" ht="28.8">
      <c r="A119" s="14">
        <v>122</v>
      </c>
      <c r="B119" s="14" t="s">
        <v>353</v>
      </c>
      <c r="C119" s="14">
        <v>1</v>
      </c>
      <c r="D119" s="14">
        <v>1</v>
      </c>
      <c r="E119" s="14" t="s">
        <v>1270</v>
      </c>
      <c r="F119" s="14" t="s">
        <v>1271</v>
      </c>
      <c r="G119" s="14" t="s">
        <v>1075</v>
      </c>
      <c r="H119" s="14" t="s">
        <v>1063</v>
      </c>
    </row>
    <row r="120" spans="1:8" ht="57.6">
      <c r="A120" s="14">
        <v>123</v>
      </c>
      <c r="B120" s="14" t="s">
        <v>356</v>
      </c>
      <c r="C120" s="14">
        <v>1</v>
      </c>
      <c r="D120" s="14">
        <v>1</v>
      </c>
      <c r="E120" s="14" t="s">
        <v>1272</v>
      </c>
      <c r="F120" s="14" t="s">
        <v>1596</v>
      </c>
      <c r="G120" s="14" t="s">
        <v>1076</v>
      </c>
      <c r="H120" s="14" t="s">
        <v>1063</v>
      </c>
    </row>
    <row r="121" spans="1:8" ht="57.6">
      <c r="A121" s="14">
        <v>124</v>
      </c>
      <c r="B121" s="14" t="s">
        <v>358</v>
      </c>
      <c r="C121" s="14">
        <v>1</v>
      </c>
      <c r="D121" s="14">
        <v>1</v>
      </c>
      <c r="E121" s="14" t="s">
        <v>1597</v>
      </c>
      <c r="F121" s="14" t="s">
        <v>1275</v>
      </c>
      <c r="G121" s="14" t="s">
        <v>1125</v>
      </c>
      <c r="H121" s="14" t="s">
        <v>1063</v>
      </c>
    </row>
    <row r="122" spans="1:8" ht="57.6">
      <c r="A122" s="14">
        <v>125</v>
      </c>
      <c r="B122" s="14" t="s">
        <v>361</v>
      </c>
      <c r="C122" s="14">
        <v>1</v>
      </c>
      <c r="D122" s="14">
        <v>1</v>
      </c>
      <c r="E122" s="14" t="s">
        <v>1276</v>
      </c>
      <c r="F122" s="14" t="s">
        <v>1277</v>
      </c>
      <c r="G122" s="14" t="s">
        <v>1598</v>
      </c>
      <c r="H122" s="14" t="s">
        <v>1063</v>
      </c>
    </row>
    <row r="123" spans="1:8" ht="57.6">
      <c r="A123" s="14">
        <v>126</v>
      </c>
      <c r="B123" s="14" t="s">
        <v>364</v>
      </c>
      <c r="C123" s="14">
        <v>1</v>
      </c>
      <c r="D123" s="14">
        <v>1</v>
      </c>
      <c r="E123" s="14" t="s">
        <v>1278</v>
      </c>
      <c r="F123" s="14" t="s">
        <v>1279</v>
      </c>
      <c r="G123" s="14" t="s">
        <v>1599</v>
      </c>
      <c r="H123" s="14" t="s">
        <v>1063</v>
      </c>
    </row>
    <row r="124" spans="1:8" ht="43.2">
      <c r="A124" s="14">
        <v>127</v>
      </c>
      <c r="B124" s="14" t="s">
        <v>367</v>
      </c>
      <c r="C124" s="14">
        <v>1</v>
      </c>
      <c r="D124" s="14">
        <v>1</v>
      </c>
      <c r="E124" s="14" t="s">
        <v>1280</v>
      </c>
      <c r="F124" s="14" t="s">
        <v>1281</v>
      </c>
      <c r="G124" s="14" t="s">
        <v>1128</v>
      </c>
      <c r="H124" s="14" t="s">
        <v>1063</v>
      </c>
    </row>
    <row r="125" spans="1:8" ht="43.2">
      <c r="A125" s="14">
        <v>128</v>
      </c>
      <c r="B125" s="14" t="s">
        <v>371</v>
      </c>
      <c r="C125" s="14">
        <v>1</v>
      </c>
      <c r="D125" s="14">
        <v>1</v>
      </c>
      <c r="E125" s="14" t="s">
        <v>1282</v>
      </c>
      <c r="F125" s="14" t="s">
        <v>1283</v>
      </c>
      <c r="G125" s="14" t="s">
        <v>1077</v>
      </c>
      <c r="H125" s="14" t="s">
        <v>1063</v>
      </c>
    </row>
    <row r="126" spans="1:8" ht="57.6">
      <c r="A126" s="14">
        <v>129</v>
      </c>
      <c r="B126" s="14" t="s">
        <v>374</v>
      </c>
      <c r="C126" s="14">
        <v>1</v>
      </c>
      <c r="D126" s="14">
        <v>1</v>
      </c>
      <c r="E126" s="14" t="s">
        <v>1284</v>
      </c>
      <c r="F126" s="14" t="s">
        <v>1285</v>
      </c>
      <c r="G126" s="14" t="s">
        <v>1600</v>
      </c>
      <c r="H126" s="14" t="s">
        <v>1063</v>
      </c>
    </row>
    <row r="127" spans="1:8" ht="43.2">
      <c r="A127" s="14">
        <v>130</v>
      </c>
      <c r="B127" s="14" t="s">
        <v>376</v>
      </c>
      <c r="C127" s="14">
        <v>1</v>
      </c>
      <c r="D127" s="14">
        <v>1</v>
      </c>
      <c r="E127" s="14" t="s">
        <v>1286</v>
      </c>
      <c r="F127" s="14" t="s">
        <v>1287</v>
      </c>
      <c r="G127" s="14" t="s">
        <v>1130</v>
      </c>
      <c r="H127" s="14" t="s">
        <v>1063</v>
      </c>
    </row>
    <row r="128" spans="1:8" ht="28.8">
      <c r="A128" s="14">
        <v>131</v>
      </c>
      <c r="B128" s="14" t="s">
        <v>380</v>
      </c>
      <c r="C128" s="14">
        <v>1</v>
      </c>
      <c r="D128" s="14">
        <v>1</v>
      </c>
      <c r="E128" s="14" t="s">
        <v>1288</v>
      </c>
      <c r="F128" s="14" t="s">
        <v>1289</v>
      </c>
      <c r="G128" s="14" t="s">
        <v>1078</v>
      </c>
      <c r="H128" s="14" t="s">
        <v>1063</v>
      </c>
    </row>
    <row r="129" spans="1:8" ht="115.2">
      <c r="A129" s="14">
        <v>132</v>
      </c>
      <c r="B129" s="14" t="s">
        <v>383</v>
      </c>
      <c r="C129" s="14">
        <v>1</v>
      </c>
      <c r="D129" s="14">
        <v>1</v>
      </c>
      <c r="E129" s="14" t="s">
        <v>1290</v>
      </c>
      <c r="F129" s="14" t="s">
        <v>1291</v>
      </c>
      <c r="G129" s="14" t="s">
        <v>1601</v>
      </c>
      <c r="H129" s="14" t="s">
        <v>1063</v>
      </c>
    </row>
    <row r="130" spans="1:8" ht="28.8">
      <c r="A130" s="14">
        <v>133</v>
      </c>
      <c r="B130" s="14" t="s">
        <v>136</v>
      </c>
      <c r="C130" s="14">
        <v>1</v>
      </c>
      <c r="D130" s="14">
        <v>1</v>
      </c>
      <c r="E130" s="14" t="s">
        <v>1292</v>
      </c>
      <c r="F130" s="14" t="s">
        <v>1293</v>
      </c>
      <c r="H130" s="14" t="s">
        <v>1063</v>
      </c>
    </row>
    <row r="131" spans="1:8">
      <c r="A131" s="14">
        <v>134</v>
      </c>
      <c r="B131" s="14" t="s">
        <v>139</v>
      </c>
      <c r="C131" s="14">
        <v>1</v>
      </c>
      <c r="D131" s="14">
        <v>1</v>
      </c>
      <c r="E131" s="14" t="s">
        <v>1294</v>
      </c>
      <c r="F131" s="14" t="s">
        <v>1295</v>
      </c>
      <c r="H131" s="14" t="s">
        <v>1063</v>
      </c>
    </row>
    <row r="132" spans="1:8">
      <c r="A132" s="14">
        <v>135</v>
      </c>
      <c r="B132" s="14" t="s">
        <v>141</v>
      </c>
      <c r="C132" s="14">
        <v>1</v>
      </c>
      <c r="D132" s="14">
        <v>1</v>
      </c>
      <c r="E132" s="14" t="s">
        <v>1296</v>
      </c>
      <c r="F132" s="14" t="s">
        <v>1297</v>
      </c>
      <c r="H132" s="14" t="s">
        <v>1063</v>
      </c>
    </row>
    <row r="133" spans="1:8" ht="28.8">
      <c r="A133" s="14">
        <v>136</v>
      </c>
      <c r="B133" s="14" t="s">
        <v>143</v>
      </c>
      <c r="C133" s="14">
        <v>1</v>
      </c>
      <c r="D133" s="14">
        <v>1</v>
      </c>
      <c r="E133" s="14" t="s">
        <v>1298</v>
      </c>
      <c r="F133" s="14" t="s">
        <v>1299</v>
      </c>
      <c r="H133" s="14" t="s">
        <v>1063</v>
      </c>
    </row>
    <row r="134" spans="1:8" ht="43.2">
      <c r="A134" s="14">
        <v>137</v>
      </c>
      <c r="B134" s="14" t="s">
        <v>145</v>
      </c>
      <c r="C134" s="14">
        <v>1</v>
      </c>
      <c r="D134" s="14">
        <v>1</v>
      </c>
      <c r="E134" s="14" t="s">
        <v>1602</v>
      </c>
      <c r="F134" s="14" t="s">
        <v>1301</v>
      </c>
      <c r="H134" s="14" t="s">
        <v>1063</v>
      </c>
    </row>
    <row r="135" spans="1:8" ht="43.2">
      <c r="A135" s="14">
        <v>138</v>
      </c>
      <c r="B135" s="14" t="s">
        <v>146</v>
      </c>
      <c r="C135" s="14">
        <v>1</v>
      </c>
      <c r="D135" s="14">
        <v>1</v>
      </c>
      <c r="E135" s="14" t="s">
        <v>1302</v>
      </c>
      <c r="F135" s="14" t="s">
        <v>1303</v>
      </c>
      <c r="H135" s="14" t="s">
        <v>1063</v>
      </c>
    </row>
    <row r="136" spans="1:8">
      <c r="A136" s="14">
        <v>139</v>
      </c>
      <c r="B136" s="14" t="s">
        <v>148</v>
      </c>
      <c r="C136" s="14">
        <v>1</v>
      </c>
      <c r="D136" s="14">
        <v>1</v>
      </c>
      <c r="E136" s="14" t="s">
        <v>1304</v>
      </c>
      <c r="F136" s="14" t="s">
        <v>1305</v>
      </c>
      <c r="H136" s="14" t="s">
        <v>1063</v>
      </c>
    </row>
    <row r="137" spans="1:8" ht="43.2">
      <c r="A137" s="14">
        <v>140</v>
      </c>
      <c r="B137" s="14" t="s">
        <v>150</v>
      </c>
      <c r="C137" s="14">
        <v>1</v>
      </c>
      <c r="D137" s="14">
        <v>1</v>
      </c>
      <c r="E137" s="14" t="s">
        <v>1306</v>
      </c>
      <c r="F137" s="14" t="s">
        <v>1307</v>
      </c>
      <c r="H137" s="14" t="s">
        <v>1063</v>
      </c>
    </row>
    <row r="138" spans="1:8" ht="43.2">
      <c r="A138" s="14">
        <v>141</v>
      </c>
      <c r="B138" s="14" t="s">
        <v>152</v>
      </c>
      <c r="C138" s="14">
        <v>1</v>
      </c>
      <c r="D138" s="14">
        <v>1</v>
      </c>
      <c r="E138" s="14" t="s">
        <v>1308</v>
      </c>
      <c r="F138" s="14" t="s">
        <v>1309</v>
      </c>
      <c r="H138" s="14" t="s">
        <v>1063</v>
      </c>
    </row>
    <row r="139" spans="1:8" ht="28.8">
      <c r="A139" s="14">
        <v>142</v>
      </c>
      <c r="B139" s="14" t="s">
        <v>155</v>
      </c>
      <c r="C139" s="14">
        <v>1</v>
      </c>
      <c r="D139" s="14">
        <v>1</v>
      </c>
      <c r="E139" s="14" t="s">
        <v>1310</v>
      </c>
      <c r="F139" s="14" t="s">
        <v>1311</v>
      </c>
      <c r="H139" s="14" t="s">
        <v>1063</v>
      </c>
    </row>
    <row r="140" spans="1:8" ht="28.8">
      <c r="A140" s="14">
        <v>143</v>
      </c>
      <c r="B140" s="14" t="s">
        <v>479</v>
      </c>
      <c r="C140" s="14">
        <v>1</v>
      </c>
      <c r="D140" s="14">
        <v>1</v>
      </c>
      <c r="E140" s="14" t="s">
        <v>1312</v>
      </c>
      <c r="F140" s="14" t="s">
        <v>1313</v>
      </c>
      <c r="H140" s="14" t="s">
        <v>1063</v>
      </c>
    </row>
    <row r="141" spans="1:8" ht="28.8">
      <c r="A141" s="14">
        <v>144</v>
      </c>
      <c r="B141" s="14" t="s">
        <v>481</v>
      </c>
      <c r="C141" s="14">
        <v>1</v>
      </c>
      <c r="D141" s="14">
        <v>1</v>
      </c>
      <c r="E141" s="14" t="s">
        <v>1314</v>
      </c>
      <c r="F141" s="14" t="s">
        <v>1315</v>
      </c>
      <c r="H141" s="14" t="s">
        <v>1063</v>
      </c>
    </row>
    <row r="142" spans="1:8" ht="28.8">
      <c r="A142" s="14">
        <v>145</v>
      </c>
      <c r="B142" s="14" t="s">
        <v>483</v>
      </c>
      <c r="C142" s="14">
        <v>1</v>
      </c>
      <c r="D142" s="14">
        <v>1</v>
      </c>
      <c r="E142" s="14" t="s">
        <v>1316</v>
      </c>
      <c r="F142" s="14" t="s">
        <v>1317</v>
      </c>
      <c r="H142" s="14" t="s">
        <v>1063</v>
      </c>
    </row>
    <row r="143" spans="1:8" ht="28.8">
      <c r="A143" s="14">
        <v>146</v>
      </c>
      <c r="B143" s="14" t="s">
        <v>485</v>
      </c>
      <c r="C143" s="14">
        <v>1</v>
      </c>
      <c r="D143" s="14">
        <v>1</v>
      </c>
      <c r="E143" s="14" t="s">
        <v>1318</v>
      </c>
      <c r="F143" s="14" t="s">
        <v>1319</v>
      </c>
      <c r="H143" s="14" t="s">
        <v>1063</v>
      </c>
    </row>
    <row r="144" spans="1:8" ht="28.8">
      <c r="A144" s="14">
        <v>147</v>
      </c>
      <c r="B144" s="14" t="s">
        <v>487</v>
      </c>
      <c r="C144" s="14">
        <v>1</v>
      </c>
      <c r="D144" s="14">
        <v>1</v>
      </c>
      <c r="E144" s="14" t="s">
        <v>1320</v>
      </c>
      <c r="F144" s="14" t="s">
        <v>1321</v>
      </c>
      <c r="H144" s="14" t="s">
        <v>1063</v>
      </c>
    </row>
    <row r="145" spans="1:8" ht="28.8">
      <c r="A145" s="14">
        <v>148</v>
      </c>
      <c r="B145" s="14" t="s">
        <v>489</v>
      </c>
      <c r="C145" s="14">
        <v>1</v>
      </c>
      <c r="D145" s="14">
        <v>1</v>
      </c>
      <c r="E145" s="14" t="s">
        <v>1322</v>
      </c>
      <c r="F145" s="14" t="s">
        <v>1323</v>
      </c>
      <c r="H145" s="14" t="s">
        <v>1063</v>
      </c>
    </row>
    <row r="146" spans="1:8" ht="28.8">
      <c r="A146" s="14">
        <v>149</v>
      </c>
      <c r="B146" s="14" t="s">
        <v>491</v>
      </c>
      <c r="C146" s="14">
        <v>1</v>
      </c>
      <c r="D146" s="14">
        <v>1</v>
      </c>
      <c r="E146" s="14" t="s">
        <v>1324</v>
      </c>
      <c r="F146" s="14" t="s">
        <v>1325</v>
      </c>
      <c r="H146" s="14" t="s">
        <v>1063</v>
      </c>
    </row>
    <row r="147" spans="1:8" ht="43.2">
      <c r="A147" s="14">
        <v>150</v>
      </c>
      <c r="B147" s="14" t="s">
        <v>493</v>
      </c>
      <c r="C147" s="14">
        <v>1</v>
      </c>
      <c r="D147" s="14">
        <v>1</v>
      </c>
      <c r="E147" s="14" t="s">
        <v>1326</v>
      </c>
      <c r="F147" s="14" t="s">
        <v>1327</v>
      </c>
      <c r="H147" s="14" t="s">
        <v>1063</v>
      </c>
    </row>
    <row r="148" spans="1:8" ht="28.8">
      <c r="A148" s="14">
        <v>151</v>
      </c>
      <c r="B148" s="14" t="s">
        <v>495</v>
      </c>
      <c r="C148" s="14">
        <v>1</v>
      </c>
      <c r="D148" s="14">
        <v>1</v>
      </c>
      <c r="E148" s="14" t="s">
        <v>1603</v>
      </c>
      <c r="F148" s="14" t="s">
        <v>1329</v>
      </c>
      <c r="H148" s="14" t="s">
        <v>1063</v>
      </c>
    </row>
    <row r="149" spans="1:8" ht="28.8">
      <c r="A149" s="14">
        <v>152</v>
      </c>
      <c r="B149" s="14" t="s">
        <v>497</v>
      </c>
      <c r="C149" s="14">
        <v>1</v>
      </c>
      <c r="D149" s="14">
        <v>1</v>
      </c>
      <c r="E149" s="14" t="s">
        <v>1330</v>
      </c>
      <c r="F149" s="14" t="s">
        <v>1331</v>
      </c>
      <c r="H149" s="14" t="s">
        <v>1063</v>
      </c>
    </row>
    <row r="150" spans="1:8" ht="28.8">
      <c r="A150" s="14">
        <v>153</v>
      </c>
      <c r="B150" s="14" t="s">
        <v>499</v>
      </c>
      <c r="C150" s="14">
        <v>1</v>
      </c>
      <c r="D150" s="14">
        <v>1</v>
      </c>
      <c r="E150" s="14" t="s">
        <v>1332</v>
      </c>
      <c r="F150" s="14" t="s">
        <v>1604</v>
      </c>
      <c r="H150" s="14" t="s">
        <v>1063</v>
      </c>
    </row>
    <row r="151" spans="1:8" ht="28.8">
      <c r="A151" s="14">
        <v>154</v>
      </c>
      <c r="B151" s="14" t="s">
        <v>499</v>
      </c>
      <c r="C151" s="14">
        <v>1</v>
      </c>
      <c r="D151" s="14">
        <v>2</v>
      </c>
      <c r="E151" s="14" t="s">
        <v>1334</v>
      </c>
      <c r="F151" s="14" t="s">
        <v>1335</v>
      </c>
      <c r="H151" s="14" t="s">
        <v>1063</v>
      </c>
    </row>
    <row r="152" spans="1:8" ht="43.2">
      <c r="A152" s="14">
        <v>155</v>
      </c>
      <c r="B152" s="14" t="s">
        <v>500</v>
      </c>
      <c r="C152" s="14">
        <v>1</v>
      </c>
      <c r="D152" s="14">
        <v>1</v>
      </c>
      <c r="E152" s="14" t="s">
        <v>1336</v>
      </c>
      <c r="F152" s="14" t="s">
        <v>1337</v>
      </c>
      <c r="H152" s="14" t="s">
        <v>1063</v>
      </c>
    </row>
    <row r="153" spans="1:8" ht="28.8">
      <c r="A153" s="14">
        <v>156</v>
      </c>
      <c r="B153" s="14" t="s">
        <v>502</v>
      </c>
      <c r="C153" s="14">
        <v>1</v>
      </c>
      <c r="D153" s="14">
        <v>1</v>
      </c>
      <c r="E153" s="14" t="s">
        <v>1338</v>
      </c>
      <c r="F153" s="14" t="s">
        <v>1339</v>
      </c>
      <c r="H153" s="14" t="s">
        <v>1063</v>
      </c>
    </row>
    <row r="154" spans="1:8" ht="28.8">
      <c r="A154" s="14">
        <v>157</v>
      </c>
      <c r="B154" s="14" t="s">
        <v>504</v>
      </c>
      <c r="C154" s="14">
        <v>1</v>
      </c>
      <c r="D154" s="14">
        <v>1</v>
      </c>
      <c r="E154" s="14" t="s">
        <v>1340</v>
      </c>
      <c r="F154" s="14" t="s">
        <v>1341</v>
      </c>
      <c r="H154" s="14" t="s">
        <v>1063</v>
      </c>
    </row>
    <row r="155" spans="1:8" ht="72">
      <c r="A155" s="14">
        <v>158</v>
      </c>
      <c r="B155" s="14" t="s">
        <v>506</v>
      </c>
      <c r="C155" s="14">
        <v>1</v>
      </c>
      <c r="D155" s="14">
        <v>1</v>
      </c>
      <c r="E155" s="14" t="s">
        <v>1342</v>
      </c>
      <c r="F155" s="14" t="s">
        <v>1343</v>
      </c>
      <c r="H155" s="14" t="s">
        <v>1063</v>
      </c>
    </row>
    <row r="156" spans="1:8" ht="28.8">
      <c r="A156" s="14">
        <v>12</v>
      </c>
      <c r="B156" s="14" t="s">
        <v>181</v>
      </c>
      <c r="C156" s="14">
        <v>1</v>
      </c>
      <c r="D156" s="14">
        <v>1</v>
      </c>
      <c r="E156" s="14" t="s">
        <v>1605</v>
      </c>
      <c r="F156" s="14" t="s">
        <v>1606</v>
      </c>
      <c r="G156" s="14" t="s">
        <v>1607</v>
      </c>
      <c r="H156" s="14" t="s">
        <v>1063</v>
      </c>
    </row>
    <row r="157" spans="1:8" ht="72">
      <c r="A157" s="14">
        <v>13</v>
      </c>
      <c r="B157" s="14" t="s">
        <v>183</v>
      </c>
      <c r="C157" s="14">
        <v>1</v>
      </c>
      <c r="D157" s="14">
        <v>1</v>
      </c>
      <c r="E157" s="14" t="s">
        <v>1608</v>
      </c>
      <c r="F157" s="14" t="s">
        <v>1609</v>
      </c>
      <c r="G157" s="14" t="s">
        <v>1610</v>
      </c>
      <c r="H157" s="14" t="s">
        <v>1063</v>
      </c>
    </row>
    <row r="158" spans="1:8">
      <c r="A158" s="14">
        <v>14</v>
      </c>
      <c r="B158" s="14" t="s">
        <v>183</v>
      </c>
      <c r="C158" s="14">
        <v>1</v>
      </c>
      <c r="D158" s="14">
        <v>2</v>
      </c>
      <c r="E158" s="14" t="s">
        <v>1611</v>
      </c>
      <c r="H158" s="14" t="s">
        <v>1063</v>
      </c>
    </row>
    <row r="159" spans="1:8" ht="43.2">
      <c r="A159" s="14">
        <v>15</v>
      </c>
      <c r="B159" s="14" t="s">
        <v>185</v>
      </c>
      <c r="C159" s="14">
        <v>1</v>
      </c>
      <c r="D159" s="14">
        <v>1</v>
      </c>
      <c r="E159" s="14" t="s">
        <v>1612</v>
      </c>
      <c r="F159" s="14" t="s">
        <v>1613</v>
      </c>
      <c r="G159" s="14" t="s">
        <v>1614</v>
      </c>
      <c r="H159" s="14" t="s">
        <v>1063</v>
      </c>
    </row>
    <row r="160" spans="1:8" ht="28.8">
      <c r="A160" s="14">
        <v>16</v>
      </c>
      <c r="B160" s="14" t="s">
        <v>185</v>
      </c>
      <c r="C160" s="14">
        <v>1</v>
      </c>
      <c r="D160" s="14">
        <v>2</v>
      </c>
      <c r="E160" s="14" t="s">
        <v>1615</v>
      </c>
      <c r="H160" s="14" t="s">
        <v>1063</v>
      </c>
    </row>
    <row r="161" spans="1:8" ht="72">
      <c r="A161" s="14">
        <v>17</v>
      </c>
      <c r="B161" s="14" t="s">
        <v>186</v>
      </c>
      <c r="C161" s="14">
        <v>1</v>
      </c>
      <c r="D161" s="14">
        <v>1</v>
      </c>
      <c r="E161" s="14" t="s">
        <v>1616</v>
      </c>
      <c r="F161" s="14" t="s">
        <v>1617</v>
      </c>
      <c r="G161" s="14" t="s">
        <v>1618</v>
      </c>
      <c r="H161" s="14" t="s">
        <v>1063</v>
      </c>
    </row>
    <row r="162" spans="1:8" ht="43.2">
      <c r="A162" s="14">
        <v>18</v>
      </c>
      <c r="B162" s="14" t="s">
        <v>186</v>
      </c>
      <c r="C162" s="14">
        <v>1</v>
      </c>
      <c r="D162" s="14">
        <v>2</v>
      </c>
      <c r="E162" s="14" t="s">
        <v>1619</v>
      </c>
      <c r="G162" s="14" t="s">
        <v>1620</v>
      </c>
      <c r="H162" s="14" t="s">
        <v>1063</v>
      </c>
    </row>
    <row r="163" spans="1:8" ht="28.8">
      <c r="A163" s="14">
        <v>19</v>
      </c>
      <c r="B163" s="14" t="s">
        <v>187</v>
      </c>
      <c r="C163" s="14">
        <v>1</v>
      </c>
      <c r="D163" s="14">
        <v>1</v>
      </c>
      <c r="E163" s="14" t="s">
        <v>1621</v>
      </c>
      <c r="F163" s="14" t="s">
        <v>1622</v>
      </c>
      <c r="G163" s="14" t="s">
        <v>1623</v>
      </c>
      <c r="H163" s="14" t="s">
        <v>1063</v>
      </c>
    </row>
    <row r="164" spans="1:8" ht="57.6">
      <c r="A164" s="14">
        <v>20</v>
      </c>
      <c r="B164" s="14" t="s">
        <v>191</v>
      </c>
      <c r="C164" s="14">
        <v>1</v>
      </c>
      <c r="D164" s="14">
        <v>1</v>
      </c>
      <c r="E164" s="14" t="s">
        <v>1624</v>
      </c>
      <c r="F164" s="14" t="s">
        <v>1625</v>
      </c>
      <c r="G164" s="14" t="s">
        <v>1626</v>
      </c>
      <c r="H164" s="14" t="s">
        <v>1063</v>
      </c>
    </row>
    <row r="165" spans="1:8" ht="28.8">
      <c r="A165" s="14">
        <v>159</v>
      </c>
      <c r="B165" s="14" t="s">
        <v>197</v>
      </c>
      <c r="C165" s="14">
        <v>1</v>
      </c>
      <c r="D165" s="14">
        <v>1</v>
      </c>
      <c r="E165" s="14" t="s">
        <v>1344</v>
      </c>
      <c r="F165" s="14" t="s">
        <v>1345</v>
      </c>
      <c r="H165" s="14" t="s">
        <v>1063</v>
      </c>
    </row>
    <row r="166" spans="1:8" ht="28.8">
      <c r="A166" s="14">
        <v>160</v>
      </c>
      <c r="B166" s="14" t="s">
        <v>199</v>
      </c>
      <c r="C166" s="14">
        <v>1</v>
      </c>
      <c r="D166" s="14">
        <v>1</v>
      </c>
      <c r="E166" s="14" t="s">
        <v>1346</v>
      </c>
      <c r="F166" s="14" t="s">
        <v>1347</v>
      </c>
      <c r="H166" s="14" t="s">
        <v>1063</v>
      </c>
    </row>
    <row r="167" spans="1:8" ht="28.8">
      <c r="A167" s="14">
        <v>161</v>
      </c>
      <c r="B167" s="14" t="s">
        <v>201</v>
      </c>
      <c r="C167" s="14">
        <v>1</v>
      </c>
      <c r="D167" s="14">
        <v>1</v>
      </c>
      <c r="E167" s="14" t="s">
        <v>1348</v>
      </c>
      <c r="F167" s="14" t="s">
        <v>1349</v>
      </c>
      <c r="H167" s="14" t="s">
        <v>1063</v>
      </c>
    </row>
    <row r="168" spans="1:8" ht="28.8">
      <c r="A168" s="14">
        <v>162</v>
      </c>
      <c r="B168" s="14" t="s">
        <v>203</v>
      </c>
      <c r="C168" s="14">
        <v>1</v>
      </c>
      <c r="D168" s="14">
        <v>1</v>
      </c>
      <c r="E168" s="14" t="s">
        <v>1350</v>
      </c>
      <c r="F168" s="14" t="s">
        <v>1351</v>
      </c>
      <c r="G168" s="14" t="s">
        <v>1627</v>
      </c>
      <c r="H168" s="14" t="s">
        <v>1063</v>
      </c>
    </row>
    <row r="169" spans="1:8" ht="28.8">
      <c r="A169" s="14">
        <v>163</v>
      </c>
      <c r="B169" s="14" t="s">
        <v>205</v>
      </c>
      <c r="C169" s="14">
        <v>1</v>
      </c>
      <c r="D169" s="14">
        <v>1</v>
      </c>
      <c r="E169" s="14" t="s">
        <v>1352</v>
      </c>
      <c r="F169" s="14" t="s">
        <v>1353</v>
      </c>
      <c r="H169" s="14" t="s">
        <v>1063</v>
      </c>
    </row>
    <row r="170" spans="1:8" ht="72">
      <c r="A170" s="14">
        <v>164</v>
      </c>
      <c r="B170" s="14" t="s">
        <v>207</v>
      </c>
      <c r="C170" s="14">
        <v>1</v>
      </c>
      <c r="D170" s="14">
        <v>1</v>
      </c>
      <c r="E170" s="14" t="s">
        <v>1354</v>
      </c>
      <c r="F170" s="14" t="s">
        <v>1355</v>
      </c>
      <c r="G170" s="14" t="s">
        <v>1628</v>
      </c>
      <c r="H170" s="14" t="s">
        <v>1063</v>
      </c>
    </row>
    <row r="171" spans="1:8" ht="28.8">
      <c r="A171" s="14">
        <v>165</v>
      </c>
      <c r="B171" s="14" t="s">
        <v>212</v>
      </c>
      <c r="C171" s="14">
        <v>1</v>
      </c>
      <c r="D171" s="14">
        <v>1</v>
      </c>
      <c r="E171" s="14" t="s">
        <v>1356</v>
      </c>
      <c r="F171" s="14" t="s">
        <v>1357</v>
      </c>
      <c r="H171" s="14" t="s">
        <v>1063</v>
      </c>
    </row>
    <row r="172" spans="1:8" ht="43.2">
      <c r="A172" s="14">
        <v>166</v>
      </c>
      <c r="B172" s="14" t="s">
        <v>214</v>
      </c>
      <c r="C172" s="14">
        <v>1</v>
      </c>
      <c r="D172" s="14">
        <v>1</v>
      </c>
      <c r="E172" s="14" t="s">
        <v>1358</v>
      </c>
      <c r="F172" s="14" t="s">
        <v>1359</v>
      </c>
      <c r="H172" s="14" t="s">
        <v>1063</v>
      </c>
    </row>
    <row r="173" spans="1:8" ht="43.2">
      <c r="A173" s="14">
        <v>167</v>
      </c>
      <c r="B173" s="14" t="s">
        <v>216</v>
      </c>
      <c r="C173" s="14">
        <v>1</v>
      </c>
      <c r="D173" s="14">
        <v>1</v>
      </c>
      <c r="E173" s="14" t="s">
        <v>1360</v>
      </c>
      <c r="F173" s="14" t="s">
        <v>1361</v>
      </c>
      <c r="H173" s="14" t="s">
        <v>1063</v>
      </c>
    </row>
    <row r="174" spans="1:8" ht="43.2">
      <c r="A174" s="14">
        <v>168</v>
      </c>
      <c r="B174" s="14" t="s">
        <v>218</v>
      </c>
      <c r="C174" s="14">
        <v>1</v>
      </c>
      <c r="D174" s="14">
        <v>1</v>
      </c>
      <c r="E174" s="14" t="s">
        <v>1362</v>
      </c>
      <c r="F174" s="14" t="s">
        <v>1363</v>
      </c>
      <c r="H174" s="14" t="s">
        <v>1063</v>
      </c>
    </row>
    <row r="175" spans="1:8" ht="43.2">
      <c r="A175" s="14">
        <v>169</v>
      </c>
      <c r="B175" s="14" t="s">
        <v>220</v>
      </c>
      <c r="C175" s="14">
        <v>1</v>
      </c>
      <c r="D175" s="14">
        <v>1</v>
      </c>
      <c r="E175" s="14" t="s">
        <v>1364</v>
      </c>
      <c r="F175" s="14" t="s">
        <v>1365</v>
      </c>
      <c r="H175" s="14" t="s">
        <v>1063</v>
      </c>
    </row>
    <row r="176" spans="1:8" ht="43.2">
      <c r="A176" s="14">
        <v>170</v>
      </c>
      <c r="B176" s="14" t="s">
        <v>222</v>
      </c>
      <c r="C176" s="14">
        <v>1</v>
      </c>
      <c r="D176" s="14">
        <v>1</v>
      </c>
      <c r="E176" s="14" t="s">
        <v>1366</v>
      </c>
      <c r="F176" s="14" t="s">
        <v>1367</v>
      </c>
      <c r="H176" s="14" t="s">
        <v>1063</v>
      </c>
    </row>
    <row r="177" spans="1:8" ht="43.2">
      <c r="A177" s="14">
        <v>171</v>
      </c>
      <c r="B177" s="14" t="s">
        <v>223</v>
      </c>
      <c r="C177" s="14">
        <v>1</v>
      </c>
      <c r="D177" s="14">
        <v>1</v>
      </c>
      <c r="E177" s="14" t="s">
        <v>1368</v>
      </c>
      <c r="F177" s="14" t="s">
        <v>1369</v>
      </c>
      <c r="H177" s="14" t="s">
        <v>1063</v>
      </c>
    </row>
    <row r="178" spans="1:8" ht="28.8">
      <c r="A178" s="14">
        <v>172</v>
      </c>
      <c r="B178" s="14" t="s">
        <v>224</v>
      </c>
      <c r="C178" s="14">
        <v>1</v>
      </c>
      <c r="D178" s="14">
        <v>1</v>
      </c>
      <c r="E178" s="14" t="s">
        <v>1370</v>
      </c>
      <c r="F178" s="14" t="s">
        <v>1371</v>
      </c>
      <c r="H178" s="14" t="s">
        <v>1063</v>
      </c>
    </row>
    <row r="179" spans="1:8" ht="28.8">
      <c r="A179" s="14">
        <v>173</v>
      </c>
      <c r="B179" s="14" t="s">
        <v>225</v>
      </c>
      <c r="C179" s="14">
        <v>1</v>
      </c>
      <c r="D179" s="14">
        <v>1</v>
      </c>
      <c r="E179" s="14" t="s">
        <v>1372</v>
      </c>
      <c r="F179" s="14" t="s">
        <v>1373</v>
      </c>
      <c r="H179" s="14" t="s">
        <v>1063</v>
      </c>
    </row>
    <row r="180" spans="1:8" ht="28.8">
      <c r="A180" s="14">
        <v>174</v>
      </c>
      <c r="B180" s="14" t="s">
        <v>227</v>
      </c>
      <c r="C180" s="14">
        <v>1</v>
      </c>
      <c r="D180" s="14">
        <v>1</v>
      </c>
      <c r="E180" s="14" t="s">
        <v>1374</v>
      </c>
      <c r="F180" s="14" t="s">
        <v>1375</v>
      </c>
      <c r="H180" s="14" t="s">
        <v>1063</v>
      </c>
    </row>
    <row r="181" spans="1:8" ht="28.8">
      <c r="A181" s="14">
        <v>175</v>
      </c>
      <c r="B181" s="14" t="s">
        <v>229</v>
      </c>
      <c r="C181" s="14">
        <v>1</v>
      </c>
      <c r="D181" s="14">
        <v>1</v>
      </c>
      <c r="E181" s="14" t="s">
        <v>1376</v>
      </c>
      <c r="F181" s="14" t="s">
        <v>1377</v>
      </c>
      <c r="H181" s="14" t="s">
        <v>1063</v>
      </c>
    </row>
    <row r="182" spans="1:8" ht="28.8">
      <c r="A182" s="14">
        <v>176</v>
      </c>
      <c r="B182" s="14" t="s">
        <v>231</v>
      </c>
      <c r="C182" s="14">
        <v>1</v>
      </c>
      <c r="D182" s="14">
        <v>1</v>
      </c>
      <c r="E182" s="14" t="s">
        <v>1378</v>
      </c>
      <c r="F182" s="14" t="s">
        <v>1379</v>
      </c>
      <c r="H182" s="14" t="s">
        <v>1063</v>
      </c>
    </row>
    <row r="183" spans="1:8" ht="28.8">
      <c r="A183" s="14">
        <v>177</v>
      </c>
      <c r="B183" s="14" t="s">
        <v>233</v>
      </c>
      <c r="C183" s="14">
        <v>1</v>
      </c>
      <c r="D183" s="14">
        <v>1</v>
      </c>
      <c r="E183" s="14" t="s">
        <v>1380</v>
      </c>
      <c r="F183" s="14" t="s">
        <v>1381</v>
      </c>
      <c r="H183" s="14" t="s">
        <v>1063</v>
      </c>
    </row>
    <row r="184" spans="1:8" ht="43.2">
      <c r="A184" s="14">
        <v>178</v>
      </c>
      <c r="B184" s="14" t="s">
        <v>235</v>
      </c>
      <c r="C184" s="14">
        <v>1</v>
      </c>
      <c r="D184" s="14">
        <v>1</v>
      </c>
      <c r="E184" s="14" t="s">
        <v>1382</v>
      </c>
      <c r="F184" s="14" t="s">
        <v>1383</v>
      </c>
      <c r="H184" s="14" t="s">
        <v>1063</v>
      </c>
    </row>
    <row r="185" spans="1:8" ht="28.8">
      <c r="A185" s="14">
        <v>179</v>
      </c>
      <c r="B185" s="14" t="s">
        <v>390</v>
      </c>
      <c r="C185" s="14">
        <v>1</v>
      </c>
      <c r="D185" s="14">
        <v>1</v>
      </c>
      <c r="E185" s="14" t="s">
        <v>1384</v>
      </c>
      <c r="F185" s="14" t="s">
        <v>1385</v>
      </c>
      <c r="H185" s="14" t="s">
        <v>1063</v>
      </c>
    </row>
    <row r="186" spans="1:8">
      <c r="A186" s="14">
        <v>180</v>
      </c>
      <c r="B186" s="14" t="s">
        <v>392</v>
      </c>
      <c r="C186" s="14">
        <v>1</v>
      </c>
      <c r="D186" s="14">
        <v>1</v>
      </c>
      <c r="E186" s="14" t="s">
        <v>1386</v>
      </c>
      <c r="F186" s="14" t="s">
        <v>1387</v>
      </c>
      <c r="H186" s="14" t="s">
        <v>1063</v>
      </c>
    </row>
    <row r="187" spans="1:8" ht="28.8">
      <c r="A187" s="14">
        <v>181</v>
      </c>
      <c r="B187" s="14" t="s">
        <v>394</v>
      </c>
      <c r="C187" s="14">
        <v>1</v>
      </c>
      <c r="D187" s="14">
        <v>1</v>
      </c>
      <c r="E187" s="14" t="s">
        <v>1388</v>
      </c>
      <c r="F187" s="14" t="s">
        <v>1389</v>
      </c>
      <c r="H187" s="14" t="s">
        <v>1063</v>
      </c>
    </row>
    <row r="188" spans="1:8" ht="28.8">
      <c r="A188" s="14">
        <v>182</v>
      </c>
      <c r="B188" s="14" t="s">
        <v>396</v>
      </c>
      <c r="C188" s="14">
        <v>1</v>
      </c>
      <c r="D188" s="14">
        <v>1</v>
      </c>
      <c r="E188" s="14" t="s">
        <v>1390</v>
      </c>
      <c r="F188" s="14" t="s">
        <v>1391</v>
      </c>
      <c r="H188" s="14" t="s">
        <v>1063</v>
      </c>
    </row>
    <row r="189" spans="1:8" ht="28.8">
      <c r="A189" s="14">
        <v>183</v>
      </c>
      <c r="B189" s="14" t="s">
        <v>398</v>
      </c>
      <c r="C189" s="14">
        <v>1</v>
      </c>
      <c r="D189" s="14">
        <v>1</v>
      </c>
      <c r="E189" s="14" t="s">
        <v>1392</v>
      </c>
      <c r="F189" s="14" t="s">
        <v>1393</v>
      </c>
      <c r="H189" s="14" t="s">
        <v>1063</v>
      </c>
    </row>
    <row r="190" spans="1:8" ht="28.8">
      <c r="A190" s="14">
        <v>184</v>
      </c>
      <c r="B190" s="14" t="s">
        <v>400</v>
      </c>
      <c r="C190" s="14">
        <v>1</v>
      </c>
      <c r="D190" s="14">
        <v>1</v>
      </c>
      <c r="E190" s="14" t="s">
        <v>1394</v>
      </c>
      <c r="F190" s="14" t="s">
        <v>1395</v>
      </c>
      <c r="H190" s="14" t="s">
        <v>1063</v>
      </c>
    </row>
    <row r="191" spans="1:8" ht="28.8">
      <c r="A191" s="14">
        <v>185</v>
      </c>
      <c r="B191" s="14" t="s">
        <v>402</v>
      </c>
      <c r="C191" s="14">
        <v>1</v>
      </c>
      <c r="D191" s="14">
        <v>1</v>
      </c>
      <c r="E191" s="14" t="s">
        <v>1396</v>
      </c>
      <c r="F191" s="14" t="s">
        <v>1397</v>
      </c>
      <c r="H191" s="14" t="s">
        <v>1063</v>
      </c>
    </row>
    <row r="192" spans="1:8" ht="28.8">
      <c r="A192" s="14">
        <v>186</v>
      </c>
      <c r="B192" s="14" t="s">
        <v>404</v>
      </c>
      <c r="C192" s="14">
        <v>1</v>
      </c>
      <c r="D192" s="14">
        <v>1</v>
      </c>
      <c r="E192" s="14" t="s">
        <v>1398</v>
      </c>
      <c r="F192" s="14" t="s">
        <v>1399</v>
      </c>
      <c r="H192" s="14" t="s">
        <v>1063</v>
      </c>
    </row>
    <row r="193" spans="1:8">
      <c r="A193" s="14">
        <v>187</v>
      </c>
      <c r="B193" s="14" t="s">
        <v>1033</v>
      </c>
      <c r="C193" s="14">
        <v>1</v>
      </c>
      <c r="D193" s="14">
        <v>1</v>
      </c>
      <c r="E193" s="14" t="s">
        <v>1400</v>
      </c>
      <c r="F193" s="14" t="s">
        <v>1401</v>
      </c>
      <c r="H193" s="14" t="s">
        <v>1063</v>
      </c>
    </row>
    <row r="194" spans="1:8">
      <c r="A194" s="14">
        <v>188</v>
      </c>
      <c r="B194" s="14" t="s">
        <v>1036</v>
      </c>
      <c r="C194" s="14">
        <v>1</v>
      </c>
      <c r="D194" s="14">
        <v>1</v>
      </c>
      <c r="E194" s="14" t="s">
        <v>1402</v>
      </c>
      <c r="F194" s="14" t="s">
        <v>1403</v>
      </c>
      <c r="H194" s="14" t="s">
        <v>1063</v>
      </c>
    </row>
    <row r="195" spans="1:8">
      <c r="A195" s="14">
        <v>189</v>
      </c>
      <c r="B195" s="14" t="s">
        <v>1039</v>
      </c>
      <c r="C195" s="14">
        <v>1</v>
      </c>
      <c r="D195" s="14">
        <v>1</v>
      </c>
      <c r="E195" s="14" t="s">
        <v>1404</v>
      </c>
      <c r="F195" s="14" t="s">
        <v>1405</v>
      </c>
      <c r="H195" s="14" t="s">
        <v>1063</v>
      </c>
    </row>
    <row r="196" spans="1:8" ht="43.2">
      <c r="A196" s="14">
        <v>190</v>
      </c>
      <c r="B196" s="14" t="s">
        <v>1042</v>
      </c>
      <c r="C196" s="14">
        <v>1</v>
      </c>
      <c r="D196" s="14">
        <v>1</v>
      </c>
      <c r="E196" s="14" t="s">
        <v>1406</v>
      </c>
      <c r="F196" s="14" t="s">
        <v>1407</v>
      </c>
      <c r="H196" s="14" t="s">
        <v>1063</v>
      </c>
    </row>
    <row r="197" spans="1:8" ht="28.8">
      <c r="A197" s="14">
        <v>191</v>
      </c>
      <c r="B197" s="14" t="s">
        <v>1045</v>
      </c>
      <c r="C197" s="14">
        <v>1</v>
      </c>
      <c r="D197" s="14">
        <v>1</v>
      </c>
      <c r="E197" s="14" t="s">
        <v>1408</v>
      </c>
      <c r="F197" s="14" t="s">
        <v>1409</v>
      </c>
      <c r="H197" s="14" t="s">
        <v>1063</v>
      </c>
    </row>
    <row r="198" spans="1:8" ht="43.2">
      <c r="A198" s="14">
        <v>192</v>
      </c>
      <c r="B198" s="14" t="s">
        <v>1048</v>
      </c>
      <c r="C198" s="14">
        <v>1</v>
      </c>
      <c r="D198" s="14">
        <v>1</v>
      </c>
      <c r="E198" s="14" t="s">
        <v>1410</v>
      </c>
      <c r="F198" s="14" t="s">
        <v>1411</v>
      </c>
      <c r="H198" s="14" t="s">
        <v>1063</v>
      </c>
    </row>
    <row r="199" spans="1:8" ht="43.2">
      <c r="A199" s="14">
        <v>193</v>
      </c>
      <c r="B199" s="14" t="s">
        <v>1051</v>
      </c>
      <c r="C199" s="14">
        <v>1</v>
      </c>
      <c r="D199" s="14">
        <v>1</v>
      </c>
      <c r="E199" s="14" t="s">
        <v>1412</v>
      </c>
      <c r="F199" s="14" t="s">
        <v>1413</v>
      </c>
      <c r="H199" s="14" t="s">
        <v>1063</v>
      </c>
    </row>
    <row r="200" spans="1:8" ht="43.2">
      <c r="A200" s="14">
        <v>194</v>
      </c>
      <c r="B200" s="14" t="s">
        <v>1054</v>
      </c>
      <c r="C200" s="14">
        <v>1</v>
      </c>
      <c r="D200" s="14">
        <v>1</v>
      </c>
      <c r="E200" s="14" t="s">
        <v>1414</v>
      </c>
      <c r="F200" s="14" t="s">
        <v>1415</v>
      </c>
      <c r="H200" s="14" t="s">
        <v>1063</v>
      </c>
    </row>
    <row r="201" spans="1:8" ht="43.2">
      <c r="A201" s="14">
        <v>195</v>
      </c>
      <c r="B201" s="14" t="s">
        <v>1057</v>
      </c>
      <c r="C201" s="14">
        <v>1</v>
      </c>
      <c r="D201" s="14">
        <v>1</v>
      </c>
      <c r="E201" s="14" t="s">
        <v>1416</v>
      </c>
      <c r="F201" s="14" t="s">
        <v>1417</v>
      </c>
      <c r="H201" s="14" t="s">
        <v>1063</v>
      </c>
    </row>
    <row r="202" spans="1:8">
      <c r="A202" s="14">
        <v>196</v>
      </c>
      <c r="B202" s="14" t="s">
        <v>159</v>
      </c>
      <c r="C202" s="14">
        <v>1</v>
      </c>
      <c r="D202" s="14">
        <v>1</v>
      </c>
      <c r="E202" s="14" t="s">
        <v>1418</v>
      </c>
      <c r="F202" s="14" t="s">
        <v>1419</v>
      </c>
      <c r="H202" s="14" t="s">
        <v>1063</v>
      </c>
    </row>
    <row r="203" spans="1:8" ht="28.8">
      <c r="A203" s="14">
        <v>197</v>
      </c>
      <c r="B203" s="14" t="s">
        <v>161</v>
      </c>
      <c r="C203" s="14">
        <v>1</v>
      </c>
      <c r="D203" s="14">
        <v>1</v>
      </c>
      <c r="E203" s="14" t="s">
        <v>1420</v>
      </c>
      <c r="F203" s="14" t="s">
        <v>1421</v>
      </c>
      <c r="H203" s="14" t="s">
        <v>1063</v>
      </c>
    </row>
    <row r="204" spans="1:8" ht="28.8">
      <c r="A204" s="14">
        <v>198</v>
      </c>
      <c r="B204" s="14" t="s">
        <v>163</v>
      </c>
      <c r="C204" s="14">
        <v>1</v>
      </c>
      <c r="D204" s="14">
        <v>1</v>
      </c>
      <c r="E204" s="14" t="s">
        <v>1422</v>
      </c>
      <c r="F204" s="14" t="s">
        <v>1423</v>
      </c>
      <c r="H204" s="14" t="s">
        <v>1063</v>
      </c>
    </row>
    <row r="205" spans="1:8" ht="43.2">
      <c r="A205" s="14">
        <v>199</v>
      </c>
      <c r="B205" s="14" t="s">
        <v>165</v>
      </c>
      <c r="C205" s="14">
        <v>1</v>
      </c>
      <c r="D205" s="14">
        <v>1</v>
      </c>
      <c r="E205" s="14" t="s">
        <v>1629</v>
      </c>
      <c r="F205" s="14" t="s">
        <v>1425</v>
      </c>
      <c r="H205" s="14" t="s">
        <v>1063</v>
      </c>
    </row>
    <row r="206" spans="1:8" ht="28.8">
      <c r="A206" s="14">
        <v>200</v>
      </c>
      <c r="B206" s="14" t="s">
        <v>167</v>
      </c>
      <c r="C206" s="14">
        <v>1</v>
      </c>
      <c r="D206" s="14">
        <v>1</v>
      </c>
      <c r="E206" s="14" t="s">
        <v>1426</v>
      </c>
      <c r="F206" s="14" t="s">
        <v>1427</v>
      </c>
      <c r="H206" s="14" t="s">
        <v>1063</v>
      </c>
    </row>
    <row r="207" spans="1:8" ht="28.8">
      <c r="A207" s="14">
        <v>201</v>
      </c>
      <c r="B207" s="14" t="s">
        <v>169</v>
      </c>
      <c r="C207" s="14">
        <v>1</v>
      </c>
      <c r="D207" s="14">
        <v>1</v>
      </c>
      <c r="E207" s="14" t="s">
        <v>1428</v>
      </c>
      <c r="F207" s="14" t="s">
        <v>1429</v>
      </c>
      <c r="H207" s="14" t="s">
        <v>1063</v>
      </c>
    </row>
    <row r="208" spans="1:8">
      <c r="A208" s="14">
        <v>202</v>
      </c>
      <c r="B208" s="14" t="s">
        <v>171</v>
      </c>
      <c r="C208" s="14">
        <v>1</v>
      </c>
      <c r="D208" s="14">
        <v>1</v>
      </c>
      <c r="E208" s="14" t="s">
        <v>1430</v>
      </c>
      <c r="F208" s="14" t="s">
        <v>1431</v>
      </c>
      <c r="H208" s="14" t="s">
        <v>1063</v>
      </c>
    </row>
    <row r="209" spans="1:8">
      <c r="A209" s="14">
        <v>203</v>
      </c>
      <c r="B209" s="14" t="s">
        <v>173</v>
      </c>
      <c r="C209" s="14">
        <v>1</v>
      </c>
      <c r="D209" s="14">
        <v>1</v>
      </c>
      <c r="E209" s="14" t="s">
        <v>1432</v>
      </c>
      <c r="F209" s="14" t="s">
        <v>1433</v>
      </c>
      <c r="H209" s="14" t="s">
        <v>1063</v>
      </c>
    </row>
    <row r="210" spans="1:8" ht="28.8">
      <c r="A210" s="14">
        <v>204</v>
      </c>
      <c r="B210" s="14" t="s">
        <v>175</v>
      </c>
      <c r="C210" s="14">
        <v>1</v>
      </c>
      <c r="D210" s="14">
        <v>1</v>
      </c>
      <c r="E210" s="14" t="s">
        <v>1434</v>
      </c>
      <c r="F210" s="14" t="s">
        <v>1435</v>
      </c>
      <c r="H210" s="14" t="s">
        <v>1063</v>
      </c>
    </row>
    <row r="211" spans="1:8" ht="28.8">
      <c r="A211" s="14">
        <v>205</v>
      </c>
      <c r="B211" s="14" t="s">
        <v>177</v>
      </c>
      <c r="C211" s="14">
        <v>1</v>
      </c>
      <c r="D211" s="14">
        <v>1</v>
      </c>
      <c r="E211" s="14" t="s">
        <v>1436</v>
      </c>
      <c r="F211" s="14" t="s">
        <v>1437</v>
      </c>
      <c r="H211" s="14" t="s">
        <v>1063</v>
      </c>
    </row>
    <row r="212" spans="1:8" ht="28.8">
      <c r="A212" s="14">
        <v>206</v>
      </c>
      <c r="B212" s="14" t="s">
        <v>240</v>
      </c>
      <c r="C212" s="14">
        <v>1</v>
      </c>
      <c r="D212" s="14">
        <v>1</v>
      </c>
      <c r="E212" s="14" t="s">
        <v>1630</v>
      </c>
      <c r="F212" s="14" t="s">
        <v>1439</v>
      </c>
      <c r="H212" s="14" t="s">
        <v>1063</v>
      </c>
    </row>
    <row r="213" spans="1:8" ht="28.8">
      <c r="A213" s="14">
        <v>207</v>
      </c>
      <c r="B213" s="14" t="s">
        <v>241</v>
      </c>
      <c r="C213" s="14">
        <v>1</v>
      </c>
      <c r="D213" s="14">
        <v>1</v>
      </c>
      <c r="E213" s="14" t="s">
        <v>1440</v>
      </c>
      <c r="F213" s="14" t="s">
        <v>1441</v>
      </c>
      <c r="H213" s="14" t="s">
        <v>1063</v>
      </c>
    </row>
    <row r="214" spans="1:8" ht="43.2">
      <c r="A214" s="14">
        <v>208</v>
      </c>
      <c r="B214" s="14" t="s">
        <v>243</v>
      </c>
      <c r="C214" s="14">
        <v>1</v>
      </c>
      <c r="D214" s="14">
        <v>1</v>
      </c>
      <c r="E214" s="14" t="s">
        <v>1442</v>
      </c>
      <c r="F214" s="14" t="s">
        <v>1443</v>
      </c>
      <c r="H214" s="14" t="s">
        <v>1063</v>
      </c>
    </row>
    <row r="215" spans="1:8" ht="28.8">
      <c r="A215" s="14">
        <v>209</v>
      </c>
      <c r="B215" s="14" t="s">
        <v>245</v>
      </c>
      <c r="C215" s="14">
        <v>1</v>
      </c>
      <c r="D215" s="14">
        <v>1</v>
      </c>
      <c r="E215" s="14" t="s">
        <v>1444</v>
      </c>
      <c r="F215" s="14" t="s">
        <v>1445</v>
      </c>
      <c r="H215" s="14" t="s">
        <v>1063</v>
      </c>
    </row>
    <row r="216" spans="1:8" ht="28.8">
      <c r="A216" s="14">
        <v>210</v>
      </c>
      <c r="B216" s="14" t="s">
        <v>247</v>
      </c>
      <c r="C216" s="14">
        <v>1</v>
      </c>
      <c r="D216" s="14">
        <v>1</v>
      </c>
      <c r="E216" s="14" t="s">
        <v>1631</v>
      </c>
      <c r="F216" s="14" t="s">
        <v>1447</v>
      </c>
      <c r="H216" s="14" t="s">
        <v>1063</v>
      </c>
    </row>
    <row r="217" spans="1:8">
      <c r="A217" s="14">
        <v>211</v>
      </c>
      <c r="B217" s="14" t="s">
        <v>247</v>
      </c>
      <c r="C217" s="14">
        <v>1</v>
      </c>
      <c r="D217" s="14">
        <v>2</v>
      </c>
      <c r="E217" s="14" t="s">
        <v>1448</v>
      </c>
      <c r="F217" s="14" t="s">
        <v>1449</v>
      </c>
      <c r="H217" s="14" t="s">
        <v>1063</v>
      </c>
    </row>
    <row r="218" spans="1:8" ht="28.8">
      <c r="A218" s="14">
        <v>212</v>
      </c>
      <c r="B218" s="14" t="s">
        <v>248</v>
      </c>
      <c r="C218" s="14">
        <v>1</v>
      </c>
      <c r="D218" s="14">
        <v>1</v>
      </c>
      <c r="E218" s="14" t="s">
        <v>1632</v>
      </c>
      <c r="F218" s="14" t="s">
        <v>1451</v>
      </c>
      <c r="H218" s="14" t="s">
        <v>1063</v>
      </c>
    </row>
    <row r="219" spans="1:8">
      <c r="A219" s="14">
        <v>213</v>
      </c>
      <c r="B219" s="14" t="s">
        <v>248</v>
      </c>
      <c r="C219" s="14">
        <v>1</v>
      </c>
      <c r="D219" s="14">
        <v>2</v>
      </c>
      <c r="E219" s="14" t="s">
        <v>1452</v>
      </c>
      <c r="F219" s="14" t="s">
        <v>1449</v>
      </c>
      <c r="H219" s="14" t="s">
        <v>1063</v>
      </c>
    </row>
    <row r="220" spans="1:8" ht="28.8">
      <c r="A220" s="14">
        <v>214</v>
      </c>
      <c r="B220" s="14" t="s">
        <v>249</v>
      </c>
      <c r="C220" s="14">
        <v>1</v>
      </c>
      <c r="D220" s="14">
        <v>1</v>
      </c>
      <c r="E220" s="14" t="s">
        <v>1633</v>
      </c>
      <c r="F220" s="14" t="s">
        <v>1454</v>
      </c>
      <c r="H220" s="14" t="s">
        <v>1063</v>
      </c>
    </row>
    <row r="221" spans="1:8">
      <c r="A221" s="14">
        <v>215</v>
      </c>
      <c r="B221" s="14" t="s">
        <v>249</v>
      </c>
      <c r="C221" s="14">
        <v>1</v>
      </c>
      <c r="D221" s="14">
        <v>2</v>
      </c>
      <c r="E221" s="14" t="s">
        <v>1455</v>
      </c>
      <c r="F221" s="14" t="s">
        <v>1456</v>
      </c>
      <c r="H221" s="14" t="s">
        <v>1063</v>
      </c>
    </row>
  </sheetData>
  <autoFilter ref="A4:I221" xr:uid="{47DA7E70-79D5-4AF1-BEE4-5F8747C66CC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129540</xdr:rowOff>
                  </from>
                  <to>
                    <xdr:col>4</xdr:col>
                    <xdr:colOff>571500</xdr:colOff>
                    <xdr:row>2</xdr:row>
                    <xdr:rowOff>30480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BCB1FD-B4DD-452F-80B0-63FA1B65B0AA}">
  <dimension ref="A1:J172"/>
  <sheetViews>
    <sheetView workbookViewId="0">
      <selection sqref="A1:F172"/>
    </sheetView>
    <sheetView workbookViewId="1"/>
  </sheetViews>
  <sheetFormatPr defaultRowHeight="14.4"/>
  <cols>
    <col min="4" max="4" width="28.109375" customWidth="1"/>
    <col min="5" max="5" width="39.33203125" customWidth="1"/>
    <col min="6" max="6" width="51.6640625" customWidth="1"/>
  </cols>
  <sheetData>
    <row r="1" spans="1:10" s="74" customFormat="1" ht="41.4">
      <c r="A1" s="3" t="s">
        <v>509</v>
      </c>
      <c r="B1" s="3">
        <v>1</v>
      </c>
      <c r="C1" s="3">
        <v>1</v>
      </c>
      <c r="D1" s="85" t="s">
        <v>1143</v>
      </c>
      <c r="E1" s="85" t="s">
        <v>1144</v>
      </c>
      <c r="F1" s="125" t="s">
        <v>1070</v>
      </c>
    </row>
    <row r="2" spans="1:10" s="87" customFormat="1" ht="55.2">
      <c r="A2" s="3" t="s">
        <v>511</v>
      </c>
      <c r="B2" s="3">
        <v>1</v>
      </c>
      <c r="C2" s="3">
        <v>1</v>
      </c>
      <c r="D2" s="85" t="s">
        <v>1145</v>
      </c>
      <c r="E2" s="85" t="s">
        <v>1146</v>
      </c>
      <c r="F2" s="125" t="s">
        <v>1086</v>
      </c>
    </row>
    <row r="3" spans="1:10" s="87" customFormat="1" ht="82.8">
      <c r="A3" s="3" t="s">
        <v>512</v>
      </c>
      <c r="B3" s="3">
        <v>1</v>
      </c>
      <c r="C3" s="3">
        <v>1</v>
      </c>
      <c r="D3" s="85" t="s">
        <v>1147</v>
      </c>
      <c r="E3" s="85" t="s">
        <v>1148</v>
      </c>
      <c r="F3" s="125" t="s">
        <v>1087</v>
      </c>
    </row>
    <row r="4" spans="1:10" s="87" customFormat="1" ht="82.8">
      <c r="A4" s="3" t="s">
        <v>512</v>
      </c>
      <c r="B4" s="3">
        <v>1</v>
      </c>
      <c r="C4" s="3">
        <v>1</v>
      </c>
      <c r="D4" s="85" t="s">
        <v>1149</v>
      </c>
      <c r="E4" s="85"/>
      <c r="F4" s="125" t="s">
        <v>1087</v>
      </c>
    </row>
    <row r="5" spans="1:10" s="87" customFormat="1" ht="82.8">
      <c r="A5" s="3" t="s">
        <v>513</v>
      </c>
      <c r="B5" s="3">
        <v>1</v>
      </c>
      <c r="C5" s="3">
        <v>1</v>
      </c>
      <c r="D5" s="85" t="s">
        <v>1134</v>
      </c>
      <c r="E5" s="85" t="s">
        <v>1150</v>
      </c>
      <c r="F5" s="125" t="s">
        <v>1088</v>
      </c>
    </row>
    <row r="6" spans="1:10" s="74" customFormat="1" ht="27.6">
      <c r="A6" s="3" t="s">
        <v>514</v>
      </c>
      <c r="B6" s="3">
        <v>1</v>
      </c>
      <c r="C6" s="3">
        <v>1</v>
      </c>
      <c r="D6" s="85" t="s">
        <v>1151</v>
      </c>
      <c r="E6" s="85" t="s">
        <v>1152</v>
      </c>
      <c r="F6" s="125" t="s">
        <v>1089</v>
      </c>
      <c r="G6" s="87"/>
      <c r="H6" s="87"/>
      <c r="I6" s="87"/>
      <c r="J6" s="87"/>
    </row>
    <row r="7" spans="1:10" s="87" customFormat="1" ht="41.4">
      <c r="A7" s="3" t="s">
        <v>517</v>
      </c>
      <c r="B7" s="3">
        <v>1</v>
      </c>
      <c r="C7" s="3">
        <v>1</v>
      </c>
      <c r="D7" s="85" t="s">
        <v>1153</v>
      </c>
      <c r="E7" s="85" t="s">
        <v>1154</v>
      </c>
      <c r="F7" s="125" t="s">
        <v>1090</v>
      </c>
    </row>
    <row r="8" spans="1:10" s="87" customFormat="1" ht="27.6">
      <c r="A8" s="3" t="s">
        <v>519</v>
      </c>
      <c r="B8" s="3">
        <v>1</v>
      </c>
      <c r="C8" s="3">
        <v>1</v>
      </c>
      <c r="D8" s="85" t="s">
        <v>1155</v>
      </c>
      <c r="E8" s="85" t="s">
        <v>1156</v>
      </c>
      <c r="F8" s="125" t="s">
        <v>1091</v>
      </c>
    </row>
    <row r="9" spans="1:10" s="87" customFormat="1" ht="69">
      <c r="A9" s="3" t="s">
        <v>522</v>
      </c>
      <c r="B9" s="3">
        <v>1</v>
      </c>
      <c r="C9" s="3">
        <v>1</v>
      </c>
      <c r="D9" s="85" t="s">
        <v>1157</v>
      </c>
      <c r="E9" s="85" t="s">
        <v>1158</v>
      </c>
      <c r="F9" s="125" t="s">
        <v>1092</v>
      </c>
    </row>
    <row r="10" spans="1:10" s="87" customFormat="1" ht="41.4">
      <c r="A10" s="3" t="s">
        <v>523</v>
      </c>
      <c r="B10" s="3">
        <v>1</v>
      </c>
      <c r="C10" s="3">
        <v>1</v>
      </c>
      <c r="D10" s="85" t="s">
        <v>1159</v>
      </c>
      <c r="E10" s="85" t="s">
        <v>1160</v>
      </c>
      <c r="F10" s="125" t="s">
        <v>1093</v>
      </c>
    </row>
    <row r="11" spans="1:10" s="87" customFormat="1" ht="82.8">
      <c r="A11" s="3" t="s">
        <v>527</v>
      </c>
      <c r="B11" s="3">
        <v>1</v>
      </c>
      <c r="C11" s="3">
        <v>1</v>
      </c>
      <c r="D11" s="85" t="s">
        <v>1161</v>
      </c>
      <c r="E11" s="85" t="s">
        <v>1162</v>
      </c>
      <c r="F11" s="125" t="s">
        <v>1094</v>
      </c>
      <c r="G11" s="74"/>
      <c r="H11" s="74"/>
      <c r="I11" s="74"/>
      <c r="J11" s="74"/>
    </row>
    <row r="12" spans="1:10" s="87" customFormat="1" ht="55.2">
      <c r="A12" s="3" t="s">
        <v>529</v>
      </c>
      <c r="B12" s="3">
        <v>1</v>
      </c>
      <c r="C12" s="3">
        <v>1</v>
      </c>
      <c r="D12" s="85" t="s">
        <v>1163</v>
      </c>
      <c r="E12" s="85" t="s">
        <v>1164</v>
      </c>
      <c r="F12" s="125" t="s">
        <v>1095</v>
      </c>
    </row>
    <row r="13" spans="1:10" s="87" customFormat="1" ht="96.6">
      <c r="A13" s="3" t="s">
        <v>557</v>
      </c>
      <c r="B13" s="3">
        <v>1</v>
      </c>
      <c r="C13" s="3">
        <v>1</v>
      </c>
      <c r="D13" s="85" t="s">
        <v>1165</v>
      </c>
      <c r="E13" s="85" t="s">
        <v>1166</v>
      </c>
      <c r="F13" s="125"/>
      <c r="G13"/>
      <c r="H13"/>
      <c r="I13"/>
      <c r="J13"/>
    </row>
    <row r="14" spans="1:10" s="87" customFormat="1" ht="41.4">
      <c r="A14" s="3" t="s">
        <v>557</v>
      </c>
      <c r="B14" s="3">
        <v>1</v>
      </c>
      <c r="C14" s="3">
        <v>2</v>
      </c>
      <c r="D14" s="85" t="s">
        <v>1167</v>
      </c>
      <c r="E14" s="85"/>
      <c r="F14" s="125"/>
      <c r="G14"/>
      <c r="H14"/>
      <c r="I14"/>
      <c r="J14"/>
    </row>
    <row r="15" spans="1:10" s="74" customFormat="1" ht="41.4">
      <c r="A15" s="107" t="s">
        <v>558</v>
      </c>
      <c r="B15" s="3">
        <v>1</v>
      </c>
      <c r="C15" s="3">
        <v>1</v>
      </c>
      <c r="D15" s="109" t="s">
        <v>1169</v>
      </c>
      <c r="E15" s="109" t="s">
        <v>1168</v>
      </c>
      <c r="F15" s="125"/>
      <c r="G15"/>
      <c r="H15"/>
      <c r="I15"/>
      <c r="J15"/>
    </row>
    <row r="16" spans="1:10" s="74" customFormat="1" ht="55.2">
      <c r="A16" s="107" t="s">
        <v>558</v>
      </c>
      <c r="B16" s="3">
        <v>1</v>
      </c>
      <c r="C16" s="3">
        <v>2</v>
      </c>
      <c r="D16" s="109" t="s">
        <v>1170</v>
      </c>
      <c r="E16" s="109"/>
      <c r="F16" s="125"/>
      <c r="G16"/>
      <c r="H16"/>
      <c r="I16"/>
      <c r="J16"/>
    </row>
    <row r="17" spans="1:10" s="74" customFormat="1" ht="55.2">
      <c r="A17" s="3" t="s">
        <v>559</v>
      </c>
      <c r="B17" s="3">
        <v>1</v>
      </c>
      <c r="C17" s="3">
        <v>1</v>
      </c>
      <c r="D17" s="85" t="s">
        <v>1173</v>
      </c>
      <c r="E17" s="85" t="s">
        <v>1171</v>
      </c>
      <c r="F17" s="125" t="s">
        <v>1096</v>
      </c>
      <c r="G17"/>
      <c r="H17"/>
      <c r="I17"/>
      <c r="J17"/>
    </row>
    <row r="18" spans="1:10" s="74" customFormat="1" ht="41.4">
      <c r="A18" s="3" t="s">
        <v>559</v>
      </c>
      <c r="B18" s="3">
        <v>1</v>
      </c>
      <c r="C18" s="3">
        <v>2</v>
      </c>
      <c r="D18" s="85" t="s">
        <v>1172</v>
      </c>
      <c r="E18" s="85"/>
      <c r="F18" s="125" t="s">
        <v>1096</v>
      </c>
      <c r="G18"/>
      <c r="H18"/>
      <c r="I18"/>
      <c r="J18"/>
    </row>
    <row r="19" spans="1:10" s="87" customFormat="1" ht="55.2">
      <c r="A19" s="3" t="s">
        <v>560</v>
      </c>
      <c r="B19" s="3">
        <v>1</v>
      </c>
      <c r="C19" s="3">
        <v>1</v>
      </c>
      <c r="D19" s="85" t="s">
        <v>1174</v>
      </c>
      <c r="E19" s="85" t="s">
        <v>1175</v>
      </c>
      <c r="F19" s="125"/>
      <c r="G19"/>
      <c r="H19"/>
      <c r="I19"/>
      <c r="J19"/>
    </row>
    <row r="20" spans="1:10" s="87" customFormat="1" ht="69">
      <c r="A20" s="3" t="s">
        <v>560</v>
      </c>
      <c r="B20" s="3">
        <v>1</v>
      </c>
      <c r="C20" s="3">
        <v>2</v>
      </c>
      <c r="D20" s="85" t="s">
        <v>1176</v>
      </c>
      <c r="E20" s="85"/>
      <c r="F20" s="125"/>
      <c r="G20"/>
      <c r="H20"/>
      <c r="I20"/>
      <c r="J20"/>
    </row>
    <row r="21" spans="1:10" ht="41.4">
      <c r="A21" s="3" t="s">
        <v>561</v>
      </c>
      <c r="B21" s="3">
        <v>1</v>
      </c>
      <c r="C21" s="3">
        <v>1</v>
      </c>
      <c r="D21" s="85" t="s">
        <v>1178</v>
      </c>
      <c r="E21" s="85" t="s">
        <v>1177</v>
      </c>
      <c r="F21" s="125"/>
    </row>
    <row r="22" spans="1:10" ht="41.4">
      <c r="A22" s="3" t="s">
        <v>561</v>
      </c>
      <c r="B22" s="3">
        <v>1</v>
      </c>
      <c r="C22" s="3">
        <v>2</v>
      </c>
      <c r="D22" s="85" t="s">
        <v>1179</v>
      </c>
      <c r="E22" s="85"/>
      <c r="F22" s="125"/>
    </row>
    <row r="23" spans="1:10" ht="41.4">
      <c r="A23" s="3" t="s">
        <v>562</v>
      </c>
      <c r="B23" s="3">
        <v>1</v>
      </c>
      <c r="C23" s="3">
        <v>1</v>
      </c>
      <c r="D23" s="85" t="s">
        <v>1180</v>
      </c>
      <c r="E23" s="85" t="s">
        <v>1181</v>
      </c>
      <c r="F23" s="125"/>
    </row>
    <row r="24" spans="1:10" ht="55.2">
      <c r="A24" s="3" t="s">
        <v>562</v>
      </c>
      <c r="B24" s="3">
        <v>1</v>
      </c>
      <c r="C24" s="3">
        <v>2</v>
      </c>
      <c r="D24" s="85" t="s">
        <v>1182</v>
      </c>
      <c r="E24" s="85"/>
      <c r="F24" s="125"/>
    </row>
    <row r="25" spans="1:10" ht="41.4">
      <c r="A25" s="3" t="s">
        <v>563</v>
      </c>
      <c r="B25" s="3">
        <v>1</v>
      </c>
      <c r="C25" s="3">
        <v>1</v>
      </c>
      <c r="D25" s="85" t="s">
        <v>1183</v>
      </c>
      <c r="E25" s="85" t="s">
        <v>1184</v>
      </c>
      <c r="F25" s="125"/>
    </row>
    <row r="26" spans="1:10" ht="27.6">
      <c r="A26" s="3" t="s">
        <v>564</v>
      </c>
      <c r="B26" s="3">
        <v>1</v>
      </c>
      <c r="C26" s="3">
        <v>1</v>
      </c>
      <c r="D26" s="85" t="s">
        <v>1185</v>
      </c>
      <c r="E26" s="85"/>
      <c r="F26" s="125" t="s">
        <v>1079</v>
      </c>
    </row>
    <row r="27" spans="1:10" ht="41.4">
      <c r="A27" s="122" t="s">
        <v>428</v>
      </c>
      <c r="B27" s="3">
        <v>1</v>
      </c>
      <c r="C27" s="3">
        <v>1</v>
      </c>
      <c r="D27" s="98" t="s">
        <v>1186</v>
      </c>
      <c r="E27" s="98" t="s">
        <v>1187</v>
      </c>
      <c r="F27" s="125" t="s">
        <v>1097</v>
      </c>
    </row>
    <row r="28" spans="1:10" ht="27.6">
      <c r="A28" s="122" t="s">
        <v>431</v>
      </c>
      <c r="B28" s="3">
        <v>1</v>
      </c>
      <c r="C28" s="3">
        <v>1</v>
      </c>
      <c r="D28" s="98" t="s">
        <v>1188</v>
      </c>
      <c r="E28" s="98" t="s">
        <v>1189</v>
      </c>
      <c r="F28" s="125" t="s">
        <v>1098</v>
      </c>
    </row>
    <row r="29" spans="1:10" ht="69">
      <c r="A29" s="122" t="s">
        <v>434</v>
      </c>
      <c r="B29" s="3">
        <v>1</v>
      </c>
      <c r="C29" s="3">
        <v>1</v>
      </c>
      <c r="D29" s="98" t="s">
        <v>1190</v>
      </c>
      <c r="E29" s="98" t="s">
        <v>1191</v>
      </c>
      <c r="F29" s="125" t="s">
        <v>1099</v>
      </c>
    </row>
    <row r="30" spans="1:10" ht="55.2">
      <c r="A30" s="122" t="s">
        <v>438</v>
      </c>
      <c r="B30" s="3">
        <v>1</v>
      </c>
      <c r="C30" s="3">
        <v>1</v>
      </c>
      <c r="D30" s="98" t="s">
        <v>1192</v>
      </c>
      <c r="E30" s="98" t="s">
        <v>1193</v>
      </c>
      <c r="F30" s="125" t="s">
        <v>1100</v>
      </c>
    </row>
    <row r="31" spans="1:10" ht="41.4">
      <c r="A31" s="122" t="s">
        <v>441</v>
      </c>
      <c r="B31" s="3">
        <v>1</v>
      </c>
      <c r="C31" s="3">
        <v>1</v>
      </c>
      <c r="D31" s="98" t="s">
        <v>1194</v>
      </c>
      <c r="E31" s="98" t="s">
        <v>1195</v>
      </c>
      <c r="F31" s="125" t="s">
        <v>1074</v>
      </c>
    </row>
    <row r="32" spans="1:10" ht="55.2">
      <c r="A32" s="122" t="s">
        <v>444</v>
      </c>
      <c r="B32" s="3">
        <v>1</v>
      </c>
      <c r="C32" s="3">
        <v>1</v>
      </c>
      <c r="D32" s="98" t="s">
        <v>1196</v>
      </c>
      <c r="E32" s="98" t="s">
        <v>1197</v>
      </c>
      <c r="F32" s="125" t="s">
        <v>1101</v>
      </c>
    </row>
    <row r="33" spans="1:6" ht="248.4">
      <c r="A33" s="3" t="s">
        <v>102</v>
      </c>
      <c r="B33" s="3">
        <v>1</v>
      </c>
      <c r="C33" s="3">
        <v>1</v>
      </c>
      <c r="D33" s="85" t="s">
        <v>1135</v>
      </c>
      <c r="E33" s="85"/>
      <c r="F33" s="125" t="s">
        <v>1102</v>
      </c>
    </row>
    <row r="34" spans="1:6" ht="138">
      <c r="A34" s="3" t="s">
        <v>588</v>
      </c>
      <c r="B34" s="3">
        <v>1</v>
      </c>
      <c r="C34" s="3">
        <v>1</v>
      </c>
      <c r="D34" s="85" t="s">
        <v>1136</v>
      </c>
      <c r="E34" s="85"/>
      <c r="F34" s="125" t="s">
        <v>1103</v>
      </c>
    </row>
    <row r="35" spans="1:6" ht="110.4">
      <c r="A35" s="3" t="s">
        <v>590</v>
      </c>
      <c r="B35" s="3">
        <v>1</v>
      </c>
      <c r="C35" s="3">
        <v>1</v>
      </c>
      <c r="D35" s="85" t="s">
        <v>1137</v>
      </c>
      <c r="E35" s="85"/>
      <c r="F35" s="125" t="s">
        <v>1104</v>
      </c>
    </row>
    <row r="36" spans="1:6" ht="138">
      <c r="A36" s="3" t="s">
        <v>592</v>
      </c>
      <c r="B36" s="3">
        <v>1</v>
      </c>
      <c r="C36" s="3">
        <v>1</v>
      </c>
      <c r="D36" s="85" t="s">
        <v>1138</v>
      </c>
      <c r="E36" s="85"/>
      <c r="F36" s="125" t="s">
        <v>1105</v>
      </c>
    </row>
    <row r="37" spans="1:6" ht="165.6">
      <c r="A37" s="3" t="s">
        <v>595</v>
      </c>
      <c r="B37" s="3">
        <v>1</v>
      </c>
      <c r="C37" s="3">
        <v>1</v>
      </c>
      <c r="D37" s="85" t="s">
        <v>1139</v>
      </c>
      <c r="E37" s="85"/>
      <c r="F37" s="125" t="s">
        <v>1106</v>
      </c>
    </row>
    <row r="38" spans="1:6" ht="234.6">
      <c r="A38" s="3" t="s">
        <v>598</v>
      </c>
      <c r="B38" s="3">
        <v>1</v>
      </c>
      <c r="C38" s="3">
        <v>1</v>
      </c>
      <c r="D38" s="85" t="s">
        <v>1198</v>
      </c>
      <c r="E38" s="85"/>
      <c r="F38" s="125" t="s">
        <v>1107</v>
      </c>
    </row>
    <row r="39" spans="1:6" ht="55.2">
      <c r="A39" s="3" t="s">
        <v>601</v>
      </c>
      <c r="B39" s="3">
        <v>1</v>
      </c>
      <c r="C39" s="3">
        <v>1</v>
      </c>
      <c r="D39" s="85" t="s">
        <v>1140</v>
      </c>
      <c r="E39" s="85"/>
      <c r="F39" s="125" t="s">
        <v>1085</v>
      </c>
    </row>
    <row r="40" spans="1:6" ht="69">
      <c r="A40" s="3" t="s">
        <v>603</v>
      </c>
      <c r="B40" s="3">
        <v>1</v>
      </c>
      <c r="C40" s="3">
        <v>1</v>
      </c>
      <c r="D40" s="85" t="s">
        <v>1141</v>
      </c>
      <c r="E40" s="85"/>
      <c r="F40" s="125" t="s">
        <v>1108</v>
      </c>
    </row>
    <row r="41" spans="1:6" ht="41.4">
      <c r="A41" s="122" t="s">
        <v>567</v>
      </c>
      <c r="B41" s="3">
        <v>1</v>
      </c>
      <c r="C41" s="3">
        <v>1</v>
      </c>
      <c r="D41" s="98" t="s">
        <v>1199</v>
      </c>
      <c r="E41" s="98" t="s">
        <v>1200</v>
      </c>
      <c r="F41" s="125" t="s">
        <v>1109</v>
      </c>
    </row>
    <row r="42" spans="1:6" ht="69">
      <c r="A42" s="122" t="s">
        <v>570</v>
      </c>
      <c r="B42" s="3">
        <v>1</v>
      </c>
      <c r="C42" s="3">
        <v>1</v>
      </c>
      <c r="D42" s="98" t="s">
        <v>1201</v>
      </c>
      <c r="E42" s="98" t="s">
        <v>1202</v>
      </c>
      <c r="F42" s="125" t="s">
        <v>1110</v>
      </c>
    </row>
    <row r="43" spans="1:6" ht="27.6">
      <c r="A43" s="122" t="s">
        <v>573</v>
      </c>
      <c r="B43" s="3">
        <v>1</v>
      </c>
      <c r="C43" s="3">
        <v>1</v>
      </c>
      <c r="D43" s="98" t="s">
        <v>1203</v>
      </c>
      <c r="E43" s="98" t="s">
        <v>1204</v>
      </c>
      <c r="F43" s="125" t="s">
        <v>1111</v>
      </c>
    </row>
    <row r="44" spans="1:6" ht="82.8">
      <c r="A44" s="122" t="s">
        <v>577</v>
      </c>
      <c r="B44" s="3">
        <v>1</v>
      </c>
      <c r="C44" s="3">
        <v>1</v>
      </c>
      <c r="D44" s="98" t="s">
        <v>1205</v>
      </c>
      <c r="E44" s="98" t="s">
        <v>1206</v>
      </c>
      <c r="F44" s="125" t="s">
        <v>1112</v>
      </c>
    </row>
    <row r="45" spans="1:6" ht="82.8">
      <c r="A45" s="122" t="s">
        <v>577</v>
      </c>
      <c r="B45" s="3">
        <v>1</v>
      </c>
      <c r="C45" s="3">
        <v>2</v>
      </c>
      <c r="D45" s="98" t="s">
        <v>1207</v>
      </c>
      <c r="E45" s="98" t="s">
        <v>1208</v>
      </c>
      <c r="F45" s="125" t="s">
        <v>1112</v>
      </c>
    </row>
    <row r="46" spans="1:6" ht="41.4">
      <c r="A46" s="122" t="s">
        <v>579</v>
      </c>
      <c r="B46" s="3">
        <v>1</v>
      </c>
      <c r="C46" s="3">
        <v>1</v>
      </c>
      <c r="D46" s="98" t="s">
        <v>1209</v>
      </c>
      <c r="E46" s="98" t="s">
        <v>1210</v>
      </c>
      <c r="F46" s="125" t="s">
        <v>1113</v>
      </c>
    </row>
    <row r="47" spans="1:6" ht="69">
      <c r="A47" s="122" t="s">
        <v>584</v>
      </c>
      <c r="B47" s="3">
        <v>1</v>
      </c>
      <c r="C47" s="3">
        <v>1</v>
      </c>
      <c r="D47" s="98" t="s">
        <v>1211</v>
      </c>
      <c r="E47" s="98" t="s">
        <v>1212</v>
      </c>
      <c r="F47" s="125" t="s">
        <v>1114</v>
      </c>
    </row>
    <row r="48" spans="1:6" ht="27.6">
      <c r="A48" s="122" t="s">
        <v>451</v>
      </c>
      <c r="B48" s="3">
        <v>1</v>
      </c>
      <c r="C48" s="3">
        <v>1</v>
      </c>
      <c r="D48" s="98" t="s">
        <v>1213</v>
      </c>
      <c r="E48" s="98" t="s">
        <v>1214</v>
      </c>
      <c r="F48" s="125" t="s">
        <v>1115</v>
      </c>
    </row>
    <row r="49" spans="1:6" ht="27.6">
      <c r="A49" s="122" t="s">
        <v>453</v>
      </c>
      <c r="B49" s="3">
        <v>1</v>
      </c>
      <c r="C49" s="3">
        <v>1</v>
      </c>
      <c r="D49" s="98" t="s">
        <v>1215</v>
      </c>
      <c r="E49" s="98" t="s">
        <v>1216</v>
      </c>
      <c r="F49" s="125" t="s">
        <v>1080</v>
      </c>
    </row>
    <row r="50" spans="1:6" ht="41.4">
      <c r="A50" s="122" t="s">
        <v>456</v>
      </c>
      <c r="B50" s="3">
        <v>1</v>
      </c>
      <c r="C50" s="3">
        <v>1</v>
      </c>
      <c r="D50" s="98" t="s">
        <v>1217</v>
      </c>
      <c r="E50" s="98" t="s">
        <v>1218</v>
      </c>
      <c r="F50" s="125"/>
    </row>
    <row r="51" spans="1:6" ht="82.8">
      <c r="A51" s="122" t="s">
        <v>458</v>
      </c>
      <c r="B51" s="3">
        <v>1</v>
      </c>
      <c r="C51" s="3">
        <v>1</v>
      </c>
      <c r="D51" s="98" t="s">
        <v>1219</v>
      </c>
      <c r="E51" s="98" t="s">
        <v>1220</v>
      </c>
      <c r="F51" s="125" t="s">
        <v>1081</v>
      </c>
    </row>
    <row r="52" spans="1:6" ht="96.6">
      <c r="A52" s="122" t="s">
        <v>460</v>
      </c>
      <c r="B52" s="3">
        <v>1</v>
      </c>
      <c r="C52" s="3">
        <v>1</v>
      </c>
      <c r="D52" s="98" t="s">
        <v>1221</v>
      </c>
      <c r="E52" s="98" t="s">
        <v>1222</v>
      </c>
      <c r="F52" s="125" t="s">
        <v>1116</v>
      </c>
    </row>
    <row r="53" spans="1:6" ht="55.2">
      <c r="A53" s="122" t="s">
        <v>462</v>
      </c>
      <c r="B53" s="3">
        <v>1</v>
      </c>
      <c r="C53" s="3">
        <v>1</v>
      </c>
      <c r="D53" s="98" t="s">
        <v>1223</v>
      </c>
      <c r="E53" s="98" t="s">
        <v>1224</v>
      </c>
      <c r="F53" s="125" t="s">
        <v>1117</v>
      </c>
    </row>
    <row r="54" spans="1:6" ht="55.2">
      <c r="A54" s="122" t="s">
        <v>466</v>
      </c>
      <c r="B54" s="3">
        <v>1</v>
      </c>
      <c r="C54" s="3">
        <v>1</v>
      </c>
      <c r="D54" s="98" t="s">
        <v>1142</v>
      </c>
      <c r="E54" s="98"/>
      <c r="F54" s="125" t="s">
        <v>1118</v>
      </c>
    </row>
    <row r="55" spans="1:6" ht="27.6">
      <c r="A55" s="122" t="s">
        <v>468</v>
      </c>
      <c r="B55" s="3">
        <v>1</v>
      </c>
      <c r="C55" s="3">
        <v>1</v>
      </c>
      <c r="D55" s="98" t="s">
        <v>1225</v>
      </c>
      <c r="E55" s="98" t="s">
        <v>1226</v>
      </c>
      <c r="F55" s="125" t="s">
        <v>1082</v>
      </c>
    </row>
    <row r="56" spans="1:6" ht="27.6">
      <c r="A56" s="122" t="s">
        <v>471</v>
      </c>
      <c r="B56" s="3">
        <v>1</v>
      </c>
      <c r="C56" s="3">
        <v>1</v>
      </c>
      <c r="D56" s="98" t="s">
        <v>1227</v>
      </c>
      <c r="E56" s="98" t="s">
        <v>1228</v>
      </c>
      <c r="F56" s="125" t="s">
        <v>1083</v>
      </c>
    </row>
    <row r="57" spans="1:6" ht="110.4">
      <c r="A57" s="122" t="s">
        <v>475</v>
      </c>
      <c r="B57" s="3">
        <v>1</v>
      </c>
      <c r="C57" s="3">
        <v>1</v>
      </c>
      <c r="D57" s="98" t="s">
        <v>1229</v>
      </c>
      <c r="E57" s="98" t="s">
        <v>1228</v>
      </c>
      <c r="F57" s="125" t="s">
        <v>1084</v>
      </c>
    </row>
    <row r="58" spans="1:6">
      <c r="A58" s="122" t="s">
        <v>409</v>
      </c>
      <c r="B58" s="3">
        <v>1</v>
      </c>
      <c r="C58" s="3">
        <v>1</v>
      </c>
      <c r="D58" s="98" t="s">
        <v>1230</v>
      </c>
      <c r="E58" s="98" t="s">
        <v>1231</v>
      </c>
      <c r="F58" s="125"/>
    </row>
    <row r="59" spans="1:6" ht="27.6">
      <c r="A59" s="122" t="s">
        <v>411</v>
      </c>
      <c r="B59" s="3">
        <v>1</v>
      </c>
      <c r="C59" s="3">
        <v>1</v>
      </c>
      <c r="D59" s="98" t="s">
        <v>1232</v>
      </c>
      <c r="E59" s="98" t="s">
        <v>1233</v>
      </c>
      <c r="F59" s="125"/>
    </row>
    <row r="60" spans="1:6" ht="27.6">
      <c r="A60" s="122" t="s">
        <v>413</v>
      </c>
      <c r="B60" s="3">
        <v>1</v>
      </c>
      <c r="C60" s="3">
        <v>1</v>
      </c>
      <c r="D60" s="98" t="s">
        <v>1234</v>
      </c>
      <c r="E60" s="98" t="s">
        <v>1235</v>
      </c>
      <c r="F60" s="125"/>
    </row>
    <row r="61" spans="1:6" ht="27.6">
      <c r="A61" s="122" t="s">
        <v>415</v>
      </c>
      <c r="B61" s="3">
        <v>1</v>
      </c>
      <c r="C61" s="3">
        <v>1</v>
      </c>
      <c r="D61" s="98" t="s">
        <v>1236</v>
      </c>
      <c r="E61" s="98" t="s">
        <v>1237</v>
      </c>
      <c r="F61" s="125"/>
    </row>
    <row r="62" spans="1:6" ht="55.2">
      <c r="A62" s="122" t="s">
        <v>416</v>
      </c>
      <c r="B62" s="3">
        <v>1</v>
      </c>
      <c r="C62" s="3">
        <v>1</v>
      </c>
      <c r="D62" s="98" t="s">
        <v>1238</v>
      </c>
      <c r="E62" s="98" t="s">
        <v>1239</v>
      </c>
      <c r="F62" s="125"/>
    </row>
    <row r="63" spans="1:6" ht="27.6">
      <c r="A63" s="122" t="s">
        <v>418</v>
      </c>
      <c r="B63" s="3">
        <v>1</v>
      </c>
      <c r="C63" s="3">
        <v>1</v>
      </c>
      <c r="D63" s="98" t="s">
        <v>1240</v>
      </c>
      <c r="E63" s="98" t="s">
        <v>1241</v>
      </c>
      <c r="F63" s="125"/>
    </row>
    <row r="64" spans="1:6" ht="55.2">
      <c r="A64" s="122" t="s">
        <v>420</v>
      </c>
      <c r="B64" s="3">
        <v>1</v>
      </c>
      <c r="C64" s="3">
        <v>1</v>
      </c>
      <c r="D64" s="98" t="s">
        <v>1242</v>
      </c>
      <c r="E64" s="98" t="s">
        <v>1243</v>
      </c>
      <c r="F64" s="125" t="s">
        <v>1119</v>
      </c>
    </row>
    <row r="65" spans="1:6" ht="41.4">
      <c r="A65" s="122" t="s">
        <v>423</v>
      </c>
      <c r="B65" s="3">
        <v>1</v>
      </c>
      <c r="C65" s="3">
        <v>1</v>
      </c>
      <c r="D65" s="98" t="s">
        <v>1244</v>
      </c>
      <c r="E65" s="98" t="s">
        <v>1245</v>
      </c>
      <c r="F65" s="125"/>
    </row>
    <row r="66" spans="1:6" ht="27.6">
      <c r="A66" s="122" t="s">
        <v>425</v>
      </c>
      <c r="B66" s="3">
        <v>1</v>
      </c>
      <c r="C66" s="3">
        <v>1</v>
      </c>
      <c r="D66" s="98" t="s">
        <v>1246</v>
      </c>
      <c r="E66" s="98" t="s">
        <v>1247</v>
      </c>
      <c r="F66" s="125"/>
    </row>
    <row r="67" spans="1:6" ht="27.6">
      <c r="A67" s="99" t="s">
        <v>321</v>
      </c>
      <c r="B67" s="3">
        <v>1</v>
      </c>
      <c r="C67" s="3">
        <v>1</v>
      </c>
      <c r="D67" s="85" t="s">
        <v>1248</v>
      </c>
      <c r="E67" s="85" t="s">
        <v>1249</v>
      </c>
      <c r="F67" s="125" t="s">
        <v>1120</v>
      </c>
    </row>
    <row r="68" spans="1:6" ht="27.6">
      <c r="A68" s="99" t="s">
        <v>325</v>
      </c>
      <c r="B68" s="3">
        <v>1</v>
      </c>
      <c r="C68" s="3">
        <v>1</v>
      </c>
      <c r="D68" s="85" t="s">
        <v>1250</v>
      </c>
      <c r="E68" s="85" t="s">
        <v>1251</v>
      </c>
      <c r="F68" s="125" t="s">
        <v>1121</v>
      </c>
    </row>
    <row r="69" spans="1:6" ht="27.6">
      <c r="A69" s="99" t="s">
        <v>327</v>
      </c>
      <c r="B69" s="3">
        <v>1</v>
      </c>
      <c r="C69" s="3">
        <v>1</v>
      </c>
      <c r="D69" s="85" t="s">
        <v>1252</v>
      </c>
      <c r="E69" s="85" t="s">
        <v>1253</v>
      </c>
      <c r="F69" s="125" t="s">
        <v>1071</v>
      </c>
    </row>
    <row r="70" spans="1:6" ht="27.6">
      <c r="A70" s="99" t="s">
        <v>329</v>
      </c>
      <c r="B70" s="3">
        <v>1</v>
      </c>
      <c r="C70" s="3">
        <v>1</v>
      </c>
      <c r="D70" s="85" t="s">
        <v>1254</v>
      </c>
      <c r="E70" s="85" t="s">
        <v>1255</v>
      </c>
      <c r="F70" s="125" t="s">
        <v>1072</v>
      </c>
    </row>
    <row r="71" spans="1:6" ht="27.6">
      <c r="A71" s="99" t="s">
        <v>332</v>
      </c>
      <c r="B71" s="3">
        <v>1</v>
      </c>
      <c r="C71" s="3">
        <v>1</v>
      </c>
      <c r="D71" s="85" t="s">
        <v>1256</v>
      </c>
      <c r="E71" s="85" t="s">
        <v>1257</v>
      </c>
      <c r="F71" s="125" t="s">
        <v>1073</v>
      </c>
    </row>
    <row r="72" spans="1:6" ht="55.2">
      <c r="A72" s="99" t="s">
        <v>335</v>
      </c>
      <c r="B72" s="3">
        <v>1</v>
      </c>
      <c r="C72" s="3">
        <v>1</v>
      </c>
      <c r="D72" s="85" t="s">
        <v>1258</v>
      </c>
      <c r="E72" s="85" t="s">
        <v>1259</v>
      </c>
      <c r="F72" s="125" t="s">
        <v>1122</v>
      </c>
    </row>
    <row r="73" spans="1:6" ht="41.4">
      <c r="A73" s="99" t="s">
        <v>337</v>
      </c>
      <c r="B73" s="3">
        <v>1</v>
      </c>
      <c r="C73" s="3">
        <v>1</v>
      </c>
      <c r="D73" s="85" t="s">
        <v>1260</v>
      </c>
      <c r="E73" s="85" t="s">
        <v>1261</v>
      </c>
      <c r="F73" s="125" t="s">
        <v>1123</v>
      </c>
    </row>
    <row r="74" spans="1:6" ht="41.4">
      <c r="A74" s="99" t="s">
        <v>340</v>
      </c>
      <c r="B74" s="3">
        <v>1</v>
      </c>
      <c r="C74" s="3">
        <v>1</v>
      </c>
      <c r="D74" s="85" t="s">
        <v>1262</v>
      </c>
      <c r="E74" s="85" t="s">
        <v>1263</v>
      </c>
      <c r="F74" s="125"/>
    </row>
    <row r="75" spans="1:6" ht="41.4">
      <c r="A75" s="99" t="s">
        <v>342</v>
      </c>
      <c r="B75" s="3">
        <v>1</v>
      </c>
      <c r="C75" s="3">
        <v>1</v>
      </c>
      <c r="D75" s="85" t="s">
        <v>1260</v>
      </c>
      <c r="E75" s="85" t="s">
        <v>1261</v>
      </c>
      <c r="F75" s="125"/>
    </row>
    <row r="76" spans="1:6" ht="41.4">
      <c r="A76" s="99" t="s">
        <v>343</v>
      </c>
      <c r="B76" s="3">
        <v>1</v>
      </c>
      <c r="C76" s="3">
        <v>1</v>
      </c>
      <c r="D76" s="85" t="s">
        <v>1264</v>
      </c>
      <c r="E76" s="85" t="s">
        <v>1265</v>
      </c>
      <c r="F76" s="125"/>
    </row>
    <row r="77" spans="1:6" ht="41.4">
      <c r="A77" s="99" t="s">
        <v>345</v>
      </c>
      <c r="B77" s="3">
        <v>1</v>
      </c>
      <c r="C77" s="3">
        <v>1</v>
      </c>
      <c r="D77" s="85" t="s">
        <v>1266</v>
      </c>
      <c r="E77" s="85" t="s">
        <v>1267</v>
      </c>
      <c r="F77" s="125"/>
    </row>
    <row r="78" spans="1:6" ht="41.4">
      <c r="A78" s="3" t="s">
        <v>349</v>
      </c>
      <c r="B78" s="3">
        <v>1</v>
      </c>
      <c r="C78" s="3">
        <v>1</v>
      </c>
      <c r="D78" s="85" t="s">
        <v>1268</v>
      </c>
      <c r="E78" s="85" t="s">
        <v>1269</v>
      </c>
      <c r="F78" s="125" t="s">
        <v>1124</v>
      </c>
    </row>
    <row r="79" spans="1:6" ht="41.4">
      <c r="A79" s="3" t="s">
        <v>353</v>
      </c>
      <c r="B79" s="3">
        <v>1</v>
      </c>
      <c r="C79" s="3">
        <v>1</v>
      </c>
      <c r="D79" s="85" t="s">
        <v>1270</v>
      </c>
      <c r="E79" s="85" t="s">
        <v>1271</v>
      </c>
      <c r="F79" s="125" t="s">
        <v>1075</v>
      </c>
    </row>
    <row r="80" spans="1:6" ht="82.8">
      <c r="A80" s="3" t="s">
        <v>356</v>
      </c>
      <c r="B80" s="3">
        <v>1</v>
      </c>
      <c r="C80" s="3">
        <v>1</v>
      </c>
      <c r="D80" s="85" t="s">
        <v>1272</v>
      </c>
      <c r="E80" s="85" t="s">
        <v>1273</v>
      </c>
      <c r="F80" s="125" t="s">
        <v>1076</v>
      </c>
    </row>
    <row r="81" spans="1:6" ht="41.4">
      <c r="A81" s="3" t="s">
        <v>358</v>
      </c>
      <c r="B81" s="3">
        <v>1</v>
      </c>
      <c r="C81" s="3">
        <v>1</v>
      </c>
      <c r="D81" s="85" t="s">
        <v>1274</v>
      </c>
      <c r="E81" s="85" t="s">
        <v>1275</v>
      </c>
      <c r="F81" s="125" t="s">
        <v>1125</v>
      </c>
    </row>
    <row r="82" spans="1:6" ht="55.2">
      <c r="A82" s="3" t="s">
        <v>361</v>
      </c>
      <c r="B82" s="3">
        <v>1</v>
      </c>
      <c r="C82" s="3">
        <v>1</v>
      </c>
      <c r="D82" s="85" t="s">
        <v>1276</v>
      </c>
      <c r="E82" s="85" t="s">
        <v>1277</v>
      </c>
      <c r="F82" s="125" t="s">
        <v>1126</v>
      </c>
    </row>
    <row r="83" spans="1:6" ht="41.4">
      <c r="A83" s="3" t="s">
        <v>364</v>
      </c>
      <c r="B83" s="3">
        <v>1</v>
      </c>
      <c r="C83" s="3">
        <v>1</v>
      </c>
      <c r="D83" s="85" t="s">
        <v>1278</v>
      </c>
      <c r="E83" s="85" t="s">
        <v>1279</v>
      </c>
      <c r="F83" s="125" t="s">
        <v>1127</v>
      </c>
    </row>
    <row r="84" spans="1:6" ht="41.4">
      <c r="A84" s="3" t="s">
        <v>367</v>
      </c>
      <c r="B84" s="3">
        <v>1</v>
      </c>
      <c r="C84" s="3">
        <v>1</v>
      </c>
      <c r="D84" s="85" t="s">
        <v>1280</v>
      </c>
      <c r="E84" s="85" t="s">
        <v>1281</v>
      </c>
      <c r="F84" s="125" t="s">
        <v>1128</v>
      </c>
    </row>
    <row r="85" spans="1:6" ht="69">
      <c r="A85" s="3" t="s">
        <v>371</v>
      </c>
      <c r="B85" s="3">
        <v>1</v>
      </c>
      <c r="C85" s="3">
        <v>1</v>
      </c>
      <c r="D85" s="85" t="s">
        <v>1282</v>
      </c>
      <c r="E85" s="85" t="s">
        <v>1283</v>
      </c>
      <c r="F85" s="125" t="s">
        <v>1077</v>
      </c>
    </row>
    <row r="86" spans="1:6" ht="69">
      <c r="A86" s="3" t="s">
        <v>374</v>
      </c>
      <c r="B86" s="3">
        <v>1</v>
      </c>
      <c r="C86" s="3">
        <v>1</v>
      </c>
      <c r="D86" s="85" t="s">
        <v>1284</v>
      </c>
      <c r="E86" s="85" t="s">
        <v>1285</v>
      </c>
      <c r="F86" s="125" t="s">
        <v>1129</v>
      </c>
    </row>
    <row r="87" spans="1:6" ht="41.4">
      <c r="A87" s="3" t="s">
        <v>376</v>
      </c>
      <c r="B87" s="3">
        <v>1</v>
      </c>
      <c r="C87" s="3">
        <v>1</v>
      </c>
      <c r="D87" s="85" t="s">
        <v>1286</v>
      </c>
      <c r="E87" s="85" t="s">
        <v>1287</v>
      </c>
      <c r="F87" s="125" t="s">
        <v>1130</v>
      </c>
    </row>
    <row r="88" spans="1:6" ht="55.2">
      <c r="A88" s="3" t="s">
        <v>380</v>
      </c>
      <c r="B88" s="3">
        <v>1</v>
      </c>
      <c r="C88" s="3">
        <v>1</v>
      </c>
      <c r="D88" s="85" t="s">
        <v>1288</v>
      </c>
      <c r="E88" s="85" t="s">
        <v>1289</v>
      </c>
      <c r="F88" s="125" t="s">
        <v>1078</v>
      </c>
    </row>
    <row r="89" spans="1:6" ht="110.4">
      <c r="A89" s="3" t="s">
        <v>383</v>
      </c>
      <c r="B89" s="3">
        <v>1</v>
      </c>
      <c r="C89" s="3">
        <v>1</v>
      </c>
      <c r="D89" s="85" t="s">
        <v>1290</v>
      </c>
      <c r="E89" s="85" t="s">
        <v>1291</v>
      </c>
      <c r="F89" s="125" t="s">
        <v>1131</v>
      </c>
    </row>
    <row r="90" spans="1:6" ht="41.4">
      <c r="A90" s="122" t="s">
        <v>136</v>
      </c>
      <c r="B90" s="3">
        <v>1</v>
      </c>
      <c r="C90" s="3">
        <v>1</v>
      </c>
      <c r="D90" s="98" t="s">
        <v>1292</v>
      </c>
      <c r="E90" s="98" t="s">
        <v>1293</v>
      </c>
      <c r="F90" s="125"/>
    </row>
    <row r="91" spans="1:6" ht="27.6">
      <c r="A91" s="122" t="s">
        <v>139</v>
      </c>
      <c r="B91" s="3">
        <v>1</v>
      </c>
      <c r="C91" s="3">
        <v>1</v>
      </c>
      <c r="D91" s="98" t="s">
        <v>1294</v>
      </c>
      <c r="E91" s="98" t="s">
        <v>1295</v>
      </c>
      <c r="F91" s="125"/>
    </row>
    <row r="92" spans="1:6" ht="27.6">
      <c r="A92" s="122" t="s">
        <v>141</v>
      </c>
      <c r="B92" s="3">
        <v>1</v>
      </c>
      <c r="C92" s="3">
        <v>1</v>
      </c>
      <c r="D92" s="98" t="s">
        <v>1296</v>
      </c>
      <c r="E92" s="98" t="s">
        <v>1297</v>
      </c>
      <c r="F92" s="125"/>
    </row>
    <row r="93" spans="1:6" ht="41.4">
      <c r="A93" s="122" t="s">
        <v>143</v>
      </c>
      <c r="B93" s="3">
        <v>1</v>
      </c>
      <c r="C93" s="3">
        <v>1</v>
      </c>
      <c r="D93" s="98" t="s">
        <v>1298</v>
      </c>
      <c r="E93" s="98" t="s">
        <v>1299</v>
      </c>
      <c r="F93" s="125"/>
    </row>
    <row r="94" spans="1:6" ht="69">
      <c r="A94" s="122" t="s">
        <v>145</v>
      </c>
      <c r="B94" s="3">
        <v>1</v>
      </c>
      <c r="C94" s="3">
        <v>1</v>
      </c>
      <c r="D94" s="98" t="s">
        <v>1300</v>
      </c>
      <c r="E94" s="98" t="s">
        <v>1301</v>
      </c>
      <c r="F94" s="125"/>
    </row>
    <row r="95" spans="1:6" ht="55.2">
      <c r="A95" s="122" t="s">
        <v>146</v>
      </c>
      <c r="B95" s="3">
        <v>1</v>
      </c>
      <c r="C95" s="3">
        <v>1</v>
      </c>
      <c r="D95" s="98" t="s">
        <v>1302</v>
      </c>
      <c r="E95" s="98" t="s">
        <v>1303</v>
      </c>
      <c r="F95" s="125"/>
    </row>
    <row r="96" spans="1:6">
      <c r="A96" s="122" t="s">
        <v>148</v>
      </c>
      <c r="B96" s="3">
        <v>1</v>
      </c>
      <c r="C96" s="3">
        <v>1</v>
      </c>
      <c r="D96" s="98" t="s">
        <v>1304</v>
      </c>
      <c r="E96" s="98" t="s">
        <v>1305</v>
      </c>
      <c r="F96" s="125"/>
    </row>
    <row r="97" spans="1:6" ht="69">
      <c r="A97" s="122" t="s">
        <v>150</v>
      </c>
      <c r="B97" s="3">
        <v>1</v>
      </c>
      <c r="C97" s="3">
        <v>1</v>
      </c>
      <c r="D97" s="98" t="s">
        <v>1306</v>
      </c>
      <c r="E97" s="98" t="s">
        <v>1307</v>
      </c>
      <c r="F97" s="125"/>
    </row>
    <row r="98" spans="1:6" ht="69">
      <c r="A98" s="122" t="s">
        <v>152</v>
      </c>
      <c r="B98" s="3">
        <v>1</v>
      </c>
      <c r="C98" s="3">
        <v>1</v>
      </c>
      <c r="D98" s="98" t="s">
        <v>1308</v>
      </c>
      <c r="E98" s="98" t="s">
        <v>1309</v>
      </c>
      <c r="F98" s="125"/>
    </row>
    <row r="99" spans="1:6" ht="41.4">
      <c r="A99" s="122" t="s">
        <v>155</v>
      </c>
      <c r="B99" s="3">
        <v>1</v>
      </c>
      <c r="C99" s="3">
        <v>1</v>
      </c>
      <c r="D99" s="98" t="s">
        <v>1310</v>
      </c>
      <c r="E99" s="98" t="s">
        <v>1311</v>
      </c>
      <c r="F99" s="125"/>
    </row>
    <row r="100" spans="1:6" ht="27.6">
      <c r="A100" s="122" t="s">
        <v>479</v>
      </c>
      <c r="B100" s="3">
        <v>1</v>
      </c>
      <c r="C100" s="3">
        <v>1</v>
      </c>
      <c r="D100" s="98" t="s">
        <v>1312</v>
      </c>
      <c r="E100" s="98" t="s">
        <v>1313</v>
      </c>
      <c r="F100" s="125"/>
    </row>
    <row r="101" spans="1:6" ht="27.6">
      <c r="A101" s="122" t="s">
        <v>481</v>
      </c>
      <c r="B101" s="3">
        <v>1</v>
      </c>
      <c r="C101" s="3">
        <v>1</v>
      </c>
      <c r="D101" s="98" t="s">
        <v>1314</v>
      </c>
      <c r="E101" s="98" t="s">
        <v>1315</v>
      </c>
      <c r="F101" s="125"/>
    </row>
    <row r="102" spans="1:6" ht="27.6">
      <c r="A102" s="122" t="s">
        <v>483</v>
      </c>
      <c r="B102" s="3">
        <v>1</v>
      </c>
      <c r="C102" s="3">
        <v>1</v>
      </c>
      <c r="D102" s="98" t="s">
        <v>1316</v>
      </c>
      <c r="E102" s="98" t="s">
        <v>1317</v>
      </c>
      <c r="F102" s="125"/>
    </row>
    <row r="103" spans="1:6" ht="41.4">
      <c r="A103" s="122" t="s">
        <v>485</v>
      </c>
      <c r="B103" s="3">
        <v>1</v>
      </c>
      <c r="C103" s="3">
        <v>1</v>
      </c>
      <c r="D103" s="98" t="s">
        <v>1318</v>
      </c>
      <c r="E103" s="98" t="s">
        <v>1319</v>
      </c>
      <c r="F103" s="125"/>
    </row>
    <row r="104" spans="1:6" ht="27.6">
      <c r="A104" s="122" t="s">
        <v>487</v>
      </c>
      <c r="B104" s="3">
        <v>1</v>
      </c>
      <c r="C104" s="3">
        <v>1</v>
      </c>
      <c r="D104" s="98" t="s">
        <v>1320</v>
      </c>
      <c r="E104" s="98" t="s">
        <v>1321</v>
      </c>
      <c r="F104" s="125"/>
    </row>
    <row r="105" spans="1:6" ht="27.6">
      <c r="A105" s="122" t="s">
        <v>489</v>
      </c>
      <c r="B105" s="3">
        <v>1</v>
      </c>
      <c r="C105" s="3">
        <v>1</v>
      </c>
      <c r="D105" s="98" t="s">
        <v>1322</v>
      </c>
      <c r="E105" s="98" t="s">
        <v>1323</v>
      </c>
      <c r="F105" s="125"/>
    </row>
    <row r="106" spans="1:6" ht="27.6">
      <c r="A106" s="122" t="s">
        <v>491</v>
      </c>
      <c r="B106" s="3">
        <v>1</v>
      </c>
      <c r="C106" s="3">
        <v>1</v>
      </c>
      <c r="D106" s="98" t="s">
        <v>1324</v>
      </c>
      <c r="E106" s="98" t="s">
        <v>1325</v>
      </c>
      <c r="F106" s="125"/>
    </row>
    <row r="107" spans="1:6" ht="55.2">
      <c r="A107" s="122" t="s">
        <v>493</v>
      </c>
      <c r="B107" s="3">
        <v>1</v>
      </c>
      <c r="C107" s="3">
        <v>1</v>
      </c>
      <c r="D107" s="98" t="s">
        <v>1326</v>
      </c>
      <c r="E107" s="98" t="s">
        <v>1327</v>
      </c>
      <c r="F107" s="125"/>
    </row>
    <row r="108" spans="1:6" ht="41.4">
      <c r="A108" s="122" t="s">
        <v>495</v>
      </c>
      <c r="B108" s="3">
        <v>1</v>
      </c>
      <c r="C108" s="3">
        <v>1</v>
      </c>
      <c r="D108" s="98" t="s">
        <v>1328</v>
      </c>
      <c r="E108" s="98" t="s">
        <v>1329</v>
      </c>
      <c r="F108" s="125"/>
    </row>
    <row r="109" spans="1:6" ht="41.4">
      <c r="A109" s="122" t="s">
        <v>497</v>
      </c>
      <c r="B109" s="3">
        <v>1</v>
      </c>
      <c r="C109" s="3">
        <v>1</v>
      </c>
      <c r="D109" s="98" t="s">
        <v>1330</v>
      </c>
      <c r="E109" s="98" t="s">
        <v>1331</v>
      </c>
      <c r="F109" s="125"/>
    </row>
    <row r="110" spans="1:6" ht="41.4">
      <c r="A110" s="122" t="s">
        <v>499</v>
      </c>
      <c r="B110" s="3">
        <v>1</v>
      </c>
      <c r="C110" s="3">
        <v>1</v>
      </c>
      <c r="D110" s="98" t="s">
        <v>1332</v>
      </c>
      <c r="E110" s="98" t="s">
        <v>1333</v>
      </c>
      <c r="F110" s="125"/>
    </row>
    <row r="111" spans="1:6" ht="27.6">
      <c r="A111" s="122" t="s">
        <v>499</v>
      </c>
      <c r="B111" s="3">
        <v>1</v>
      </c>
      <c r="C111" s="3">
        <v>2</v>
      </c>
      <c r="D111" s="98" t="s">
        <v>1334</v>
      </c>
      <c r="E111" s="98" t="s">
        <v>1335</v>
      </c>
      <c r="F111" s="125"/>
    </row>
    <row r="112" spans="1:6" ht="55.2">
      <c r="A112" s="122" t="s">
        <v>500</v>
      </c>
      <c r="B112" s="3">
        <v>1</v>
      </c>
      <c r="C112" s="3">
        <v>1</v>
      </c>
      <c r="D112" s="98" t="s">
        <v>1336</v>
      </c>
      <c r="E112" s="98" t="s">
        <v>1337</v>
      </c>
      <c r="F112" s="125"/>
    </row>
    <row r="113" spans="1:6" ht="27.6">
      <c r="A113" s="122" t="s">
        <v>502</v>
      </c>
      <c r="B113" s="3">
        <v>1</v>
      </c>
      <c r="C113" s="3">
        <v>1</v>
      </c>
      <c r="D113" s="98" t="s">
        <v>1338</v>
      </c>
      <c r="E113" s="98" t="s">
        <v>1339</v>
      </c>
      <c r="F113" s="125"/>
    </row>
    <row r="114" spans="1:6" ht="41.4">
      <c r="A114" s="122" t="s">
        <v>504</v>
      </c>
      <c r="B114" s="3">
        <v>1</v>
      </c>
      <c r="C114" s="3">
        <v>1</v>
      </c>
      <c r="D114" s="98" t="s">
        <v>1340</v>
      </c>
      <c r="E114" s="98" t="s">
        <v>1341</v>
      </c>
      <c r="F114" s="125"/>
    </row>
    <row r="115" spans="1:6" ht="110.4">
      <c r="A115" s="122" t="s">
        <v>506</v>
      </c>
      <c r="B115" s="3">
        <v>1</v>
      </c>
      <c r="C115" s="3">
        <v>1</v>
      </c>
      <c r="D115" s="98" t="s">
        <v>1342</v>
      </c>
      <c r="E115" s="98" t="s">
        <v>1343</v>
      </c>
      <c r="F115" s="125"/>
    </row>
    <row r="116" spans="1:6" ht="55.2">
      <c r="A116" s="3" t="s">
        <v>197</v>
      </c>
      <c r="B116" s="3">
        <v>1</v>
      </c>
      <c r="C116" s="3">
        <v>1</v>
      </c>
      <c r="D116" s="85" t="s">
        <v>1344</v>
      </c>
      <c r="E116" s="85" t="s">
        <v>1345</v>
      </c>
      <c r="F116" s="125"/>
    </row>
    <row r="117" spans="1:6" ht="41.4">
      <c r="A117" s="3" t="s">
        <v>199</v>
      </c>
      <c r="B117" s="3">
        <v>1</v>
      </c>
      <c r="C117" s="3">
        <v>1</v>
      </c>
      <c r="D117" s="85" t="s">
        <v>1346</v>
      </c>
      <c r="E117" s="85" t="s">
        <v>1347</v>
      </c>
      <c r="F117" s="125"/>
    </row>
    <row r="118" spans="1:6" ht="41.4">
      <c r="A118" s="3" t="s">
        <v>201</v>
      </c>
      <c r="B118" s="3">
        <v>1</v>
      </c>
      <c r="C118" s="3">
        <v>1</v>
      </c>
      <c r="D118" s="85" t="s">
        <v>1348</v>
      </c>
      <c r="E118" s="85" t="s">
        <v>1349</v>
      </c>
      <c r="F118" s="125"/>
    </row>
    <row r="119" spans="1:6" ht="41.4">
      <c r="A119" s="3" t="s">
        <v>203</v>
      </c>
      <c r="B119" s="3">
        <v>1</v>
      </c>
      <c r="C119" s="3">
        <v>1</v>
      </c>
      <c r="D119" s="85" t="s">
        <v>1350</v>
      </c>
      <c r="E119" s="85" t="s">
        <v>1351</v>
      </c>
      <c r="F119" s="125" t="s">
        <v>1132</v>
      </c>
    </row>
    <row r="120" spans="1:6" ht="27.6">
      <c r="A120" s="3" t="s">
        <v>205</v>
      </c>
      <c r="B120" s="3">
        <v>1</v>
      </c>
      <c r="C120" s="3">
        <v>1</v>
      </c>
      <c r="D120" s="85" t="s">
        <v>1352</v>
      </c>
      <c r="E120" s="85" t="s">
        <v>1353</v>
      </c>
      <c r="F120" s="125"/>
    </row>
    <row r="121" spans="1:6" ht="82.8">
      <c r="A121" s="3" t="s">
        <v>207</v>
      </c>
      <c r="B121" s="3">
        <v>1</v>
      </c>
      <c r="C121" s="3">
        <v>1</v>
      </c>
      <c r="D121" s="85" t="s">
        <v>1354</v>
      </c>
      <c r="E121" s="85" t="s">
        <v>1355</v>
      </c>
      <c r="F121" s="125" t="s">
        <v>1133</v>
      </c>
    </row>
    <row r="122" spans="1:6" ht="27.6">
      <c r="A122" s="122" t="s">
        <v>212</v>
      </c>
      <c r="B122" s="3">
        <v>1</v>
      </c>
      <c r="C122" s="3">
        <v>1</v>
      </c>
      <c r="D122" s="98" t="s">
        <v>1356</v>
      </c>
      <c r="E122" s="98" t="s">
        <v>1357</v>
      </c>
      <c r="F122" s="125"/>
    </row>
    <row r="123" spans="1:6" ht="55.2">
      <c r="A123" s="122" t="s">
        <v>214</v>
      </c>
      <c r="B123" s="3">
        <v>1</v>
      </c>
      <c r="C123" s="3">
        <v>1</v>
      </c>
      <c r="D123" s="98" t="s">
        <v>1358</v>
      </c>
      <c r="E123" s="98" t="s">
        <v>1359</v>
      </c>
      <c r="F123" s="125"/>
    </row>
    <row r="124" spans="1:6" ht="69">
      <c r="A124" s="122" t="s">
        <v>216</v>
      </c>
      <c r="B124" s="3">
        <v>1</v>
      </c>
      <c r="C124" s="3">
        <v>1</v>
      </c>
      <c r="D124" s="98" t="s">
        <v>1360</v>
      </c>
      <c r="E124" s="98" t="s">
        <v>1361</v>
      </c>
      <c r="F124" s="125"/>
    </row>
    <row r="125" spans="1:6" ht="55.2">
      <c r="A125" s="122" t="s">
        <v>218</v>
      </c>
      <c r="B125" s="3">
        <v>1</v>
      </c>
      <c r="C125" s="3">
        <v>1</v>
      </c>
      <c r="D125" s="98" t="s">
        <v>1362</v>
      </c>
      <c r="E125" s="98" t="s">
        <v>1363</v>
      </c>
      <c r="F125" s="125"/>
    </row>
    <row r="126" spans="1:6" ht="69">
      <c r="A126" s="122" t="s">
        <v>220</v>
      </c>
      <c r="B126" s="3">
        <v>1</v>
      </c>
      <c r="C126" s="3">
        <v>1</v>
      </c>
      <c r="D126" s="98" t="s">
        <v>1364</v>
      </c>
      <c r="E126" s="98" t="s">
        <v>1365</v>
      </c>
      <c r="F126" s="125"/>
    </row>
    <row r="127" spans="1:6" ht="55.2">
      <c r="A127" s="122" t="s">
        <v>222</v>
      </c>
      <c r="B127" s="3">
        <v>1</v>
      </c>
      <c r="C127" s="3">
        <v>1</v>
      </c>
      <c r="D127" s="122" t="s">
        <v>1366</v>
      </c>
      <c r="E127" s="122" t="s">
        <v>1367</v>
      </c>
      <c r="F127" s="125"/>
    </row>
    <row r="128" spans="1:6" ht="55.2">
      <c r="A128" s="122" t="s">
        <v>223</v>
      </c>
      <c r="B128" s="3">
        <v>1</v>
      </c>
      <c r="C128" s="3">
        <v>1</v>
      </c>
      <c r="D128" s="122" t="s">
        <v>1368</v>
      </c>
      <c r="E128" s="122" t="s">
        <v>1369</v>
      </c>
      <c r="F128" s="125"/>
    </row>
    <row r="129" spans="1:6" ht="55.2">
      <c r="A129" s="122" t="s">
        <v>224</v>
      </c>
      <c r="B129" s="3">
        <v>1</v>
      </c>
      <c r="C129" s="3">
        <v>1</v>
      </c>
      <c r="D129" s="122" t="s">
        <v>1370</v>
      </c>
      <c r="E129" s="122" t="s">
        <v>1371</v>
      </c>
      <c r="F129" s="125"/>
    </row>
    <row r="130" spans="1:6" ht="41.4">
      <c r="A130" s="122" t="s">
        <v>225</v>
      </c>
      <c r="B130" s="3">
        <v>1</v>
      </c>
      <c r="C130" s="3">
        <v>1</v>
      </c>
      <c r="D130" s="98" t="s">
        <v>1372</v>
      </c>
      <c r="E130" s="98" t="s">
        <v>1373</v>
      </c>
      <c r="F130" s="125"/>
    </row>
    <row r="131" spans="1:6" ht="27.6">
      <c r="A131" s="122" t="s">
        <v>227</v>
      </c>
      <c r="B131" s="3">
        <v>1</v>
      </c>
      <c r="C131" s="3">
        <v>1</v>
      </c>
      <c r="D131" s="98" t="s">
        <v>1374</v>
      </c>
      <c r="E131" s="98" t="s">
        <v>1375</v>
      </c>
      <c r="F131" s="125"/>
    </row>
    <row r="132" spans="1:6" ht="41.4">
      <c r="A132" s="122" t="s">
        <v>229</v>
      </c>
      <c r="B132" s="3">
        <v>1</v>
      </c>
      <c r="C132" s="3">
        <v>1</v>
      </c>
      <c r="D132" s="98" t="s">
        <v>1376</v>
      </c>
      <c r="E132" s="98" t="s">
        <v>1377</v>
      </c>
      <c r="F132" s="125"/>
    </row>
    <row r="133" spans="1:6" ht="27.6">
      <c r="A133" s="122" t="s">
        <v>231</v>
      </c>
      <c r="B133" s="3">
        <v>1</v>
      </c>
      <c r="C133" s="3">
        <v>1</v>
      </c>
      <c r="D133" s="98" t="s">
        <v>1378</v>
      </c>
      <c r="E133" s="98" t="s">
        <v>1379</v>
      </c>
      <c r="F133" s="125"/>
    </row>
    <row r="134" spans="1:6" ht="27.6">
      <c r="A134" s="122" t="s">
        <v>233</v>
      </c>
      <c r="B134" s="3">
        <v>1</v>
      </c>
      <c r="C134" s="3">
        <v>1</v>
      </c>
      <c r="D134" s="98" t="s">
        <v>1380</v>
      </c>
      <c r="E134" s="98" t="s">
        <v>1381</v>
      </c>
      <c r="F134" s="125"/>
    </row>
    <row r="135" spans="1:6" ht="69">
      <c r="A135" s="122" t="s">
        <v>235</v>
      </c>
      <c r="B135" s="3">
        <v>1</v>
      </c>
      <c r="C135" s="3">
        <v>1</v>
      </c>
      <c r="D135" s="98" t="s">
        <v>1382</v>
      </c>
      <c r="E135" s="98" t="s">
        <v>1383</v>
      </c>
      <c r="F135" s="125"/>
    </row>
    <row r="136" spans="1:6" ht="41.4">
      <c r="A136" s="122" t="s">
        <v>390</v>
      </c>
      <c r="B136" s="3">
        <v>1</v>
      </c>
      <c r="C136" s="3">
        <v>1</v>
      </c>
      <c r="D136" s="85" t="s">
        <v>1384</v>
      </c>
      <c r="E136" s="85" t="s">
        <v>1385</v>
      </c>
      <c r="F136" s="125"/>
    </row>
    <row r="137" spans="1:6" ht="27.6">
      <c r="A137" s="122" t="s">
        <v>392</v>
      </c>
      <c r="B137" s="3">
        <v>1</v>
      </c>
      <c r="C137" s="3">
        <v>1</v>
      </c>
      <c r="D137" s="85" t="s">
        <v>1386</v>
      </c>
      <c r="E137" s="85" t="s">
        <v>1387</v>
      </c>
      <c r="F137" s="125"/>
    </row>
    <row r="138" spans="1:6" ht="55.2">
      <c r="A138" s="122" t="s">
        <v>394</v>
      </c>
      <c r="B138" s="3">
        <v>1</v>
      </c>
      <c r="C138" s="3">
        <v>1</v>
      </c>
      <c r="D138" s="85" t="s">
        <v>1388</v>
      </c>
      <c r="E138" s="85" t="s">
        <v>1389</v>
      </c>
      <c r="F138" s="125"/>
    </row>
    <row r="139" spans="1:6" ht="27.6">
      <c r="A139" s="122" t="s">
        <v>396</v>
      </c>
      <c r="B139" s="3">
        <v>1</v>
      </c>
      <c r="C139" s="3">
        <v>1</v>
      </c>
      <c r="D139" s="85" t="s">
        <v>1390</v>
      </c>
      <c r="E139" s="85" t="s">
        <v>1391</v>
      </c>
      <c r="F139" s="125"/>
    </row>
    <row r="140" spans="1:6" ht="41.4">
      <c r="A140" s="122" t="s">
        <v>398</v>
      </c>
      <c r="B140" s="3">
        <v>1</v>
      </c>
      <c r="C140" s="3">
        <v>1</v>
      </c>
      <c r="D140" s="85" t="s">
        <v>1392</v>
      </c>
      <c r="E140" s="85" t="s">
        <v>1393</v>
      </c>
      <c r="F140" s="125"/>
    </row>
    <row r="141" spans="1:6" ht="41.4">
      <c r="A141" s="122" t="s">
        <v>400</v>
      </c>
      <c r="B141" s="3">
        <v>1</v>
      </c>
      <c r="C141" s="3">
        <v>1</v>
      </c>
      <c r="D141" s="85" t="s">
        <v>1394</v>
      </c>
      <c r="E141" s="85" t="s">
        <v>1395</v>
      </c>
      <c r="F141" s="125"/>
    </row>
    <row r="142" spans="1:6" ht="41.4">
      <c r="A142" s="122" t="s">
        <v>402</v>
      </c>
      <c r="B142" s="3">
        <v>1</v>
      </c>
      <c r="C142" s="3">
        <v>1</v>
      </c>
      <c r="D142" s="85" t="s">
        <v>1396</v>
      </c>
      <c r="E142" s="85" t="s">
        <v>1397</v>
      </c>
      <c r="F142" s="125"/>
    </row>
    <row r="143" spans="1:6" ht="41.4">
      <c r="A143" s="122" t="s">
        <v>404</v>
      </c>
      <c r="B143" s="3">
        <v>1</v>
      </c>
      <c r="C143" s="3">
        <v>1</v>
      </c>
      <c r="D143" s="85" t="s">
        <v>1398</v>
      </c>
      <c r="E143" s="85" t="s">
        <v>1399</v>
      </c>
      <c r="F143" s="125"/>
    </row>
    <row r="144" spans="1:6" ht="27.6">
      <c r="A144" s="122" t="s">
        <v>1033</v>
      </c>
      <c r="B144" s="3">
        <v>1</v>
      </c>
      <c r="C144" s="3">
        <v>1</v>
      </c>
      <c r="D144" s="98" t="s">
        <v>1400</v>
      </c>
      <c r="E144" s="98" t="s">
        <v>1401</v>
      </c>
      <c r="F144" s="125"/>
    </row>
    <row r="145" spans="1:6" ht="27.6">
      <c r="A145" s="122" t="s">
        <v>1036</v>
      </c>
      <c r="B145" s="3">
        <v>1</v>
      </c>
      <c r="C145" s="3">
        <v>1</v>
      </c>
      <c r="D145" s="98" t="s">
        <v>1402</v>
      </c>
      <c r="E145" s="98" t="s">
        <v>1403</v>
      </c>
      <c r="F145" s="125"/>
    </row>
    <row r="146" spans="1:6" ht="27.6">
      <c r="A146" s="122" t="s">
        <v>1039</v>
      </c>
      <c r="B146" s="3">
        <v>1</v>
      </c>
      <c r="C146" s="3">
        <v>1</v>
      </c>
      <c r="D146" s="98" t="s">
        <v>1404</v>
      </c>
      <c r="E146" s="98" t="s">
        <v>1405</v>
      </c>
      <c r="F146" s="125"/>
    </row>
    <row r="147" spans="1:6" ht="55.2">
      <c r="A147" s="122" t="s">
        <v>1042</v>
      </c>
      <c r="B147" s="3">
        <v>1</v>
      </c>
      <c r="C147" s="3">
        <v>1</v>
      </c>
      <c r="D147" s="98" t="s">
        <v>1406</v>
      </c>
      <c r="E147" s="98" t="s">
        <v>1407</v>
      </c>
      <c r="F147" s="125"/>
    </row>
    <row r="148" spans="1:6" ht="41.4">
      <c r="A148" s="122" t="s">
        <v>1045</v>
      </c>
      <c r="B148" s="3">
        <v>1</v>
      </c>
      <c r="C148" s="3">
        <v>1</v>
      </c>
      <c r="D148" s="98" t="s">
        <v>1408</v>
      </c>
      <c r="E148" s="98" t="s">
        <v>1409</v>
      </c>
      <c r="F148" s="125"/>
    </row>
    <row r="149" spans="1:6" ht="55.2">
      <c r="A149" s="122" t="s">
        <v>1048</v>
      </c>
      <c r="B149" s="3">
        <v>1</v>
      </c>
      <c r="C149" s="3">
        <v>1</v>
      </c>
      <c r="D149" s="98" t="s">
        <v>1410</v>
      </c>
      <c r="E149" s="98" t="s">
        <v>1411</v>
      </c>
      <c r="F149" s="125"/>
    </row>
    <row r="150" spans="1:6" ht="55.2">
      <c r="A150" s="122" t="s">
        <v>1051</v>
      </c>
      <c r="B150" s="3">
        <v>1</v>
      </c>
      <c r="C150" s="3">
        <v>1</v>
      </c>
      <c r="D150" s="98" t="s">
        <v>1412</v>
      </c>
      <c r="E150" s="98" t="s">
        <v>1413</v>
      </c>
      <c r="F150" s="125"/>
    </row>
    <row r="151" spans="1:6" ht="69">
      <c r="A151" s="122" t="s">
        <v>1054</v>
      </c>
      <c r="B151" s="3">
        <v>1</v>
      </c>
      <c r="C151" s="3">
        <v>1</v>
      </c>
      <c r="D151" s="98" t="s">
        <v>1414</v>
      </c>
      <c r="E151" s="98" t="s">
        <v>1415</v>
      </c>
      <c r="F151" s="125"/>
    </row>
    <row r="152" spans="1:6" ht="69">
      <c r="A152" s="122" t="s">
        <v>1057</v>
      </c>
      <c r="B152" s="3">
        <v>1</v>
      </c>
      <c r="C152" s="3">
        <v>1</v>
      </c>
      <c r="D152" s="98" t="s">
        <v>1416</v>
      </c>
      <c r="E152" s="98" t="s">
        <v>1417</v>
      </c>
      <c r="F152" s="125"/>
    </row>
    <row r="153" spans="1:6" ht="27.6">
      <c r="A153" s="122" t="s">
        <v>159</v>
      </c>
      <c r="B153" s="3">
        <v>1</v>
      </c>
      <c r="C153" s="3">
        <v>1</v>
      </c>
      <c r="D153" s="98" t="s">
        <v>1418</v>
      </c>
      <c r="E153" s="98" t="s">
        <v>1419</v>
      </c>
      <c r="F153" s="125"/>
    </row>
    <row r="154" spans="1:6" ht="41.4">
      <c r="A154" s="122" t="s">
        <v>161</v>
      </c>
      <c r="B154" s="3">
        <v>1</v>
      </c>
      <c r="C154" s="3">
        <v>1</v>
      </c>
      <c r="D154" s="98" t="s">
        <v>1420</v>
      </c>
      <c r="E154" s="98" t="s">
        <v>1421</v>
      </c>
      <c r="F154" s="125"/>
    </row>
    <row r="155" spans="1:6" ht="41.4">
      <c r="A155" s="122" t="s">
        <v>163</v>
      </c>
      <c r="B155" s="3">
        <v>1</v>
      </c>
      <c r="C155" s="3">
        <v>1</v>
      </c>
      <c r="D155" s="98" t="s">
        <v>1422</v>
      </c>
      <c r="E155" s="98" t="s">
        <v>1423</v>
      </c>
      <c r="F155" s="125"/>
    </row>
    <row r="156" spans="1:6" ht="55.2">
      <c r="A156" s="122" t="s">
        <v>165</v>
      </c>
      <c r="B156" s="3">
        <v>1</v>
      </c>
      <c r="C156" s="3">
        <v>1</v>
      </c>
      <c r="D156" s="98" t="s">
        <v>1424</v>
      </c>
      <c r="E156" s="98" t="s">
        <v>1425</v>
      </c>
      <c r="F156" s="125"/>
    </row>
    <row r="157" spans="1:6" ht="27.6">
      <c r="A157" s="122" t="s">
        <v>167</v>
      </c>
      <c r="B157" s="3">
        <v>1</v>
      </c>
      <c r="C157" s="3">
        <v>1</v>
      </c>
      <c r="D157" s="98" t="s">
        <v>1426</v>
      </c>
      <c r="E157" s="98" t="s">
        <v>1427</v>
      </c>
      <c r="F157" s="125"/>
    </row>
    <row r="158" spans="1:6" ht="41.4">
      <c r="A158" s="122" t="s">
        <v>169</v>
      </c>
      <c r="B158" s="3">
        <v>1</v>
      </c>
      <c r="C158" s="3">
        <v>1</v>
      </c>
      <c r="D158" s="98" t="s">
        <v>1428</v>
      </c>
      <c r="E158" s="98" t="s">
        <v>1429</v>
      </c>
      <c r="F158" s="125"/>
    </row>
    <row r="159" spans="1:6" ht="27.6">
      <c r="A159" s="122" t="s">
        <v>171</v>
      </c>
      <c r="B159" s="3">
        <v>1</v>
      </c>
      <c r="C159" s="3">
        <v>1</v>
      </c>
      <c r="D159" s="98" t="s">
        <v>1430</v>
      </c>
      <c r="E159" s="98" t="s">
        <v>1431</v>
      </c>
      <c r="F159" s="125"/>
    </row>
    <row r="160" spans="1:6" ht="27.6">
      <c r="A160" s="122" t="s">
        <v>173</v>
      </c>
      <c r="B160" s="3">
        <v>1</v>
      </c>
      <c r="C160" s="3">
        <v>1</v>
      </c>
      <c r="D160" s="98" t="s">
        <v>1432</v>
      </c>
      <c r="E160" s="98" t="s">
        <v>1433</v>
      </c>
      <c r="F160" s="125"/>
    </row>
    <row r="161" spans="1:6" ht="41.4">
      <c r="A161" s="122" t="s">
        <v>175</v>
      </c>
      <c r="B161" s="3">
        <v>1</v>
      </c>
      <c r="C161" s="3">
        <v>1</v>
      </c>
      <c r="D161" s="98" t="s">
        <v>1434</v>
      </c>
      <c r="E161" s="98" t="s">
        <v>1435</v>
      </c>
      <c r="F161" s="125"/>
    </row>
    <row r="162" spans="1:6" ht="41.4">
      <c r="A162" s="122" t="s">
        <v>177</v>
      </c>
      <c r="B162" s="3">
        <v>1</v>
      </c>
      <c r="C162" s="3">
        <v>1</v>
      </c>
      <c r="D162" s="122" t="s">
        <v>1436</v>
      </c>
      <c r="E162" s="122" t="s">
        <v>1437</v>
      </c>
      <c r="F162" s="125"/>
    </row>
    <row r="163" spans="1:6" ht="41.4">
      <c r="A163" s="122" t="s">
        <v>240</v>
      </c>
      <c r="B163" s="3">
        <v>1</v>
      </c>
      <c r="C163" s="3">
        <v>1</v>
      </c>
      <c r="D163" s="98" t="s">
        <v>1438</v>
      </c>
      <c r="E163" s="98" t="s">
        <v>1439</v>
      </c>
      <c r="F163" s="125"/>
    </row>
    <row r="164" spans="1:6" ht="41.4">
      <c r="A164" s="122" t="s">
        <v>241</v>
      </c>
      <c r="B164" s="3">
        <v>1</v>
      </c>
      <c r="C164" s="3">
        <v>1</v>
      </c>
      <c r="D164" s="98" t="s">
        <v>1440</v>
      </c>
      <c r="E164" s="98" t="s">
        <v>1441</v>
      </c>
      <c r="F164" s="125"/>
    </row>
    <row r="165" spans="1:6" ht="55.2">
      <c r="A165" s="122" t="s">
        <v>243</v>
      </c>
      <c r="B165" s="3">
        <v>1</v>
      </c>
      <c r="C165" s="3">
        <v>1</v>
      </c>
      <c r="D165" s="98" t="s">
        <v>1442</v>
      </c>
      <c r="E165" s="98" t="s">
        <v>1443</v>
      </c>
      <c r="F165" s="125"/>
    </row>
    <row r="166" spans="1:6" ht="55.2">
      <c r="A166" s="122" t="s">
        <v>245</v>
      </c>
      <c r="B166" s="3">
        <v>1</v>
      </c>
      <c r="C166" s="3">
        <v>1</v>
      </c>
      <c r="D166" s="98" t="s">
        <v>1444</v>
      </c>
      <c r="E166" s="98" t="s">
        <v>1445</v>
      </c>
      <c r="F166" s="125"/>
    </row>
    <row r="167" spans="1:6" ht="27.6">
      <c r="A167" s="122" t="s">
        <v>247</v>
      </c>
      <c r="B167" s="3">
        <v>1</v>
      </c>
      <c r="C167" s="3">
        <v>1</v>
      </c>
      <c r="D167" s="98" t="s">
        <v>1446</v>
      </c>
      <c r="E167" s="98" t="s">
        <v>1447</v>
      </c>
      <c r="F167" s="125"/>
    </row>
    <row r="168" spans="1:6" ht="27.6">
      <c r="A168" s="122" t="s">
        <v>247</v>
      </c>
      <c r="B168" s="3">
        <v>1</v>
      </c>
      <c r="C168" s="3">
        <v>2</v>
      </c>
      <c r="D168" s="98" t="s">
        <v>1448</v>
      </c>
      <c r="E168" s="98" t="s">
        <v>1449</v>
      </c>
      <c r="F168" s="125"/>
    </row>
    <row r="169" spans="1:6" ht="27.6">
      <c r="A169" s="122" t="s">
        <v>248</v>
      </c>
      <c r="B169" s="3">
        <v>1</v>
      </c>
      <c r="C169" s="3">
        <v>1</v>
      </c>
      <c r="D169" s="98" t="s">
        <v>1450</v>
      </c>
      <c r="E169" s="98" t="s">
        <v>1451</v>
      </c>
      <c r="F169" s="125"/>
    </row>
    <row r="170" spans="1:6" ht="27.6">
      <c r="A170" s="122" t="s">
        <v>248</v>
      </c>
      <c r="B170" s="3">
        <v>1</v>
      </c>
      <c r="C170" s="3">
        <v>2</v>
      </c>
      <c r="D170" s="98" t="s">
        <v>1452</v>
      </c>
      <c r="E170" s="98" t="s">
        <v>1449</v>
      </c>
      <c r="F170" s="125"/>
    </row>
    <row r="171" spans="1:6" ht="27.6">
      <c r="A171" s="122" t="s">
        <v>249</v>
      </c>
      <c r="B171" s="3">
        <v>1</v>
      </c>
      <c r="C171" s="3">
        <v>1</v>
      </c>
      <c r="D171" s="98" t="s">
        <v>1453</v>
      </c>
      <c r="E171" s="98" t="s">
        <v>1454</v>
      </c>
      <c r="F171" s="125"/>
    </row>
    <row r="172" spans="1:6" ht="27.6">
      <c r="A172" s="122" t="s">
        <v>249</v>
      </c>
      <c r="B172" s="3">
        <v>1</v>
      </c>
      <c r="C172" s="3">
        <v>2</v>
      </c>
      <c r="D172" s="98" t="s">
        <v>1455</v>
      </c>
      <c r="E172" s="98" t="s">
        <v>1456</v>
      </c>
      <c r="F172" s="125"/>
    </row>
  </sheetData>
  <sortState xmlns:xlrd2="http://schemas.microsoft.com/office/spreadsheetml/2017/richdata2" ref="A1:J172">
    <sortCondition ref="A1:A1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2:D7"/>
  <sheetViews>
    <sheetView workbookViewId="0">
      <selection activeCell="C26" sqref="C26"/>
    </sheetView>
    <sheetView workbookViewId="1"/>
  </sheetViews>
  <sheetFormatPr defaultColWidth="8.77734375" defaultRowHeight="14.4"/>
  <cols>
    <col min="1" max="1" width="8.77734375" style="14"/>
    <col min="2" max="2" width="9.77734375" style="14" bestFit="1" customWidth="1"/>
    <col min="3" max="3" width="118.21875" style="14" customWidth="1"/>
    <col min="4" max="4" width="22.6640625" style="14" customWidth="1"/>
    <col min="5" max="16384" width="8.77734375" style="14"/>
  </cols>
  <sheetData>
    <row r="2" spans="1:4" ht="28.8">
      <c r="A2" s="14" t="s">
        <v>0</v>
      </c>
      <c r="B2" s="14" t="s">
        <v>1</v>
      </c>
      <c r="C2" s="14" t="s">
        <v>2</v>
      </c>
      <c r="D2" s="14" t="s">
        <v>3</v>
      </c>
    </row>
    <row r="3" spans="1:4" ht="28.8">
      <c r="A3" s="14">
        <v>8</v>
      </c>
      <c r="B3" s="15">
        <v>44346</v>
      </c>
      <c r="C3" s="14" t="s">
        <v>4</v>
      </c>
      <c r="D3" s="14" t="s">
        <v>5</v>
      </c>
    </row>
    <row r="4" spans="1:4">
      <c r="A4" s="14">
        <v>10</v>
      </c>
      <c r="B4" s="15">
        <v>44566</v>
      </c>
      <c r="C4" s="14" t="s">
        <v>6</v>
      </c>
      <c r="D4" s="14" t="s">
        <v>7</v>
      </c>
    </row>
    <row r="5" spans="1:4">
      <c r="A5" s="14">
        <v>12</v>
      </c>
      <c r="B5" s="15">
        <v>44217</v>
      </c>
      <c r="C5" s="14" t="s">
        <v>623</v>
      </c>
      <c r="D5" s="14" t="s">
        <v>624</v>
      </c>
    </row>
    <row r="6" spans="1:4">
      <c r="A6" s="14">
        <v>13</v>
      </c>
      <c r="B6" s="15">
        <v>44667</v>
      </c>
      <c r="C6" s="14" t="s">
        <v>625</v>
      </c>
      <c r="D6" s="14" t="s">
        <v>5</v>
      </c>
    </row>
    <row r="7" spans="1:4">
      <c r="A7" s="24" t="s">
        <v>626</v>
      </c>
      <c r="B7" s="15">
        <v>44675</v>
      </c>
      <c r="C7" s="24" t="s">
        <v>627</v>
      </c>
      <c r="D7" s="24" t="s">
        <v>5</v>
      </c>
    </row>
  </sheetData>
  <phoneticPr fontId="28"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6"/>
  <sheetViews>
    <sheetView workbookViewId="0">
      <selection activeCell="I11" sqref="I11:J14"/>
    </sheetView>
    <sheetView workbookViewId="1"/>
  </sheetViews>
  <sheetFormatPr defaultColWidth="8.77734375" defaultRowHeight="15.6"/>
  <cols>
    <col min="1" max="16384" width="8.77734375" style="26"/>
  </cols>
  <sheetData>
    <row r="2" spans="2:3">
      <c r="B2" s="26" t="s">
        <v>8</v>
      </c>
    </row>
    <row r="3" spans="2:3">
      <c r="C3" s="26" t="s">
        <v>9</v>
      </c>
    </row>
    <row r="4" spans="2:3">
      <c r="C4" s="26" t="s">
        <v>10</v>
      </c>
    </row>
    <row r="5" spans="2:3">
      <c r="C5" s="26" t="s">
        <v>630</v>
      </c>
    </row>
    <row r="6" spans="2:3">
      <c r="C6" s="26" t="s">
        <v>11</v>
      </c>
    </row>
    <row r="7" spans="2:3">
      <c r="C7" s="26" t="s">
        <v>12</v>
      </c>
    </row>
    <row r="8" spans="2:3">
      <c r="C8" s="26" t="s">
        <v>13</v>
      </c>
    </row>
    <row r="9" spans="2:3">
      <c r="C9" s="26" t="s">
        <v>14</v>
      </c>
    </row>
    <row r="10" spans="2:3">
      <c r="C10" s="26" t="s">
        <v>15</v>
      </c>
    </row>
    <row r="11" spans="2:3">
      <c r="C11" s="26" t="s">
        <v>16</v>
      </c>
    </row>
    <row r="13" spans="2:3">
      <c r="B13" s="26" t="s">
        <v>17</v>
      </c>
    </row>
    <row r="14" spans="2:3">
      <c r="C14" s="26" t="s">
        <v>18</v>
      </c>
    </row>
    <row r="15" spans="2:3">
      <c r="C15" s="27" t="s">
        <v>631</v>
      </c>
    </row>
    <row r="16" spans="2:3">
      <c r="C16" s="27" t="s">
        <v>632</v>
      </c>
    </row>
    <row r="17" spans="2:3">
      <c r="C17" s="26" t="s">
        <v>633</v>
      </c>
    </row>
    <row r="18" spans="2:3">
      <c r="C18" s="27" t="s">
        <v>19</v>
      </c>
    </row>
    <row r="19" spans="2:3">
      <c r="C19" s="27" t="s">
        <v>20</v>
      </c>
    </row>
    <row r="20" spans="2:3">
      <c r="C20" s="26" t="s">
        <v>21</v>
      </c>
    </row>
    <row r="21" spans="2:3">
      <c r="C21" s="26" t="s">
        <v>22</v>
      </c>
    </row>
    <row r="22" spans="2:3">
      <c r="C22" s="26" t="s">
        <v>23</v>
      </c>
    </row>
    <row r="25" spans="2:3">
      <c r="B25" s="26" t="s">
        <v>634</v>
      </c>
    </row>
    <row r="26" spans="2:3">
      <c r="C26" s="28" t="s">
        <v>635</v>
      </c>
    </row>
  </sheetData>
  <hyperlinks>
    <hyperlink ref="C26" r:id="rId1" xr:uid="{729DCEB6-AFEF-405D-BDC6-CFF7EB81D2BB}"/>
  </hyperlinks>
  <pageMargins left="0.7" right="0.7" top="0.75" bottom="0.75" header="0.3" footer="0.3"/>
  <pageSetup paperSize="9" orientation="portrait" horizontalDpi="1200" verticalDpi="12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5"/>
  <sheetViews>
    <sheetView zoomScale="85" zoomScaleNormal="85" workbookViewId="0">
      <selection activeCell="I11" sqref="I11:J14"/>
    </sheetView>
    <sheetView workbookViewId="1"/>
  </sheetViews>
  <sheetFormatPr defaultColWidth="8.77734375" defaultRowHeight="14.4"/>
  <cols>
    <col min="1" max="21" width="8.77734375" style="32"/>
    <col min="22" max="22" width="8.77734375" style="32" hidden="1" customWidth="1"/>
    <col min="23" max="16384" width="8.77734375" style="32"/>
  </cols>
  <sheetData>
    <row r="2" spans="1:22" ht="93.6">
      <c r="A2" s="129" t="s">
        <v>24</v>
      </c>
      <c r="B2" s="129" t="s">
        <v>25</v>
      </c>
      <c r="C2" s="127" t="s">
        <v>26</v>
      </c>
      <c r="D2" s="127"/>
      <c r="E2" s="128" t="s">
        <v>27</v>
      </c>
      <c r="F2" s="128"/>
      <c r="G2" s="127" t="s">
        <v>28</v>
      </c>
      <c r="H2" s="127"/>
      <c r="I2" s="127"/>
      <c r="J2" s="127"/>
      <c r="K2" s="128" t="s">
        <v>29</v>
      </c>
      <c r="L2" s="128"/>
      <c r="M2" s="128"/>
      <c r="N2" s="29" t="s">
        <v>30</v>
      </c>
      <c r="O2" s="30" t="s">
        <v>31</v>
      </c>
      <c r="P2" s="127" t="s">
        <v>32</v>
      </c>
      <c r="Q2" s="127"/>
      <c r="R2" s="127"/>
      <c r="S2" s="128" t="s">
        <v>33</v>
      </c>
      <c r="T2" s="128"/>
      <c r="U2" s="128"/>
      <c r="V2" s="31" t="s">
        <v>34</v>
      </c>
    </row>
    <row r="3" spans="1:22" ht="15.6">
      <c r="A3" s="129"/>
      <c r="B3" s="129"/>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6" t="s">
        <v>636</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6"/>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6"/>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6"/>
      <c r="B7" s="34">
        <v>1.3</v>
      </c>
      <c r="C7" s="38"/>
      <c r="D7" s="38"/>
      <c r="E7" s="38"/>
      <c r="F7" s="38"/>
      <c r="G7" s="38"/>
      <c r="H7" s="38"/>
      <c r="I7" s="38"/>
      <c r="J7" s="38"/>
      <c r="K7" s="38" t="s">
        <v>58</v>
      </c>
      <c r="L7" s="38"/>
      <c r="M7" s="38"/>
      <c r="N7" s="38"/>
      <c r="O7" s="38"/>
      <c r="P7" s="38"/>
      <c r="Q7" s="38"/>
      <c r="R7" s="38"/>
      <c r="S7" s="38"/>
      <c r="T7" s="38"/>
      <c r="U7" s="38"/>
      <c r="V7" s="37" t="s">
        <v>61</v>
      </c>
    </row>
    <row r="8" spans="1:22" ht="15.6">
      <c r="A8" s="126"/>
      <c r="B8" s="34">
        <v>1.4</v>
      </c>
      <c r="C8" s="38"/>
      <c r="D8" s="38"/>
      <c r="E8" s="38"/>
      <c r="F8" s="38"/>
      <c r="G8" s="38"/>
      <c r="H8" s="38"/>
      <c r="I8" s="38"/>
      <c r="J8" s="38"/>
      <c r="K8" s="38"/>
      <c r="L8" s="38"/>
      <c r="M8" s="38"/>
      <c r="N8" s="38"/>
      <c r="O8" s="38"/>
      <c r="P8" s="38"/>
      <c r="Q8" s="38"/>
      <c r="R8" s="38"/>
      <c r="S8" s="38"/>
      <c r="T8" s="38"/>
      <c r="U8" s="38"/>
      <c r="V8" s="37" t="s">
        <v>61</v>
      </c>
    </row>
    <row r="9" spans="1:22" ht="15.6">
      <c r="A9" s="126"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6"/>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6"/>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6"/>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6"/>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6"/>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6"/>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6"/>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6"/>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6"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6"/>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6"/>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6"/>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6"/>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6"/>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6"/>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6"/>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6" t="s">
        <v>637</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6"/>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6"/>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6"/>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6"/>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6"/>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6"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6"/>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6"/>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6"/>
      <c r="B35" s="34">
        <v>5.3</v>
      </c>
      <c r="C35" s="38"/>
      <c r="D35" s="38"/>
      <c r="E35" s="38"/>
      <c r="F35" s="38"/>
      <c r="G35" s="38"/>
      <c r="H35" s="38"/>
      <c r="I35" s="38"/>
      <c r="J35" s="38"/>
      <c r="K35" s="38"/>
      <c r="L35" s="38"/>
      <c r="M35" s="38" t="s">
        <v>58</v>
      </c>
      <c r="N35" s="38"/>
      <c r="O35" s="38"/>
      <c r="P35" s="38"/>
      <c r="Q35" s="38"/>
      <c r="R35" s="38"/>
      <c r="S35" s="38"/>
      <c r="T35" s="38"/>
      <c r="U35" s="38"/>
      <c r="V35" s="37"/>
    </row>
  </sheetData>
  <mergeCells count="13">
    <mergeCell ref="A32:A35"/>
    <mergeCell ref="P2:R2"/>
    <mergeCell ref="S2:U2"/>
    <mergeCell ref="A4:A8"/>
    <mergeCell ref="A9:A17"/>
    <mergeCell ref="A18:A25"/>
    <mergeCell ref="A26:A31"/>
    <mergeCell ref="A2:A3"/>
    <mergeCell ref="B2:B3"/>
    <mergeCell ref="C2:D2"/>
    <mergeCell ref="E2:F2"/>
    <mergeCell ref="G2:J2"/>
    <mergeCell ref="K2:M2"/>
  </mergeCells>
  <conditionalFormatting sqref="V4:V35">
    <cfRule type="cellIs" dxfId="294" priority="31" operator="equal">
      <formula>"S"</formula>
    </cfRule>
    <cfRule type="cellIs" dxfId="293" priority="32" stopIfTrue="1" operator="equal">
      <formula>"FM"</formula>
    </cfRule>
    <cfRule type="cellIs" dxfId="292" priority="33" stopIfTrue="1" operator="equal">
      <formula>"LM"</formula>
    </cfRule>
    <cfRule type="cellIs" dxfId="291" priority="34" stopIfTrue="1" operator="equal">
      <formula>"PM"</formula>
    </cfRule>
    <cfRule type="cellIs" dxfId="290" priority="35" stopIfTrue="1" operator="equal">
      <formula>"DM"</formula>
    </cfRule>
  </conditionalFormatting>
  <conditionalFormatting sqref="B4">
    <cfRule type="cellIs" dxfId="289" priority="26" operator="equal">
      <formula>"S"</formula>
    </cfRule>
    <cfRule type="cellIs" dxfId="288" priority="27" stopIfTrue="1" operator="equal">
      <formula>"FM"</formula>
    </cfRule>
    <cfRule type="cellIs" dxfId="287" priority="28" stopIfTrue="1" operator="equal">
      <formula>"LM"</formula>
    </cfRule>
    <cfRule type="cellIs" dxfId="286" priority="29" stopIfTrue="1" operator="equal">
      <formula>"PM"</formula>
    </cfRule>
    <cfRule type="cellIs" dxfId="285" priority="30" stopIfTrue="1" operator="equal">
      <formula>"DM"</formula>
    </cfRule>
  </conditionalFormatting>
  <conditionalFormatting sqref="B9">
    <cfRule type="cellIs" dxfId="284" priority="21" operator="equal">
      <formula>"S"</formula>
    </cfRule>
    <cfRule type="cellIs" dxfId="283" priority="22" stopIfTrue="1" operator="equal">
      <formula>"FM"</formula>
    </cfRule>
    <cfRule type="cellIs" dxfId="282" priority="23" stopIfTrue="1" operator="equal">
      <formula>"LM"</formula>
    </cfRule>
    <cfRule type="cellIs" dxfId="281" priority="24" stopIfTrue="1" operator="equal">
      <formula>"PM"</formula>
    </cfRule>
    <cfRule type="cellIs" dxfId="280" priority="25" stopIfTrue="1" operator="equal">
      <formula>"DM"</formula>
    </cfRule>
  </conditionalFormatting>
  <conditionalFormatting sqref="B18">
    <cfRule type="cellIs" dxfId="279" priority="16" operator="equal">
      <formula>"S"</formula>
    </cfRule>
    <cfRule type="cellIs" dxfId="278" priority="17" stopIfTrue="1" operator="equal">
      <formula>"FM"</formula>
    </cfRule>
    <cfRule type="cellIs" dxfId="277" priority="18" stopIfTrue="1" operator="equal">
      <formula>"LM"</formula>
    </cfRule>
    <cfRule type="cellIs" dxfId="276" priority="19" stopIfTrue="1" operator="equal">
      <formula>"PM"</formula>
    </cfRule>
    <cfRule type="cellIs" dxfId="275" priority="20" stopIfTrue="1" operator="equal">
      <formula>"DM"</formula>
    </cfRule>
  </conditionalFormatting>
  <conditionalFormatting sqref="B26">
    <cfRule type="cellIs" dxfId="274" priority="11" operator="equal">
      <formula>"S"</formula>
    </cfRule>
    <cfRule type="cellIs" dxfId="273" priority="12" stopIfTrue="1" operator="equal">
      <formula>"FM"</formula>
    </cfRule>
    <cfRule type="cellIs" dxfId="272" priority="13" stopIfTrue="1" operator="equal">
      <formula>"LM"</formula>
    </cfRule>
    <cfRule type="cellIs" dxfId="271" priority="14" stopIfTrue="1" operator="equal">
      <formula>"PM"</formula>
    </cfRule>
    <cfRule type="cellIs" dxfId="270" priority="15" stopIfTrue="1" operator="equal">
      <formula>"DM"</formula>
    </cfRule>
  </conditionalFormatting>
  <conditionalFormatting sqref="B32">
    <cfRule type="cellIs" dxfId="269" priority="6" operator="equal">
      <formula>"S"</formula>
    </cfRule>
    <cfRule type="cellIs" dxfId="268" priority="7" stopIfTrue="1" operator="equal">
      <formula>"FM"</formula>
    </cfRule>
    <cfRule type="cellIs" dxfId="267" priority="8" stopIfTrue="1" operator="equal">
      <formula>"LM"</formula>
    </cfRule>
    <cfRule type="cellIs" dxfId="266" priority="9" stopIfTrue="1" operator="equal">
      <formula>"PM"</formula>
    </cfRule>
    <cfRule type="cellIs" dxfId="265" priority="10" stopIfTrue="1" operator="equal">
      <formula>"DM"</formula>
    </cfRule>
  </conditionalFormatting>
  <conditionalFormatting sqref="C4:U35">
    <cfRule type="cellIs" dxfId="264" priority="1" operator="equal">
      <formula>"S"</formula>
    </cfRule>
    <cfRule type="cellIs" dxfId="263" priority="2" stopIfTrue="1" operator="equal">
      <formula>"FM"</formula>
    </cfRule>
    <cfRule type="cellIs" dxfId="262" priority="3" stopIfTrue="1" operator="equal">
      <formula>"LM"</formula>
    </cfRule>
    <cfRule type="cellIs" dxfId="261" priority="4" stopIfTrue="1" operator="equal">
      <formula>"PM"</formula>
    </cfRule>
    <cfRule type="cellIs" dxfId="260" priority="5" stopIfTrue="1" operator="equal">
      <formula>"DM"</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6"/>
  <sheetViews>
    <sheetView zoomScale="70" zoomScaleNormal="70" workbookViewId="0">
      <selection activeCell="I11" sqref="I11:J14"/>
    </sheetView>
    <sheetView workbookViewId="1"/>
  </sheetViews>
  <sheetFormatPr defaultColWidth="8.77734375" defaultRowHeight="14.4"/>
  <cols>
    <col min="1" max="21" width="8.77734375" style="32"/>
    <col min="22" max="22" width="8.77734375" style="32" hidden="1" customWidth="1"/>
    <col min="23" max="16384" width="8.77734375" style="32"/>
  </cols>
  <sheetData>
    <row r="1" spans="1:22" s="39" customFormat="1" ht="18">
      <c r="A1" s="39" t="s">
        <v>67</v>
      </c>
    </row>
    <row r="2" spans="1:22" ht="93.6">
      <c r="A2" s="129" t="s">
        <v>24</v>
      </c>
      <c r="B2" s="129" t="s">
        <v>25</v>
      </c>
      <c r="C2" s="127" t="s">
        <v>26</v>
      </c>
      <c r="D2" s="127"/>
      <c r="E2" s="128" t="s">
        <v>27</v>
      </c>
      <c r="F2" s="128"/>
      <c r="G2" s="127" t="s">
        <v>28</v>
      </c>
      <c r="H2" s="127"/>
      <c r="I2" s="127"/>
      <c r="J2" s="127"/>
      <c r="K2" s="128" t="s">
        <v>29</v>
      </c>
      <c r="L2" s="128"/>
      <c r="M2" s="128"/>
      <c r="N2" s="29" t="s">
        <v>30</v>
      </c>
      <c r="O2" s="30" t="s">
        <v>31</v>
      </c>
      <c r="P2" s="127" t="s">
        <v>32</v>
      </c>
      <c r="Q2" s="127"/>
      <c r="R2" s="127"/>
      <c r="S2" s="128" t="s">
        <v>33</v>
      </c>
      <c r="T2" s="128"/>
      <c r="U2" s="128"/>
      <c r="V2" s="31" t="s">
        <v>34</v>
      </c>
    </row>
    <row r="3" spans="1:22" ht="15.6">
      <c r="A3" s="129"/>
      <c r="B3" s="129"/>
      <c r="C3" s="33" t="s">
        <v>35</v>
      </c>
      <c r="D3" s="33" t="s">
        <v>36</v>
      </c>
      <c r="E3" s="34" t="s">
        <v>37</v>
      </c>
      <c r="F3" s="34" t="s">
        <v>38</v>
      </c>
      <c r="G3" s="33" t="s">
        <v>39</v>
      </c>
      <c r="H3" s="33" t="s">
        <v>40</v>
      </c>
      <c r="I3" s="33" t="s">
        <v>41</v>
      </c>
      <c r="J3" s="33" t="s">
        <v>42</v>
      </c>
      <c r="K3" s="34" t="s">
        <v>43</v>
      </c>
      <c r="L3" s="34" t="s">
        <v>44</v>
      </c>
      <c r="M3" s="34" t="s">
        <v>45</v>
      </c>
      <c r="N3" s="33" t="s">
        <v>46</v>
      </c>
      <c r="O3" s="34" t="s">
        <v>47</v>
      </c>
      <c r="P3" s="33" t="s">
        <v>48</v>
      </c>
      <c r="Q3" s="33" t="s">
        <v>49</v>
      </c>
      <c r="R3" s="33" t="s">
        <v>50</v>
      </c>
      <c r="S3" s="34" t="s">
        <v>51</v>
      </c>
      <c r="T3" s="34" t="s">
        <v>52</v>
      </c>
      <c r="U3" s="34" t="s">
        <v>53</v>
      </c>
      <c r="V3" s="31" t="s">
        <v>54</v>
      </c>
    </row>
    <row r="4" spans="1:22" ht="15.6">
      <c r="A4" s="126" t="s">
        <v>636</v>
      </c>
      <c r="B4" s="35" t="s">
        <v>55</v>
      </c>
      <c r="C4" s="36" t="s">
        <v>56</v>
      </c>
      <c r="D4" s="36" t="s">
        <v>56</v>
      </c>
      <c r="E4" s="36" t="s">
        <v>56</v>
      </c>
      <c r="F4" s="36" t="s">
        <v>56</v>
      </c>
      <c r="G4" s="36" t="s">
        <v>56</v>
      </c>
      <c r="H4" s="36" t="s">
        <v>56</v>
      </c>
      <c r="I4" s="36" t="s">
        <v>56</v>
      </c>
      <c r="J4" s="36" t="s">
        <v>56</v>
      </c>
      <c r="K4" s="36" t="s">
        <v>56</v>
      </c>
      <c r="L4" s="36" t="s">
        <v>56</v>
      </c>
      <c r="M4" s="36" t="s">
        <v>56</v>
      </c>
      <c r="N4" s="36" t="s">
        <v>56</v>
      </c>
      <c r="O4" s="36" t="s">
        <v>56</v>
      </c>
      <c r="P4" s="36" t="s">
        <v>56</v>
      </c>
      <c r="Q4" s="36" t="s">
        <v>56</v>
      </c>
      <c r="R4" s="36" t="s">
        <v>56</v>
      </c>
      <c r="S4" s="36" t="s">
        <v>56</v>
      </c>
      <c r="T4" s="36" t="s">
        <v>56</v>
      </c>
      <c r="U4" s="36" t="s">
        <v>56</v>
      </c>
      <c r="V4" s="37" t="s">
        <v>57</v>
      </c>
    </row>
    <row r="5" spans="1:22" ht="15.6">
      <c r="A5" s="126"/>
      <c r="B5" s="34">
        <v>1.1000000000000001</v>
      </c>
      <c r="C5" s="38" t="s">
        <v>58</v>
      </c>
      <c r="D5" s="38" t="s">
        <v>58</v>
      </c>
      <c r="E5" s="38" t="s">
        <v>58</v>
      </c>
      <c r="F5" s="38" t="s">
        <v>58</v>
      </c>
      <c r="G5" s="38" t="s">
        <v>58</v>
      </c>
      <c r="H5" s="38" t="s">
        <v>58</v>
      </c>
      <c r="I5" s="38" t="s">
        <v>58</v>
      </c>
      <c r="J5" s="38" t="s">
        <v>58</v>
      </c>
      <c r="K5" s="38" t="s">
        <v>58</v>
      </c>
      <c r="L5" s="38" t="s">
        <v>58</v>
      </c>
      <c r="M5" s="38" t="s">
        <v>58</v>
      </c>
      <c r="N5" s="38" t="s">
        <v>58</v>
      </c>
      <c r="O5" s="38" t="s">
        <v>58</v>
      </c>
      <c r="P5" s="38" t="s">
        <v>58</v>
      </c>
      <c r="Q5" s="38" t="s">
        <v>58</v>
      </c>
      <c r="R5" s="38" t="s">
        <v>58</v>
      </c>
      <c r="S5" s="38" t="s">
        <v>58</v>
      </c>
      <c r="T5" s="38" t="s">
        <v>58</v>
      </c>
      <c r="U5" s="38" t="s">
        <v>58</v>
      </c>
      <c r="V5" s="37" t="s">
        <v>59</v>
      </c>
    </row>
    <row r="6" spans="1:22" ht="15.6">
      <c r="A6" s="126"/>
      <c r="B6" s="34">
        <v>1.2</v>
      </c>
      <c r="C6" s="38"/>
      <c r="D6" s="38"/>
      <c r="E6" s="38"/>
      <c r="F6" s="38"/>
      <c r="G6" s="38"/>
      <c r="H6" s="38" t="s">
        <v>58</v>
      </c>
      <c r="I6" s="38"/>
      <c r="J6" s="38"/>
      <c r="K6" s="38" t="s">
        <v>58</v>
      </c>
      <c r="L6" s="38"/>
      <c r="M6" s="38" t="s">
        <v>58</v>
      </c>
      <c r="N6" s="38"/>
      <c r="O6" s="38"/>
      <c r="P6" s="38" t="s">
        <v>58</v>
      </c>
      <c r="Q6" s="38" t="s">
        <v>58</v>
      </c>
      <c r="R6" s="38"/>
      <c r="S6" s="38"/>
      <c r="T6" s="38" t="s">
        <v>58</v>
      </c>
      <c r="U6" s="38"/>
      <c r="V6" s="37" t="s">
        <v>60</v>
      </c>
    </row>
    <row r="7" spans="1:22" ht="15.6">
      <c r="A7" s="126"/>
      <c r="B7" s="34">
        <v>1.3</v>
      </c>
      <c r="C7" s="38"/>
      <c r="D7" s="38"/>
      <c r="E7" s="38"/>
      <c r="F7" s="38"/>
      <c r="G7" s="38"/>
      <c r="H7" s="38"/>
      <c r="I7" s="38"/>
      <c r="J7" s="38"/>
      <c r="K7" s="38" t="s">
        <v>58</v>
      </c>
      <c r="L7" s="38"/>
      <c r="M7" s="38"/>
      <c r="N7" s="38"/>
      <c r="O7" s="38"/>
      <c r="P7" s="38"/>
      <c r="Q7" s="38"/>
      <c r="R7" s="38"/>
      <c r="S7" s="38"/>
      <c r="T7" s="38"/>
      <c r="U7" s="38"/>
      <c r="V7" s="37" t="s">
        <v>61</v>
      </c>
    </row>
    <row r="8" spans="1:22" ht="15.6" hidden="1">
      <c r="A8" s="126"/>
      <c r="B8" s="34">
        <v>1.4</v>
      </c>
      <c r="C8" s="38"/>
      <c r="D8" s="38"/>
      <c r="E8" s="38"/>
      <c r="F8" s="38"/>
      <c r="G8" s="38"/>
      <c r="H8" s="38"/>
      <c r="I8" s="38"/>
      <c r="J8" s="38"/>
      <c r="K8" s="38"/>
      <c r="L8" s="38"/>
      <c r="M8" s="38"/>
      <c r="N8" s="38"/>
      <c r="O8" s="38"/>
      <c r="P8" s="38"/>
      <c r="Q8" s="38"/>
      <c r="R8" s="38"/>
      <c r="S8" s="38"/>
      <c r="T8" s="38"/>
      <c r="U8" s="38"/>
      <c r="V8" s="37" t="s">
        <v>61</v>
      </c>
    </row>
    <row r="9" spans="1:22" ht="15.6">
      <c r="A9" s="126" t="s">
        <v>62</v>
      </c>
      <c r="B9" s="35" t="s">
        <v>62</v>
      </c>
      <c r="C9" s="36" t="s">
        <v>56</v>
      </c>
      <c r="D9" s="36" t="s">
        <v>56</v>
      </c>
      <c r="E9" s="36" t="s">
        <v>56</v>
      </c>
      <c r="F9" s="36" t="s">
        <v>56</v>
      </c>
      <c r="G9" s="36" t="s">
        <v>56</v>
      </c>
      <c r="H9" s="36" t="s">
        <v>56</v>
      </c>
      <c r="I9" s="36" t="s">
        <v>56</v>
      </c>
      <c r="J9" s="36" t="s">
        <v>56</v>
      </c>
      <c r="K9" s="36" t="s">
        <v>56</v>
      </c>
      <c r="L9" s="36" t="s">
        <v>56</v>
      </c>
      <c r="M9" s="36" t="s">
        <v>56</v>
      </c>
      <c r="N9" s="36" t="s">
        <v>56</v>
      </c>
      <c r="O9" s="36" t="s">
        <v>56</v>
      </c>
      <c r="P9" s="36" t="s">
        <v>56</v>
      </c>
      <c r="Q9" s="36" t="s">
        <v>56</v>
      </c>
      <c r="R9" s="36" t="s">
        <v>56</v>
      </c>
      <c r="S9" s="36" t="s">
        <v>56</v>
      </c>
      <c r="T9" s="36" t="s">
        <v>56</v>
      </c>
      <c r="U9" s="36" t="s">
        <v>56</v>
      </c>
      <c r="V9" s="37"/>
    </row>
    <row r="10" spans="1:22" ht="15.6">
      <c r="A10" s="126"/>
      <c r="B10" s="34">
        <v>2.1</v>
      </c>
      <c r="C10" s="38" t="s">
        <v>58</v>
      </c>
      <c r="D10" s="38" t="s">
        <v>58</v>
      </c>
      <c r="E10" s="38" t="s">
        <v>58</v>
      </c>
      <c r="F10" s="38" t="s">
        <v>58</v>
      </c>
      <c r="G10" s="38" t="s">
        <v>58</v>
      </c>
      <c r="H10" s="38" t="s">
        <v>58</v>
      </c>
      <c r="I10" s="38" t="s">
        <v>58</v>
      </c>
      <c r="J10" s="38" t="s">
        <v>58</v>
      </c>
      <c r="K10" s="38" t="s">
        <v>58</v>
      </c>
      <c r="L10" s="38" t="s">
        <v>58</v>
      </c>
      <c r="M10" s="38" t="s">
        <v>58</v>
      </c>
      <c r="N10" s="38" t="s">
        <v>58</v>
      </c>
      <c r="O10" s="38" t="s">
        <v>58</v>
      </c>
      <c r="P10" s="38" t="s">
        <v>58</v>
      </c>
      <c r="Q10" s="38" t="s">
        <v>58</v>
      </c>
      <c r="R10" s="38" t="s">
        <v>58</v>
      </c>
      <c r="S10" s="38" t="s">
        <v>58</v>
      </c>
      <c r="T10" s="38" t="s">
        <v>58</v>
      </c>
      <c r="U10" s="38" t="s">
        <v>58</v>
      </c>
      <c r="V10" s="37" t="s">
        <v>59</v>
      </c>
    </row>
    <row r="11" spans="1:22" ht="15.6">
      <c r="A11" s="126"/>
      <c r="B11" s="34">
        <v>2.2000000000000002</v>
      </c>
      <c r="C11" s="38" t="s">
        <v>58</v>
      </c>
      <c r="D11" s="38" t="s">
        <v>58</v>
      </c>
      <c r="E11" s="38" t="s">
        <v>58</v>
      </c>
      <c r="F11" s="38" t="s">
        <v>58</v>
      </c>
      <c r="G11" s="38" t="s">
        <v>58</v>
      </c>
      <c r="H11" s="38" t="s">
        <v>58</v>
      </c>
      <c r="I11" s="38" t="s">
        <v>58</v>
      </c>
      <c r="J11" s="38" t="s">
        <v>58</v>
      </c>
      <c r="K11" s="38" t="s">
        <v>58</v>
      </c>
      <c r="L11" s="38" t="s">
        <v>58</v>
      </c>
      <c r="M11" s="38" t="s">
        <v>58</v>
      </c>
      <c r="N11" s="38" t="s">
        <v>58</v>
      </c>
      <c r="O11" s="38" t="s">
        <v>58</v>
      </c>
      <c r="P11" s="38" t="s">
        <v>58</v>
      </c>
      <c r="Q11" s="38" t="s">
        <v>58</v>
      </c>
      <c r="R11" s="38" t="s">
        <v>58</v>
      </c>
      <c r="S11" s="38" t="s">
        <v>58</v>
      </c>
      <c r="T11" s="38" t="s">
        <v>58</v>
      </c>
      <c r="U11" s="38" t="s">
        <v>58</v>
      </c>
      <c r="V11" s="37" t="s">
        <v>59</v>
      </c>
    </row>
    <row r="12" spans="1:22" ht="15.6">
      <c r="A12" s="126"/>
      <c r="B12" s="34">
        <v>2.2999999999999998</v>
      </c>
      <c r="C12" s="38" t="s">
        <v>58</v>
      </c>
      <c r="D12" s="38"/>
      <c r="E12" s="38" t="s">
        <v>58</v>
      </c>
      <c r="F12" s="38" t="s">
        <v>58</v>
      </c>
      <c r="G12" s="38" t="s">
        <v>58</v>
      </c>
      <c r="H12" s="38" t="s">
        <v>58</v>
      </c>
      <c r="I12" s="38" t="s">
        <v>58</v>
      </c>
      <c r="J12" s="38" t="s">
        <v>58</v>
      </c>
      <c r="K12" s="38"/>
      <c r="L12" s="38" t="s">
        <v>58</v>
      </c>
      <c r="M12" s="38" t="s">
        <v>58</v>
      </c>
      <c r="N12" s="38"/>
      <c r="O12" s="38"/>
      <c r="P12" s="38" t="s">
        <v>58</v>
      </c>
      <c r="Q12" s="38" t="s">
        <v>58</v>
      </c>
      <c r="R12" s="38" t="s">
        <v>58</v>
      </c>
      <c r="S12" s="38"/>
      <c r="T12" s="38" t="s">
        <v>58</v>
      </c>
      <c r="U12" s="38" t="s">
        <v>58</v>
      </c>
      <c r="V12" s="37" t="s">
        <v>63</v>
      </c>
    </row>
    <row r="13" spans="1:22" ht="15.6">
      <c r="A13" s="126"/>
      <c r="B13" s="34">
        <v>2.4</v>
      </c>
      <c r="C13" s="38" t="s">
        <v>58</v>
      </c>
      <c r="D13" s="38"/>
      <c r="E13" s="38"/>
      <c r="F13" s="38" t="s">
        <v>58</v>
      </c>
      <c r="G13" s="38" t="s">
        <v>58</v>
      </c>
      <c r="H13" s="38"/>
      <c r="I13" s="38" t="s">
        <v>58</v>
      </c>
      <c r="J13" s="38" t="s">
        <v>58</v>
      </c>
      <c r="K13" s="38"/>
      <c r="L13" s="38"/>
      <c r="M13" s="38" t="s">
        <v>58</v>
      </c>
      <c r="N13" s="38"/>
      <c r="O13" s="38"/>
      <c r="P13" s="38" t="s">
        <v>58</v>
      </c>
      <c r="Q13" s="38" t="s">
        <v>58</v>
      </c>
      <c r="R13" s="38"/>
      <c r="S13" s="38"/>
      <c r="T13" s="38" t="s">
        <v>58</v>
      </c>
      <c r="U13" s="38" t="s">
        <v>58</v>
      </c>
      <c r="V13" s="37" t="s">
        <v>61</v>
      </c>
    </row>
    <row r="14" spans="1:22" ht="15.6">
      <c r="A14" s="126"/>
      <c r="B14" s="34">
        <v>2.5</v>
      </c>
      <c r="C14" s="38"/>
      <c r="D14" s="38"/>
      <c r="E14" s="38"/>
      <c r="F14" s="38" t="s">
        <v>58</v>
      </c>
      <c r="G14" s="38"/>
      <c r="H14" s="38"/>
      <c r="I14" s="38"/>
      <c r="J14" s="38" t="s">
        <v>58</v>
      </c>
      <c r="K14" s="38"/>
      <c r="L14" s="38"/>
      <c r="M14" s="38" t="s">
        <v>58</v>
      </c>
      <c r="N14" s="38"/>
      <c r="O14" s="38"/>
      <c r="P14" s="38"/>
      <c r="Q14" s="38" t="s">
        <v>58</v>
      </c>
      <c r="R14" s="38"/>
      <c r="S14" s="38"/>
      <c r="T14" s="38" t="s">
        <v>58</v>
      </c>
      <c r="U14" s="38" t="s">
        <v>58</v>
      </c>
      <c r="V14" s="37"/>
    </row>
    <row r="15" spans="1:22" ht="15.6">
      <c r="A15" s="126"/>
      <c r="B15" s="34">
        <v>2.6</v>
      </c>
      <c r="C15" s="38"/>
      <c r="D15" s="38"/>
      <c r="E15" s="38"/>
      <c r="F15" s="38" t="s">
        <v>58</v>
      </c>
      <c r="G15" s="38"/>
      <c r="H15" s="38"/>
      <c r="I15" s="38"/>
      <c r="J15" s="38" t="s">
        <v>58</v>
      </c>
      <c r="K15" s="38"/>
      <c r="L15" s="38"/>
      <c r="M15" s="38" t="s">
        <v>58</v>
      </c>
      <c r="N15" s="38"/>
      <c r="O15" s="38"/>
      <c r="P15" s="38"/>
      <c r="Q15" s="38" t="s">
        <v>58</v>
      </c>
      <c r="R15" s="38"/>
      <c r="S15" s="38"/>
      <c r="T15" s="38"/>
      <c r="U15" s="38" t="s">
        <v>58</v>
      </c>
      <c r="V15" s="37"/>
    </row>
    <row r="16" spans="1:22" ht="15.6">
      <c r="A16" s="126"/>
      <c r="B16" s="34">
        <v>2.7</v>
      </c>
      <c r="C16" s="38"/>
      <c r="D16" s="38"/>
      <c r="E16" s="38"/>
      <c r="F16" s="38"/>
      <c r="G16" s="38"/>
      <c r="H16" s="38"/>
      <c r="I16" s="38"/>
      <c r="J16" s="38"/>
      <c r="K16" s="38"/>
      <c r="L16" s="38"/>
      <c r="M16" s="38"/>
      <c r="N16" s="38"/>
      <c r="O16" s="38"/>
      <c r="P16" s="38"/>
      <c r="Q16" s="38" t="s">
        <v>58</v>
      </c>
      <c r="R16" s="38"/>
      <c r="S16" s="38"/>
      <c r="T16" s="38"/>
      <c r="U16" s="38"/>
      <c r="V16" s="37"/>
    </row>
    <row r="17" spans="1:22" ht="15.6">
      <c r="A17" s="126"/>
      <c r="B17" s="34">
        <v>2.8</v>
      </c>
      <c r="C17" s="38"/>
      <c r="D17" s="38"/>
      <c r="E17" s="38"/>
      <c r="F17" s="38"/>
      <c r="G17" s="38"/>
      <c r="H17" s="38"/>
      <c r="I17" s="38"/>
      <c r="J17" s="38"/>
      <c r="K17" s="38"/>
      <c r="L17" s="38"/>
      <c r="M17" s="38"/>
      <c r="N17" s="38"/>
      <c r="O17" s="38"/>
      <c r="P17" s="38"/>
      <c r="Q17" s="38" t="s">
        <v>58</v>
      </c>
      <c r="R17" s="38"/>
      <c r="S17" s="38"/>
      <c r="T17" s="38"/>
      <c r="U17" s="38"/>
      <c r="V17" s="37"/>
    </row>
    <row r="18" spans="1:22" ht="15.6">
      <c r="A18" s="126" t="s">
        <v>64</v>
      </c>
      <c r="B18" s="35" t="s">
        <v>64</v>
      </c>
      <c r="C18" s="36" t="s">
        <v>56</v>
      </c>
      <c r="D18" s="36" t="s">
        <v>56</v>
      </c>
      <c r="E18" s="36" t="s">
        <v>56</v>
      </c>
      <c r="F18" s="36" t="s">
        <v>56</v>
      </c>
      <c r="G18" s="36" t="s">
        <v>56</v>
      </c>
      <c r="H18" s="36" t="s">
        <v>56</v>
      </c>
      <c r="I18" s="36" t="s">
        <v>56</v>
      </c>
      <c r="J18" s="36" t="s">
        <v>56</v>
      </c>
      <c r="K18" s="36" t="s">
        <v>56</v>
      </c>
      <c r="L18" s="36" t="s">
        <v>56</v>
      </c>
      <c r="M18" s="36" t="s">
        <v>56</v>
      </c>
      <c r="N18" s="36" t="s">
        <v>56</v>
      </c>
      <c r="O18" s="36" t="s">
        <v>56</v>
      </c>
      <c r="P18" s="36" t="s">
        <v>56</v>
      </c>
      <c r="Q18" s="36" t="s">
        <v>56</v>
      </c>
      <c r="R18" s="36" t="s">
        <v>56</v>
      </c>
      <c r="S18" s="36" t="s">
        <v>56</v>
      </c>
      <c r="T18" s="36" t="s">
        <v>56</v>
      </c>
      <c r="U18" s="38"/>
      <c r="V18" s="37"/>
    </row>
    <row r="19" spans="1:22" ht="15.6">
      <c r="A19" s="126"/>
      <c r="B19" s="34">
        <v>3.1</v>
      </c>
      <c r="C19" s="38" t="s">
        <v>58</v>
      </c>
      <c r="D19" s="38" t="s">
        <v>58</v>
      </c>
      <c r="E19" s="38" t="s">
        <v>58</v>
      </c>
      <c r="F19" s="38" t="s">
        <v>58</v>
      </c>
      <c r="G19" s="38" t="s">
        <v>58</v>
      </c>
      <c r="H19" s="38" t="s">
        <v>58</v>
      </c>
      <c r="I19" s="38" t="s">
        <v>58</v>
      </c>
      <c r="J19" s="38" t="s">
        <v>58</v>
      </c>
      <c r="K19" s="38" t="s">
        <v>58</v>
      </c>
      <c r="L19" s="38" t="s">
        <v>58</v>
      </c>
      <c r="M19" s="38" t="s">
        <v>58</v>
      </c>
      <c r="N19" s="38" t="s">
        <v>58</v>
      </c>
      <c r="O19" s="38" t="s">
        <v>58</v>
      </c>
      <c r="P19" s="38" t="s">
        <v>58</v>
      </c>
      <c r="Q19" s="38" t="s">
        <v>58</v>
      </c>
      <c r="R19" s="38" t="s">
        <v>58</v>
      </c>
      <c r="S19" s="38" t="s">
        <v>58</v>
      </c>
      <c r="T19" s="38" t="s">
        <v>58</v>
      </c>
      <c r="U19" s="38"/>
      <c r="V19" s="37" t="s">
        <v>59</v>
      </c>
    </row>
    <row r="20" spans="1:22" ht="15.6">
      <c r="A20" s="126"/>
      <c r="B20" s="34">
        <v>3.2</v>
      </c>
      <c r="C20" s="38" t="s">
        <v>58</v>
      </c>
      <c r="D20" s="38" t="s">
        <v>58</v>
      </c>
      <c r="E20" s="38" t="s">
        <v>58</v>
      </c>
      <c r="F20" s="38" t="s">
        <v>58</v>
      </c>
      <c r="G20" s="38"/>
      <c r="H20" s="38" t="s">
        <v>58</v>
      </c>
      <c r="I20" s="38"/>
      <c r="J20" s="38" t="s">
        <v>58</v>
      </c>
      <c r="K20" s="38" t="s">
        <v>58</v>
      </c>
      <c r="L20" s="38" t="s">
        <v>58</v>
      </c>
      <c r="M20" s="38" t="s">
        <v>58</v>
      </c>
      <c r="N20" s="38" t="s">
        <v>58</v>
      </c>
      <c r="O20" s="38" t="s">
        <v>58</v>
      </c>
      <c r="P20" s="38" t="s">
        <v>58</v>
      </c>
      <c r="Q20" s="38" t="s">
        <v>58</v>
      </c>
      <c r="R20" s="38" t="s">
        <v>58</v>
      </c>
      <c r="S20" s="38" t="s">
        <v>58</v>
      </c>
      <c r="T20" s="38"/>
      <c r="U20" s="38"/>
      <c r="V20" s="37" t="s">
        <v>59</v>
      </c>
    </row>
    <row r="21" spans="1:22" ht="15.6">
      <c r="A21" s="126"/>
      <c r="B21" s="34">
        <v>3.3</v>
      </c>
      <c r="C21" s="38"/>
      <c r="D21" s="38" t="s">
        <v>58</v>
      </c>
      <c r="E21" s="38" t="s">
        <v>58</v>
      </c>
      <c r="F21" s="38" t="s">
        <v>58</v>
      </c>
      <c r="G21" s="38"/>
      <c r="H21" s="38"/>
      <c r="I21" s="38"/>
      <c r="J21" s="38" t="s">
        <v>58</v>
      </c>
      <c r="K21" s="38" t="s">
        <v>58</v>
      </c>
      <c r="L21" s="38" t="s">
        <v>58</v>
      </c>
      <c r="M21" s="38" t="s">
        <v>58</v>
      </c>
      <c r="N21" s="38" t="s">
        <v>58</v>
      </c>
      <c r="O21" s="38" t="s">
        <v>58</v>
      </c>
      <c r="P21" s="38" t="s">
        <v>58</v>
      </c>
      <c r="Q21" s="38" t="s">
        <v>58</v>
      </c>
      <c r="R21" s="38"/>
      <c r="S21" s="38" t="s">
        <v>58</v>
      </c>
      <c r="T21" s="38"/>
      <c r="U21" s="38"/>
      <c r="V21" s="37"/>
    </row>
    <row r="22" spans="1:22" ht="15.6">
      <c r="A22" s="126"/>
      <c r="B22" s="34">
        <v>3.4</v>
      </c>
      <c r="C22" s="38"/>
      <c r="D22" s="38"/>
      <c r="E22" s="38" t="s">
        <v>58</v>
      </c>
      <c r="F22" s="38"/>
      <c r="G22" s="38"/>
      <c r="H22" s="38"/>
      <c r="I22" s="38"/>
      <c r="J22" s="38" t="s">
        <v>58</v>
      </c>
      <c r="K22" s="38" t="s">
        <v>58</v>
      </c>
      <c r="L22" s="38" t="s">
        <v>58</v>
      </c>
      <c r="M22" s="38" t="s">
        <v>58</v>
      </c>
      <c r="N22" s="38" t="s">
        <v>58</v>
      </c>
      <c r="O22" s="38" t="s">
        <v>58</v>
      </c>
      <c r="P22" s="38" t="s">
        <v>58</v>
      </c>
      <c r="Q22" s="38" t="s">
        <v>58</v>
      </c>
      <c r="R22" s="38"/>
      <c r="S22" s="38" t="s">
        <v>58</v>
      </c>
      <c r="T22" s="38"/>
      <c r="U22" s="38"/>
      <c r="V22" s="37"/>
    </row>
    <row r="23" spans="1:22" ht="15.6">
      <c r="A23" s="126"/>
      <c r="B23" s="34">
        <v>3.5</v>
      </c>
      <c r="C23" s="38"/>
      <c r="D23" s="38"/>
      <c r="E23" s="38" t="s">
        <v>58</v>
      </c>
      <c r="F23" s="38"/>
      <c r="G23" s="38"/>
      <c r="H23" s="38"/>
      <c r="I23" s="38"/>
      <c r="J23" s="38" t="s">
        <v>58</v>
      </c>
      <c r="K23" s="38" t="s">
        <v>58</v>
      </c>
      <c r="L23" s="38" t="s">
        <v>58</v>
      </c>
      <c r="M23" s="38" t="s">
        <v>58</v>
      </c>
      <c r="N23" s="38" t="s">
        <v>58</v>
      </c>
      <c r="O23" s="38" t="s">
        <v>58</v>
      </c>
      <c r="P23" s="38"/>
      <c r="Q23" s="38"/>
      <c r="R23" s="38"/>
      <c r="S23" s="38" t="s">
        <v>58</v>
      </c>
      <c r="T23" s="38"/>
      <c r="U23" s="38"/>
      <c r="V23" s="37"/>
    </row>
    <row r="24" spans="1:22" ht="15.6">
      <c r="A24" s="126"/>
      <c r="B24" s="34">
        <v>3.6</v>
      </c>
      <c r="C24" s="38"/>
      <c r="D24" s="38"/>
      <c r="E24" s="38" t="s">
        <v>58</v>
      </c>
      <c r="F24" s="38"/>
      <c r="G24" s="38"/>
      <c r="H24" s="38"/>
      <c r="I24" s="38"/>
      <c r="J24" s="38" t="s">
        <v>58</v>
      </c>
      <c r="K24" s="38" t="s">
        <v>58</v>
      </c>
      <c r="L24" s="38" t="s">
        <v>58</v>
      </c>
      <c r="M24" s="38" t="s">
        <v>58</v>
      </c>
      <c r="N24" s="38"/>
      <c r="O24" s="38" t="s">
        <v>58</v>
      </c>
      <c r="P24" s="38"/>
      <c r="Q24" s="38"/>
      <c r="R24" s="38"/>
      <c r="S24" s="38"/>
      <c r="T24" s="38"/>
      <c r="U24" s="38"/>
      <c r="V24" s="37"/>
    </row>
    <row r="25" spans="1:22" ht="15.6">
      <c r="A25" s="126"/>
      <c r="B25" s="34">
        <v>3.7</v>
      </c>
      <c r="C25" s="38"/>
      <c r="D25" s="38"/>
      <c r="E25" s="38"/>
      <c r="F25" s="38"/>
      <c r="G25" s="38"/>
      <c r="H25" s="38"/>
      <c r="I25" s="38"/>
      <c r="J25" s="38" t="s">
        <v>58</v>
      </c>
      <c r="K25" s="38"/>
      <c r="L25" s="38" t="s">
        <v>58</v>
      </c>
      <c r="M25" s="38"/>
      <c r="N25" s="38"/>
      <c r="O25" s="38"/>
      <c r="P25" s="38"/>
      <c r="Q25" s="38"/>
      <c r="R25" s="38"/>
      <c r="S25" s="38"/>
      <c r="T25" s="38"/>
      <c r="U25" s="38"/>
      <c r="V25" s="37"/>
    </row>
    <row r="26" spans="1:22" ht="15.6">
      <c r="A26" s="126" t="s">
        <v>637</v>
      </c>
      <c r="B26" s="35" t="s">
        <v>65</v>
      </c>
      <c r="C26" s="36" t="s">
        <v>56</v>
      </c>
      <c r="D26" s="38"/>
      <c r="E26" s="38"/>
      <c r="F26" s="38"/>
      <c r="G26" s="38"/>
      <c r="H26" s="38"/>
      <c r="I26" s="38"/>
      <c r="J26" s="38"/>
      <c r="K26" s="36" t="s">
        <v>56</v>
      </c>
      <c r="L26" s="38"/>
      <c r="M26" s="36" t="s">
        <v>56</v>
      </c>
      <c r="N26" s="38"/>
      <c r="O26" s="38"/>
      <c r="P26" s="38"/>
      <c r="Q26" s="36" t="s">
        <v>56</v>
      </c>
      <c r="R26" s="38"/>
      <c r="S26" s="36" t="s">
        <v>56</v>
      </c>
      <c r="T26" s="38"/>
      <c r="U26" s="38"/>
      <c r="V26" s="37"/>
    </row>
    <row r="27" spans="1:22" ht="15.6">
      <c r="A27" s="126"/>
      <c r="B27" s="34">
        <v>4.0999999999999996</v>
      </c>
      <c r="C27" s="38" t="s">
        <v>58</v>
      </c>
      <c r="D27" s="38"/>
      <c r="E27" s="38"/>
      <c r="F27" s="38"/>
      <c r="G27" s="38"/>
      <c r="H27" s="38"/>
      <c r="I27" s="38"/>
      <c r="J27" s="38"/>
      <c r="K27" s="38" t="s">
        <v>58</v>
      </c>
      <c r="L27" s="38"/>
      <c r="M27" s="38" t="s">
        <v>58</v>
      </c>
      <c r="N27" s="38"/>
      <c r="O27" s="38"/>
      <c r="P27" s="38"/>
      <c r="Q27" s="38" t="s">
        <v>58</v>
      </c>
      <c r="R27" s="38"/>
      <c r="S27" s="38" t="s">
        <v>58</v>
      </c>
      <c r="T27" s="38"/>
      <c r="U27" s="38"/>
      <c r="V27" s="37" t="s">
        <v>59</v>
      </c>
    </row>
    <row r="28" spans="1:22" ht="15.6">
      <c r="A28" s="126"/>
      <c r="B28" s="34">
        <v>4.2</v>
      </c>
      <c r="C28" s="38"/>
      <c r="D28" s="38"/>
      <c r="E28" s="38"/>
      <c r="F28" s="38"/>
      <c r="G28" s="38"/>
      <c r="H28" s="38"/>
      <c r="I28" s="38"/>
      <c r="J28" s="38"/>
      <c r="K28" s="38"/>
      <c r="L28" s="38"/>
      <c r="M28" s="38" t="s">
        <v>58</v>
      </c>
      <c r="N28" s="38"/>
      <c r="O28" s="38"/>
      <c r="P28" s="38"/>
      <c r="Q28" s="38"/>
      <c r="R28" s="38"/>
      <c r="S28" s="38" t="s">
        <v>58</v>
      </c>
      <c r="T28" s="38"/>
      <c r="U28" s="38"/>
      <c r="V28" s="37"/>
    </row>
    <row r="29" spans="1:22" ht="15.6">
      <c r="A29" s="126"/>
      <c r="B29" s="34">
        <v>4.3</v>
      </c>
      <c r="C29" s="38"/>
      <c r="D29" s="38"/>
      <c r="E29" s="38"/>
      <c r="F29" s="38"/>
      <c r="G29" s="38"/>
      <c r="H29" s="38"/>
      <c r="I29" s="38"/>
      <c r="J29" s="38"/>
      <c r="K29" s="38"/>
      <c r="L29" s="38"/>
      <c r="M29" s="38" t="s">
        <v>58</v>
      </c>
      <c r="N29" s="38"/>
      <c r="O29" s="38"/>
      <c r="P29" s="38"/>
      <c r="Q29" s="38"/>
      <c r="R29" s="38"/>
      <c r="S29" s="38"/>
      <c r="T29" s="38"/>
      <c r="U29" s="38"/>
      <c r="V29" s="37"/>
    </row>
    <row r="30" spans="1:22" ht="15.6">
      <c r="A30" s="126"/>
      <c r="B30" s="34">
        <v>4.4000000000000004</v>
      </c>
      <c r="C30" s="38"/>
      <c r="D30" s="38"/>
      <c r="E30" s="38"/>
      <c r="F30" s="38"/>
      <c r="G30" s="38"/>
      <c r="H30" s="38"/>
      <c r="I30" s="38"/>
      <c r="J30" s="38"/>
      <c r="K30" s="38"/>
      <c r="L30" s="38"/>
      <c r="M30" s="38" t="s">
        <v>58</v>
      </c>
      <c r="N30" s="38"/>
      <c r="O30" s="38"/>
      <c r="P30" s="38"/>
      <c r="Q30" s="38"/>
      <c r="R30" s="38"/>
      <c r="S30" s="38"/>
      <c r="T30" s="38"/>
      <c r="U30" s="38"/>
      <c r="V30" s="37"/>
    </row>
    <row r="31" spans="1:22" ht="15.6">
      <c r="A31" s="126"/>
      <c r="B31" s="34">
        <v>4.5</v>
      </c>
      <c r="C31" s="38"/>
      <c r="D31" s="38"/>
      <c r="E31" s="38"/>
      <c r="F31" s="38"/>
      <c r="G31" s="38"/>
      <c r="H31" s="38"/>
      <c r="I31" s="38"/>
      <c r="J31" s="38"/>
      <c r="K31" s="38"/>
      <c r="L31" s="38"/>
      <c r="M31" s="38" t="s">
        <v>58</v>
      </c>
      <c r="N31" s="38"/>
      <c r="O31" s="38"/>
      <c r="P31" s="38"/>
      <c r="Q31" s="38"/>
      <c r="R31" s="38"/>
      <c r="S31" s="38"/>
      <c r="T31" s="38"/>
      <c r="U31" s="38"/>
      <c r="V31" s="37"/>
    </row>
    <row r="32" spans="1:22" ht="15.6">
      <c r="A32" s="126" t="s">
        <v>66</v>
      </c>
      <c r="B32" s="35" t="s">
        <v>66</v>
      </c>
      <c r="C32" s="38"/>
      <c r="D32" s="38"/>
      <c r="E32" s="38"/>
      <c r="F32" s="38"/>
      <c r="G32" s="38"/>
      <c r="H32" s="38"/>
      <c r="I32" s="38"/>
      <c r="J32" s="38"/>
      <c r="K32" s="38"/>
      <c r="L32" s="38"/>
      <c r="M32" s="36" t="s">
        <v>56</v>
      </c>
      <c r="N32" s="38"/>
      <c r="O32" s="38"/>
      <c r="P32" s="38"/>
      <c r="Q32" s="38"/>
      <c r="R32" s="38"/>
      <c r="S32" s="36" t="s">
        <v>56</v>
      </c>
      <c r="T32" s="38"/>
      <c r="U32" s="38"/>
      <c r="V32" s="37"/>
    </row>
    <row r="33" spans="1:22" ht="15.6">
      <c r="A33" s="126"/>
      <c r="B33" s="34">
        <v>5.0999999999999996</v>
      </c>
      <c r="C33" s="38"/>
      <c r="D33" s="38"/>
      <c r="E33" s="38"/>
      <c r="F33" s="38"/>
      <c r="G33" s="38"/>
      <c r="H33" s="38"/>
      <c r="I33" s="38"/>
      <c r="J33" s="38"/>
      <c r="K33" s="38"/>
      <c r="L33" s="38"/>
      <c r="M33" s="38" t="s">
        <v>58</v>
      </c>
      <c r="N33" s="38"/>
      <c r="O33" s="38"/>
      <c r="P33" s="38"/>
      <c r="Q33" s="38"/>
      <c r="R33" s="38"/>
      <c r="S33" s="38" t="s">
        <v>58</v>
      </c>
      <c r="T33" s="38"/>
      <c r="U33" s="38"/>
      <c r="V33" s="37"/>
    </row>
    <row r="34" spans="1:22" ht="15.6">
      <c r="A34" s="126"/>
      <c r="B34" s="34">
        <v>5.2</v>
      </c>
      <c r="C34" s="38"/>
      <c r="D34" s="38"/>
      <c r="E34" s="38"/>
      <c r="F34" s="38"/>
      <c r="G34" s="38"/>
      <c r="H34" s="38"/>
      <c r="I34" s="38"/>
      <c r="J34" s="38"/>
      <c r="K34" s="38"/>
      <c r="L34" s="38"/>
      <c r="M34" s="38" t="s">
        <v>58</v>
      </c>
      <c r="N34" s="38"/>
      <c r="O34" s="38"/>
      <c r="P34" s="38"/>
      <c r="Q34" s="38"/>
      <c r="R34" s="38"/>
      <c r="S34" s="38"/>
      <c r="T34" s="38"/>
      <c r="U34" s="38"/>
      <c r="V34" s="37"/>
    </row>
    <row r="35" spans="1:22" ht="15.6">
      <c r="A35" s="126"/>
      <c r="B35" s="34">
        <v>5.3</v>
      </c>
      <c r="C35" s="38"/>
      <c r="D35" s="38"/>
      <c r="E35" s="38"/>
      <c r="F35" s="38"/>
      <c r="G35" s="38"/>
      <c r="H35" s="38"/>
      <c r="I35" s="38"/>
      <c r="J35" s="38"/>
      <c r="K35" s="38"/>
      <c r="L35" s="38"/>
      <c r="M35" s="38" t="s">
        <v>58</v>
      </c>
      <c r="N35" s="38"/>
      <c r="O35" s="38"/>
      <c r="P35" s="38"/>
      <c r="Q35" s="38"/>
      <c r="R35" s="38"/>
      <c r="S35" s="38"/>
      <c r="T35" s="38"/>
      <c r="U35" s="38"/>
      <c r="V35" s="37"/>
    </row>
    <row r="37" spans="1:22" s="40" customFormat="1" ht="21">
      <c r="C37" s="41" t="s">
        <v>35</v>
      </c>
      <c r="D37" s="41" t="s">
        <v>36</v>
      </c>
      <c r="E37" s="42" t="s">
        <v>37</v>
      </c>
      <c r="F37" s="42" t="s">
        <v>38</v>
      </c>
      <c r="G37" s="41" t="s">
        <v>39</v>
      </c>
      <c r="H37" s="41" t="s">
        <v>40</v>
      </c>
      <c r="I37" s="41" t="s">
        <v>41</v>
      </c>
      <c r="J37" s="41" t="s">
        <v>42</v>
      </c>
      <c r="K37" s="42" t="s">
        <v>43</v>
      </c>
      <c r="L37" s="42" t="s">
        <v>44</v>
      </c>
      <c r="M37" s="42" t="s">
        <v>45</v>
      </c>
      <c r="N37" s="41" t="s">
        <v>46</v>
      </c>
      <c r="O37" s="42" t="s">
        <v>47</v>
      </c>
      <c r="P37" s="41" t="s">
        <v>48</v>
      </c>
      <c r="Q37" s="41" t="s">
        <v>49</v>
      </c>
      <c r="R37" s="41" t="s">
        <v>50</v>
      </c>
      <c r="S37" s="42" t="s">
        <v>51</v>
      </c>
      <c r="T37" s="42" t="s">
        <v>52</v>
      </c>
      <c r="U37" s="42" t="s">
        <v>53</v>
      </c>
      <c r="V37" s="43" t="s">
        <v>54</v>
      </c>
    </row>
    <row r="38" spans="1:22" s="44" customFormat="1" ht="23.4">
      <c r="A38" s="44" t="s">
        <v>68</v>
      </c>
      <c r="C38" s="45">
        <v>4</v>
      </c>
      <c r="D38" s="45">
        <v>3</v>
      </c>
      <c r="E38" s="45">
        <v>3</v>
      </c>
      <c r="F38" s="45">
        <v>3</v>
      </c>
      <c r="G38" s="45">
        <v>3</v>
      </c>
      <c r="H38" s="45">
        <v>3</v>
      </c>
      <c r="I38" s="45">
        <v>3</v>
      </c>
      <c r="J38" s="45">
        <v>3</v>
      </c>
      <c r="K38" s="45">
        <v>4</v>
      </c>
      <c r="L38" s="45">
        <v>3</v>
      </c>
      <c r="M38" s="45">
        <v>5</v>
      </c>
      <c r="N38" s="45">
        <v>3</v>
      </c>
      <c r="O38" s="45">
        <v>3</v>
      </c>
      <c r="P38" s="45">
        <v>3</v>
      </c>
      <c r="Q38" s="45">
        <v>4</v>
      </c>
      <c r="R38" s="45">
        <v>3</v>
      </c>
      <c r="S38" s="45">
        <v>5</v>
      </c>
      <c r="T38" s="45">
        <v>3</v>
      </c>
      <c r="U38" s="45">
        <v>2</v>
      </c>
      <c r="V38" s="45">
        <v>4</v>
      </c>
    </row>
    <row r="43" spans="1:22" ht="18">
      <c r="A43" s="46" t="s">
        <v>69</v>
      </c>
      <c r="C43" s="47"/>
      <c r="D43" s="47"/>
      <c r="E43" s="47"/>
      <c r="F43" s="47"/>
      <c r="G43" s="47"/>
      <c r="H43" s="47"/>
      <c r="I43" s="47"/>
      <c r="K43" s="47"/>
      <c r="L43" s="47"/>
      <c r="M43" s="47"/>
      <c r="N43" s="47"/>
      <c r="O43" s="47"/>
      <c r="P43" s="47"/>
      <c r="Q43" s="47"/>
      <c r="R43" s="47"/>
    </row>
    <row r="45" spans="1:22" ht="15.6">
      <c r="C45" s="48" t="s">
        <v>51</v>
      </c>
      <c r="D45" s="48" t="s">
        <v>53</v>
      </c>
      <c r="E45" s="49" t="s">
        <v>52</v>
      </c>
      <c r="F45" s="49" t="s">
        <v>50</v>
      </c>
      <c r="G45" s="48" t="s">
        <v>35</v>
      </c>
      <c r="H45" s="48" t="s">
        <v>36</v>
      </c>
      <c r="I45" s="48" t="s">
        <v>48</v>
      </c>
      <c r="J45" s="48" t="s">
        <v>45</v>
      </c>
      <c r="K45" s="49" t="s">
        <v>47</v>
      </c>
      <c r="L45" s="49" t="s">
        <v>44</v>
      </c>
      <c r="M45" s="49" t="s">
        <v>43</v>
      </c>
      <c r="N45" s="48" t="s">
        <v>38</v>
      </c>
      <c r="O45" s="49" t="s">
        <v>49</v>
      </c>
      <c r="P45" s="48" t="s">
        <v>41</v>
      </c>
      <c r="Q45" s="48" t="s">
        <v>39</v>
      </c>
      <c r="R45" s="48" t="s">
        <v>42</v>
      </c>
      <c r="S45" s="49" t="s">
        <v>46</v>
      </c>
      <c r="T45" s="49" t="s">
        <v>37</v>
      </c>
      <c r="U45" s="49" t="s">
        <v>40</v>
      </c>
      <c r="V45" s="31" t="s">
        <v>54</v>
      </c>
    </row>
    <row r="46" spans="1:22">
      <c r="A46" s="126" t="s">
        <v>636</v>
      </c>
      <c r="B46" s="35" t="s">
        <v>55</v>
      </c>
      <c r="C46" s="36" t="str">
        <f>S4</f>
        <v>-</v>
      </c>
      <c r="D46" s="36" t="str">
        <f>U4</f>
        <v>-</v>
      </c>
      <c r="E46" s="36" t="str">
        <f>T4</f>
        <v>-</v>
      </c>
      <c r="F46" s="36" t="str">
        <f>R4</f>
        <v>-</v>
      </c>
      <c r="G46" s="36" t="str">
        <f>C4</f>
        <v>-</v>
      </c>
      <c r="H46" s="36" t="str">
        <f>D4</f>
        <v>-</v>
      </c>
      <c r="I46" s="36" t="str">
        <f>P4</f>
        <v>-</v>
      </c>
      <c r="J46" s="36" t="str">
        <f>M4</f>
        <v>-</v>
      </c>
      <c r="K46" s="36" t="str">
        <f>O4</f>
        <v>-</v>
      </c>
      <c r="L46" s="36" t="str">
        <f>L4</f>
        <v>-</v>
      </c>
      <c r="M46" s="36" t="str">
        <f>K4</f>
        <v>-</v>
      </c>
      <c r="N46" s="36" t="str">
        <f>F4</f>
        <v>-</v>
      </c>
      <c r="O46" s="36" t="str">
        <f>Q4</f>
        <v>-</v>
      </c>
      <c r="P46" s="36" t="str">
        <f>I4</f>
        <v>-</v>
      </c>
      <c r="Q46" s="36" t="str">
        <f>G4</f>
        <v>-</v>
      </c>
      <c r="R46" s="36" t="str">
        <f>J4</f>
        <v>-</v>
      </c>
      <c r="S46" s="36" t="str">
        <f>N4</f>
        <v>-</v>
      </c>
      <c r="T46" s="36" t="str">
        <f>E4</f>
        <v>-</v>
      </c>
      <c r="U46" s="36" t="str">
        <f>H4</f>
        <v>-</v>
      </c>
      <c r="V46" s="36" t="str">
        <f>V4</f>
        <v>U</v>
      </c>
    </row>
    <row r="47" spans="1:22">
      <c r="A47" s="126"/>
      <c r="B47" s="34">
        <v>1.1000000000000001</v>
      </c>
      <c r="C47" s="36" t="str">
        <f>S5</f>
        <v>OoS</v>
      </c>
      <c r="D47" s="36" t="str">
        <f>U5</f>
        <v>OoS</v>
      </c>
      <c r="E47" s="36" t="str">
        <f>T5</f>
        <v>OoS</v>
      </c>
      <c r="F47" s="36" t="str">
        <f>R5</f>
        <v>OoS</v>
      </c>
      <c r="G47" s="36" t="str">
        <f>C5</f>
        <v>OoS</v>
      </c>
      <c r="H47" s="36" t="str">
        <f>D5</f>
        <v>OoS</v>
      </c>
      <c r="I47" s="36" t="str">
        <f>P5</f>
        <v>OoS</v>
      </c>
      <c r="J47" s="36" t="str">
        <f>M5</f>
        <v>OoS</v>
      </c>
      <c r="K47" s="36" t="str">
        <f>O5</f>
        <v>OoS</v>
      </c>
      <c r="L47" s="36" t="str">
        <f>L5</f>
        <v>OoS</v>
      </c>
      <c r="M47" s="36" t="str">
        <f>K5</f>
        <v>OoS</v>
      </c>
      <c r="N47" s="36" t="str">
        <f>F5</f>
        <v>OoS</v>
      </c>
      <c r="O47" s="36" t="str">
        <f>Q5</f>
        <v>OoS</v>
      </c>
      <c r="P47" s="36" t="str">
        <f>I5</f>
        <v>OoS</v>
      </c>
      <c r="Q47" s="36" t="str">
        <f>G5</f>
        <v>OoS</v>
      </c>
      <c r="R47" s="36" t="str">
        <f>J5</f>
        <v>OoS</v>
      </c>
      <c r="S47" s="36" t="str">
        <f>N5</f>
        <v>OoS</v>
      </c>
      <c r="T47" s="36" t="str">
        <f>E5</f>
        <v>OoS</v>
      </c>
      <c r="U47" s="36" t="str">
        <f>H5</f>
        <v>OoS</v>
      </c>
      <c r="V47" s="36" t="str">
        <f>V5</f>
        <v>DM</v>
      </c>
    </row>
    <row r="48" spans="1:22">
      <c r="A48" s="126"/>
      <c r="B48" s="34">
        <v>1.2</v>
      </c>
      <c r="C48" s="36"/>
      <c r="D48" s="36"/>
      <c r="E48" s="36" t="str">
        <f>T6</f>
        <v>OoS</v>
      </c>
      <c r="F48" s="36"/>
      <c r="G48" s="36"/>
      <c r="H48" s="36"/>
      <c r="I48" s="36" t="str">
        <f>P6</f>
        <v>OoS</v>
      </c>
      <c r="J48" s="36" t="str">
        <f>M6</f>
        <v>OoS</v>
      </c>
      <c r="K48" s="36"/>
      <c r="L48" s="36"/>
      <c r="M48" s="36" t="str">
        <f>K6</f>
        <v>OoS</v>
      </c>
      <c r="N48" s="36"/>
      <c r="O48" s="36" t="str">
        <f>Q6</f>
        <v>OoS</v>
      </c>
      <c r="P48" s="36"/>
      <c r="Q48" s="36"/>
      <c r="R48" s="36"/>
      <c r="S48" s="36"/>
      <c r="T48" s="36"/>
      <c r="U48" s="36" t="str">
        <f>H6</f>
        <v>OoS</v>
      </c>
      <c r="V48" s="36" t="str">
        <f>V6</f>
        <v>PM</v>
      </c>
    </row>
    <row r="49" spans="1:22">
      <c r="A49" s="126"/>
      <c r="B49" s="34">
        <v>1.3</v>
      </c>
      <c r="C49" s="36"/>
      <c r="D49" s="36"/>
      <c r="E49" s="36"/>
      <c r="F49" s="36"/>
      <c r="G49" s="36"/>
      <c r="H49" s="36"/>
      <c r="I49" s="36"/>
      <c r="J49" s="36"/>
      <c r="K49" s="36"/>
      <c r="L49" s="36"/>
      <c r="M49" s="36">
        <f t="shared" ref="M49:M68" si="0">K8</f>
        <v>0</v>
      </c>
      <c r="N49" s="36"/>
      <c r="O49" s="36"/>
      <c r="P49" s="36"/>
      <c r="Q49" s="36"/>
      <c r="R49" s="36"/>
      <c r="S49" s="36"/>
      <c r="T49" s="36"/>
      <c r="U49" s="36"/>
      <c r="V49" s="36" t="str">
        <f t="shared" ref="V49:V68" si="1">V8</f>
        <v>LM</v>
      </c>
    </row>
    <row r="50" spans="1:22">
      <c r="A50" s="126" t="s">
        <v>62</v>
      </c>
      <c r="B50" s="35" t="s">
        <v>62</v>
      </c>
      <c r="C50" s="36" t="str">
        <f t="shared" ref="C50:C74" si="2">S9</f>
        <v>-</v>
      </c>
      <c r="D50" s="36" t="str">
        <f t="shared" ref="D50:D56" si="3">U9</f>
        <v>-</v>
      </c>
      <c r="E50" s="36" t="str">
        <f t="shared" ref="E50:E60" si="4">T9</f>
        <v>-</v>
      </c>
      <c r="F50" s="36" t="str">
        <f t="shared" ref="F50:F61" si="5">R9</f>
        <v>-</v>
      </c>
      <c r="G50" s="36" t="str">
        <f t="shared" ref="G50:H68" si="6">C9</f>
        <v>-</v>
      </c>
      <c r="H50" s="36" t="str">
        <f t="shared" si="6"/>
        <v>-</v>
      </c>
      <c r="I50" s="36" t="str">
        <f t="shared" ref="I50:I63" si="7">P9</f>
        <v>-</v>
      </c>
      <c r="J50" s="36" t="str">
        <f t="shared" ref="J50:J76" si="8">M9</f>
        <v>-</v>
      </c>
      <c r="K50" s="36" t="str">
        <f t="shared" ref="K50:K65" si="9">O9</f>
        <v>-</v>
      </c>
      <c r="L50" s="36" t="str">
        <f t="shared" ref="L50:L66" si="10">L9</f>
        <v>-</v>
      </c>
      <c r="M50" s="36" t="str">
        <f t="shared" si="0"/>
        <v>-</v>
      </c>
      <c r="N50" s="36" t="str">
        <f t="shared" ref="N50:N62" si="11">F9</f>
        <v>-</v>
      </c>
      <c r="O50" s="36" t="str">
        <f t="shared" ref="O50:O68" si="12">Q9</f>
        <v>-</v>
      </c>
      <c r="P50" s="36" t="str">
        <f t="shared" ref="P50:P60" si="13">I9</f>
        <v>-</v>
      </c>
      <c r="Q50" s="36" t="str">
        <f t="shared" ref="Q50:Q60" si="14">G9</f>
        <v>-</v>
      </c>
      <c r="R50" s="36" t="str">
        <f t="shared" ref="R50:R66" si="15">J9</f>
        <v>-</v>
      </c>
      <c r="S50" s="36" t="str">
        <f t="shared" ref="S50:S64" si="16">N9</f>
        <v>-</v>
      </c>
      <c r="T50" s="36" t="str">
        <f t="shared" ref="T50:T65" si="17">E9</f>
        <v>-</v>
      </c>
      <c r="U50" s="36" t="str">
        <f t="shared" ref="U50:U61" si="18">H9</f>
        <v>-</v>
      </c>
      <c r="V50" s="36"/>
    </row>
    <row r="51" spans="1:22">
      <c r="A51" s="126"/>
      <c r="B51" s="34">
        <v>2.1</v>
      </c>
      <c r="C51" s="36" t="str">
        <f t="shared" si="2"/>
        <v>OoS</v>
      </c>
      <c r="D51" s="36" t="str">
        <f t="shared" si="3"/>
        <v>OoS</v>
      </c>
      <c r="E51" s="36" t="str">
        <f t="shared" si="4"/>
        <v>OoS</v>
      </c>
      <c r="F51" s="36" t="str">
        <f t="shared" si="5"/>
        <v>OoS</v>
      </c>
      <c r="G51" s="36" t="str">
        <f t="shared" si="6"/>
        <v>OoS</v>
      </c>
      <c r="H51" s="36" t="str">
        <f t="shared" si="6"/>
        <v>OoS</v>
      </c>
      <c r="I51" s="36" t="str">
        <f t="shared" si="7"/>
        <v>OoS</v>
      </c>
      <c r="J51" s="36" t="str">
        <f t="shared" si="8"/>
        <v>OoS</v>
      </c>
      <c r="K51" s="36" t="str">
        <f t="shared" si="9"/>
        <v>OoS</v>
      </c>
      <c r="L51" s="36" t="str">
        <f t="shared" si="10"/>
        <v>OoS</v>
      </c>
      <c r="M51" s="36" t="str">
        <f t="shared" si="0"/>
        <v>OoS</v>
      </c>
      <c r="N51" s="36" t="str">
        <f t="shared" si="11"/>
        <v>OoS</v>
      </c>
      <c r="O51" s="36" t="str">
        <f t="shared" si="12"/>
        <v>OoS</v>
      </c>
      <c r="P51" s="36" t="str">
        <f t="shared" si="13"/>
        <v>OoS</v>
      </c>
      <c r="Q51" s="36" t="str">
        <f t="shared" si="14"/>
        <v>OoS</v>
      </c>
      <c r="R51" s="36" t="str">
        <f t="shared" si="15"/>
        <v>OoS</v>
      </c>
      <c r="S51" s="36" t="str">
        <f t="shared" si="16"/>
        <v>OoS</v>
      </c>
      <c r="T51" s="36" t="str">
        <f t="shared" si="17"/>
        <v>OoS</v>
      </c>
      <c r="U51" s="36" t="str">
        <f t="shared" si="18"/>
        <v>OoS</v>
      </c>
      <c r="V51" s="36" t="str">
        <f t="shared" si="1"/>
        <v>DM</v>
      </c>
    </row>
    <row r="52" spans="1:22">
      <c r="A52" s="126"/>
      <c r="B52" s="34">
        <v>2.2000000000000002</v>
      </c>
      <c r="C52" s="36" t="str">
        <f t="shared" si="2"/>
        <v>OoS</v>
      </c>
      <c r="D52" s="36" t="str">
        <f t="shared" si="3"/>
        <v>OoS</v>
      </c>
      <c r="E52" s="36" t="str">
        <f t="shared" si="4"/>
        <v>OoS</v>
      </c>
      <c r="F52" s="36" t="str">
        <f t="shared" si="5"/>
        <v>OoS</v>
      </c>
      <c r="G52" s="36" t="str">
        <f t="shared" si="6"/>
        <v>OoS</v>
      </c>
      <c r="H52" s="36" t="str">
        <f t="shared" si="6"/>
        <v>OoS</v>
      </c>
      <c r="I52" s="36" t="str">
        <f t="shared" si="7"/>
        <v>OoS</v>
      </c>
      <c r="J52" s="36" t="str">
        <f t="shared" si="8"/>
        <v>OoS</v>
      </c>
      <c r="K52" s="36" t="str">
        <f t="shared" si="9"/>
        <v>OoS</v>
      </c>
      <c r="L52" s="36" t="str">
        <f t="shared" si="10"/>
        <v>OoS</v>
      </c>
      <c r="M52" s="36" t="str">
        <f t="shared" si="0"/>
        <v>OoS</v>
      </c>
      <c r="N52" s="36" t="str">
        <f t="shared" si="11"/>
        <v>OoS</v>
      </c>
      <c r="O52" s="36" t="str">
        <f t="shared" si="12"/>
        <v>OoS</v>
      </c>
      <c r="P52" s="36" t="str">
        <f t="shared" si="13"/>
        <v>OoS</v>
      </c>
      <c r="Q52" s="36" t="str">
        <f t="shared" si="14"/>
        <v>OoS</v>
      </c>
      <c r="R52" s="36" t="str">
        <f t="shared" si="15"/>
        <v>OoS</v>
      </c>
      <c r="S52" s="36" t="str">
        <f t="shared" si="16"/>
        <v>OoS</v>
      </c>
      <c r="T52" s="36" t="str">
        <f t="shared" si="17"/>
        <v>OoS</v>
      </c>
      <c r="U52" s="36" t="str">
        <f t="shared" si="18"/>
        <v>OoS</v>
      </c>
      <c r="V52" s="36" t="str">
        <f t="shared" si="1"/>
        <v>DM</v>
      </c>
    </row>
    <row r="53" spans="1:22">
      <c r="A53" s="126"/>
      <c r="B53" s="34">
        <v>2.2999999999999998</v>
      </c>
      <c r="C53" s="36"/>
      <c r="D53" s="36" t="str">
        <f t="shared" si="3"/>
        <v>OoS</v>
      </c>
      <c r="E53" s="36" t="str">
        <f t="shared" si="4"/>
        <v>OoS</v>
      </c>
      <c r="F53" s="36" t="str">
        <f t="shared" si="5"/>
        <v>OoS</v>
      </c>
      <c r="G53" s="36" t="str">
        <f t="shared" si="6"/>
        <v>OoS</v>
      </c>
      <c r="H53" s="36"/>
      <c r="I53" s="36" t="str">
        <f t="shared" si="7"/>
        <v>OoS</v>
      </c>
      <c r="J53" s="36" t="str">
        <f t="shared" si="8"/>
        <v>OoS</v>
      </c>
      <c r="K53" s="36"/>
      <c r="L53" s="36" t="str">
        <f t="shared" si="10"/>
        <v>OoS</v>
      </c>
      <c r="M53" s="36"/>
      <c r="N53" s="36" t="str">
        <f t="shared" si="11"/>
        <v>OoS</v>
      </c>
      <c r="O53" s="36" t="str">
        <f t="shared" si="12"/>
        <v>OoS</v>
      </c>
      <c r="P53" s="36" t="str">
        <f t="shared" si="13"/>
        <v>OoS</v>
      </c>
      <c r="Q53" s="36" t="str">
        <f t="shared" si="14"/>
        <v>OoS</v>
      </c>
      <c r="R53" s="36" t="str">
        <f t="shared" si="15"/>
        <v>OoS</v>
      </c>
      <c r="S53" s="36"/>
      <c r="T53" s="36" t="str">
        <f t="shared" si="17"/>
        <v>OoS</v>
      </c>
      <c r="U53" s="36" t="str">
        <f t="shared" si="18"/>
        <v>OoS</v>
      </c>
      <c r="V53" s="36" t="str">
        <f t="shared" si="1"/>
        <v>FM</v>
      </c>
    </row>
    <row r="54" spans="1:22">
      <c r="A54" s="126"/>
      <c r="B54" s="34">
        <v>2.4</v>
      </c>
      <c r="C54" s="36"/>
      <c r="D54" s="36" t="str">
        <f t="shared" si="3"/>
        <v>OoS</v>
      </c>
      <c r="E54" s="36" t="str">
        <f t="shared" si="4"/>
        <v>OoS</v>
      </c>
      <c r="F54" s="36"/>
      <c r="G54" s="36" t="str">
        <f t="shared" si="6"/>
        <v>OoS</v>
      </c>
      <c r="H54" s="36"/>
      <c r="I54" s="36" t="str">
        <f t="shared" si="7"/>
        <v>OoS</v>
      </c>
      <c r="J54" s="36" t="str">
        <f t="shared" si="8"/>
        <v>OoS</v>
      </c>
      <c r="K54" s="36"/>
      <c r="L54" s="36"/>
      <c r="M54" s="36"/>
      <c r="N54" s="36" t="str">
        <f t="shared" si="11"/>
        <v>OoS</v>
      </c>
      <c r="O54" s="36" t="str">
        <f t="shared" si="12"/>
        <v>OoS</v>
      </c>
      <c r="P54" s="36" t="str">
        <f t="shared" si="13"/>
        <v>OoS</v>
      </c>
      <c r="Q54" s="36" t="str">
        <f t="shared" si="14"/>
        <v>OoS</v>
      </c>
      <c r="R54" s="36" t="str">
        <f t="shared" si="15"/>
        <v>OoS</v>
      </c>
      <c r="S54" s="36"/>
      <c r="T54" s="36"/>
      <c r="U54" s="36"/>
      <c r="V54" s="36" t="str">
        <f t="shared" si="1"/>
        <v>LM</v>
      </c>
    </row>
    <row r="55" spans="1:22">
      <c r="A55" s="126"/>
      <c r="B55" s="34">
        <v>2.5</v>
      </c>
      <c r="C55" s="36"/>
      <c r="D55" s="36" t="str">
        <f t="shared" si="3"/>
        <v>OoS</v>
      </c>
      <c r="E55" s="36" t="str">
        <f t="shared" si="4"/>
        <v>OoS</v>
      </c>
      <c r="F55" s="36"/>
      <c r="G55" s="36"/>
      <c r="H55" s="36"/>
      <c r="I55" s="36"/>
      <c r="J55" s="36" t="str">
        <f t="shared" si="8"/>
        <v>OoS</v>
      </c>
      <c r="K55" s="36"/>
      <c r="L55" s="36"/>
      <c r="M55" s="36"/>
      <c r="N55" s="36" t="str">
        <f t="shared" si="11"/>
        <v>OoS</v>
      </c>
      <c r="O55" s="36" t="str">
        <f t="shared" si="12"/>
        <v>OoS</v>
      </c>
      <c r="P55" s="36"/>
      <c r="Q55" s="36"/>
      <c r="R55" s="36" t="str">
        <f t="shared" si="15"/>
        <v>OoS</v>
      </c>
      <c r="S55" s="36"/>
      <c r="T55" s="36"/>
      <c r="U55" s="36"/>
      <c r="V55" s="36"/>
    </row>
    <row r="56" spans="1:22">
      <c r="A56" s="126"/>
      <c r="B56" s="34">
        <v>2.6</v>
      </c>
      <c r="C56" s="36"/>
      <c r="D56" s="36" t="str">
        <f t="shared" si="3"/>
        <v>OoS</v>
      </c>
      <c r="E56" s="36"/>
      <c r="F56" s="36"/>
      <c r="G56" s="36"/>
      <c r="H56" s="36"/>
      <c r="I56" s="36"/>
      <c r="J56" s="36" t="str">
        <f t="shared" si="8"/>
        <v>OoS</v>
      </c>
      <c r="K56" s="36"/>
      <c r="L56" s="36"/>
      <c r="M56" s="36"/>
      <c r="N56" s="36" t="str">
        <f t="shared" si="11"/>
        <v>OoS</v>
      </c>
      <c r="O56" s="36" t="str">
        <f t="shared" si="12"/>
        <v>OoS</v>
      </c>
      <c r="P56" s="36"/>
      <c r="Q56" s="36"/>
      <c r="R56" s="36" t="str">
        <f t="shared" si="15"/>
        <v>OoS</v>
      </c>
      <c r="S56" s="36"/>
      <c r="T56" s="36"/>
      <c r="U56" s="36"/>
      <c r="V56" s="36"/>
    </row>
    <row r="57" spans="1:22">
      <c r="A57" s="126"/>
      <c r="B57" s="34">
        <v>2.7</v>
      </c>
      <c r="C57" s="36"/>
      <c r="D57" s="36"/>
      <c r="E57" s="36"/>
      <c r="F57" s="36"/>
      <c r="G57" s="36"/>
      <c r="H57" s="36"/>
      <c r="I57" s="36"/>
      <c r="J57" s="36"/>
      <c r="K57" s="36"/>
      <c r="L57" s="36"/>
      <c r="M57" s="36"/>
      <c r="N57" s="36"/>
      <c r="O57" s="36" t="str">
        <f t="shared" si="12"/>
        <v>OoS</v>
      </c>
      <c r="P57" s="36"/>
      <c r="Q57" s="36"/>
      <c r="R57" s="36"/>
      <c r="S57" s="36"/>
      <c r="T57" s="36"/>
      <c r="U57" s="36"/>
      <c r="V57" s="36"/>
    </row>
    <row r="58" spans="1:22">
      <c r="A58" s="126"/>
      <c r="B58" s="34">
        <v>2.8</v>
      </c>
      <c r="C58" s="36"/>
      <c r="D58" s="36"/>
      <c r="E58" s="36"/>
      <c r="F58" s="36"/>
      <c r="G58" s="36"/>
      <c r="H58" s="36"/>
      <c r="I58" s="36"/>
      <c r="J58" s="36"/>
      <c r="K58" s="36"/>
      <c r="L58" s="36"/>
      <c r="M58" s="36"/>
      <c r="N58" s="36"/>
      <c r="O58" s="36" t="str">
        <f t="shared" si="12"/>
        <v>OoS</v>
      </c>
      <c r="P58" s="36"/>
      <c r="Q58" s="36"/>
      <c r="R58" s="36"/>
      <c r="S58" s="36"/>
      <c r="T58" s="36"/>
      <c r="U58" s="36"/>
      <c r="V58" s="36"/>
    </row>
    <row r="59" spans="1:22">
      <c r="A59" s="126" t="s">
        <v>64</v>
      </c>
      <c r="B59" s="35" t="s">
        <v>64</v>
      </c>
      <c r="C59" s="36" t="str">
        <f t="shared" si="2"/>
        <v>-</v>
      </c>
      <c r="D59" s="36"/>
      <c r="E59" s="36" t="str">
        <f t="shared" si="4"/>
        <v>-</v>
      </c>
      <c r="F59" s="36" t="str">
        <f t="shared" si="5"/>
        <v>-</v>
      </c>
      <c r="G59" s="36" t="str">
        <f t="shared" si="6"/>
        <v>-</v>
      </c>
      <c r="H59" s="36" t="str">
        <f t="shared" si="6"/>
        <v>-</v>
      </c>
      <c r="I59" s="36" t="str">
        <f t="shared" si="7"/>
        <v>-</v>
      </c>
      <c r="J59" s="36" t="str">
        <f t="shared" si="8"/>
        <v>-</v>
      </c>
      <c r="K59" s="36" t="str">
        <f t="shared" si="9"/>
        <v>-</v>
      </c>
      <c r="L59" s="36" t="str">
        <f t="shared" si="10"/>
        <v>-</v>
      </c>
      <c r="M59" s="36" t="str">
        <f t="shared" si="0"/>
        <v>-</v>
      </c>
      <c r="N59" s="36" t="str">
        <f t="shared" si="11"/>
        <v>-</v>
      </c>
      <c r="O59" s="36" t="str">
        <f t="shared" si="12"/>
        <v>-</v>
      </c>
      <c r="P59" s="36" t="str">
        <f t="shared" si="13"/>
        <v>-</v>
      </c>
      <c r="Q59" s="36" t="str">
        <f t="shared" si="14"/>
        <v>-</v>
      </c>
      <c r="R59" s="36" t="str">
        <f t="shared" si="15"/>
        <v>-</v>
      </c>
      <c r="S59" s="36" t="str">
        <f t="shared" si="16"/>
        <v>-</v>
      </c>
      <c r="T59" s="36" t="str">
        <f t="shared" si="17"/>
        <v>-</v>
      </c>
      <c r="U59" s="36" t="str">
        <f t="shared" si="18"/>
        <v>-</v>
      </c>
      <c r="V59" s="36">
        <f t="shared" si="1"/>
        <v>0</v>
      </c>
    </row>
    <row r="60" spans="1:22">
      <c r="A60" s="126"/>
      <c r="B60" s="34">
        <v>3.1</v>
      </c>
      <c r="C60" s="36" t="str">
        <f t="shared" si="2"/>
        <v>OoS</v>
      </c>
      <c r="D60" s="36"/>
      <c r="E60" s="36" t="str">
        <f t="shared" si="4"/>
        <v>OoS</v>
      </c>
      <c r="F60" s="36" t="str">
        <f t="shared" si="5"/>
        <v>OoS</v>
      </c>
      <c r="G60" s="36" t="str">
        <f t="shared" si="6"/>
        <v>OoS</v>
      </c>
      <c r="H60" s="36" t="str">
        <f t="shared" si="6"/>
        <v>OoS</v>
      </c>
      <c r="I60" s="36" t="str">
        <f t="shared" si="7"/>
        <v>OoS</v>
      </c>
      <c r="J60" s="36" t="str">
        <f t="shared" si="8"/>
        <v>OoS</v>
      </c>
      <c r="K60" s="36" t="str">
        <f t="shared" si="9"/>
        <v>OoS</v>
      </c>
      <c r="L60" s="36" t="str">
        <f t="shared" si="10"/>
        <v>OoS</v>
      </c>
      <c r="M60" s="36" t="str">
        <f t="shared" si="0"/>
        <v>OoS</v>
      </c>
      <c r="N60" s="36" t="str">
        <f t="shared" si="11"/>
        <v>OoS</v>
      </c>
      <c r="O60" s="36" t="str">
        <f t="shared" si="12"/>
        <v>OoS</v>
      </c>
      <c r="P60" s="36" t="str">
        <f t="shared" si="13"/>
        <v>OoS</v>
      </c>
      <c r="Q60" s="36" t="str">
        <f t="shared" si="14"/>
        <v>OoS</v>
      </c>
      <c r="R60" s="36" t="str">
        <f t="shared" si="15"/>
        <v>OoS</v>
      </c>
      <c r="S60" s="36" t="str">
        <f t="shared" si="16"/>
        <v>OoS</v>
      </c>
      <c r="T60" s="36" t="str">
        <f t="shared" si="17"/>
        <v>OoS</v>
      </c>
      <c r="U60" s="36" t="str">
        <f t="shared" si="18"/>
        <v>OoS</v>
      </c>
      <c r="V60" s="36" t="str">
        <f t="shared" si="1"/>
        <v>DM</v>
      </c>
    </row>
    <row r="61" spans="1:22">
      <c r="A61" s="126"/>
      <c r="B61" s="34">
        <v>3.2</v>
      </c>
      <c r="C61" s="36" t="str">
        <f t="shared" si="2"/>
        <v>OoS</v>
      </c>
      <c r="D61" s="36"/>
      <c r="E61" s="36"/>
      <c r="F61" s="36" t="str">
        <f t="shared" si="5"/>
        <v>OoS</v>
      </c>
      <c r="G61" s="36" t="str">
        <f t="shared" si="6"/>
        <v>OoS</v>
      </c>
      <c r="H61" s="36" t="str">
        <f t="shared" si="6"/>
        <v>OoS</v>
      </c>
      <c r="I61" s="36" t="str">
        <f t="shared" si="7"/>
        <v>OoS</v>
      </c>
      <c r="J61" s="36" t="str">
        <f t="shared" si="8"/>
        <v>OoS</v>
      </c>
      <c r="K61" s="36" t="str">
        <f t="shared" si="9"/>
        <v>OoS</v>
      </c>
      <c r="L61" s="36" t="str">
        <f t="shared" si="10"/>
        <v>OoS</v>
      </c>
      <c r="M61" s="36" t="str">
        <f t="shared" si="0"/>
        <v>OoS</v>
      </c>
      <c r="N61" s="36" t="str">
        <f t="shared" si="11"/>
        <v>OoS</v>
      </c>
      <c r="O61" s="36" t="str">
        <f t="shared" si="12"/>
        <v>OoS</v>
      </c>
      <c r="P61" s="36"/>
      <c r="Q61" s="36"/>
      <c r="R61" s="36" t="str">
        <f t="shared" si="15"/>
        <v>OoS</v>
      </c>
      <c r="S61" s="36" t="str">
        <f t="shared" si="16"/>
        <v>OoS</v>
      </c>
      <c r="T61" s="36" t="str">
        <f t="shared" si="17"/>
        <v>OoS</v>
      </c>
      <c r="U61" s="36" t="str">
        <f t="shared" si="18"/>
        <v>OoS</v>
      </c>
      <c r="V61" s="36" t="str">
        <f t="shared" si="1"/>
        <v>DM</v>
      </c>
    </row>
    <row r="62" spans="1:22">
      <c r="A62" s="126"/>
      <c r="B62" s="34">
        <v>3.3</v>
      </c>
      <c r="C62" s="36" t="str">
        <f t="shared" si="2"/>
        <v>OoS</v>
      </c>
      <c r="D62" s="36"/>
      <c r="E62" s="36"/>
      <c r="F62" s="36"/>
      <c r="G62" s="36"/>
      <c r="H62" s="36" t="str">
        <f t="shared" si="6"/>
        <v>OoS</v>
      </c>
      <c r="I62" s="36" t="str">
        <f t="shared" si="7"/>
        <v>OoS</v>
      </c>
      <c r="J62" s="36" t="str">
        <f t="shared" si="8"/>
        <v>OoS</v>
      </c>
      <c r="K62" s="36" t="str">
        <f t="shared" si="9"/>
        <v>OoS</v>
      </c>
      <c r="L62" s="36" t="str">
        <f t="shared" si="10"/>
        <v>OoS</v>
      </c>
      <c r="M62" s="36" t="str">
        <f t="shared" si="0"/>
        <v>OoS</v>
      </c>
      <c r="N62" s="36" t="str">
        <f t="shared" si="11"/>
        <v>OoS</v>
      </c>
      <c r="O62" s="36" t="str">
        <f t="shared" si="12"/>
        <v>OoS</v>
      </c>
      <c r="P62" s="36"/>
      <c r="Q62" s="36"/>
      <c r="R62" s="36" t="str">
        <f t="shared" si="15"/>
        <v>OoS</v>
      </c>
      <c r="S62" s="36" t="str">
        <f t="shared" si="16"/>
        <v>OoS</v>
      </c>
      <c r="T62" s="36" t="str">
        <f t="shared" si="17"/>
        <v>OoS</v>
      </c>
      <c r="U62" s="36"/>
      <c r="V62" s="36"/>
    </row>
    <row r="63" spans="1:22">
      <c r="A63" s="126"/>
      <c r="B63" s="34">
        <v>3.4</v>
      </c>
      <c r="C63" s="36" t="str">
        <f t="shared" si="2"/>
        <v>OoS</v>
      </c>
      <c r="D63" s="36"/>
      <c r="E63" s="36"/>
      <c r="F63" s="36"/>
      <c r="G63" s="36"/>
      <c r="H63" s="36"/>
      <c r="I63" s="36" t="str">
        <f t="shared" si="7"/>
        <v>OoS</v>
      </c>
      <c r="J63" s="36" t="str">
        <f t="shared" si="8"/>
        <v>OoS</v>
      </c>
      <c r="K63" s="36" t="str">
        <f t="shared" si="9"/>
        <v>OoS</v>
      </c>
      <c r="L63" s="36" t="str">
        <f t="shared" si="10"/>
        <v>OoS</v>
      </c>
      <c r="M63" s="36" t="str">
        <f t="shared" si="0"/>
        <v>OoS</v>
      </c>
      <c r="N63" s="36"/>
      <c r="O63" s="36" t="str">
        <f t="shared" si="12"/>
        <v>OoS</v>
      </c>
      <c r="P63" s="36"/>
      <c r="Q63" s="36"/>
      <c r="R63" s="36" t="str">
        <f t="shared" si="15"/>
        <v>OoS</v>
      </c>
      <c r="S63" s="36" t="str">
        <f t="shared" si="16"/>
        <v>OoS</v>
      </c>
      <c r="T63" s="36" t="str">
        <f t="shared" si="17"/>
        <v>OoS</v>
      </c>
      <c r="U63" s="36"/>
      <c r="V63" s="36"/>
    </row>
    <row r="64" spans="1:22">
      <c r="A64" s="126"/>
      <c r="B64" s="34">
        <v>3.5</v>
      </c>
      <c r="C64" s="36" t="str">
        <f t="shared" si="2"/>
        <v>OoS</v>
      </c>
      <c r="D64" s="36"/>
      <c r="E64" s="36"/>
      <c r="F64" s="36"/>
      <c r="G64" s="36"/>
      <c r="H64" s="36"/>
      <c r="I64" s="36"/>
      <c r="J64" s="36" t="str">
        <f t="shared" si="8"/>
        <v>OoS</v>
      </c>
      <c r="K64" s="36" t="str">
        <f t="shared" si="9"/>
        <v>OoS</v>
      </c>
      <c r="L64" s="36" t="str">
        <f t="shared" si="10"/>
        <v>OoS</v>
      </c>
      <c r="M64" s="36" t="str">
        <f t="shared" si="0"/>
        <v>OoS</v>
      </c>
      <c r="N64" s="36"/>
      <c r="O64" s="36"/>
      <c r="P64" s="36"/>
      <c r="Q64" s="36"/>
      <c r="R64" s="36" t="str">
        <f t="shared" si="15"/>
        <v>OoS</v>
      </c>
      <c r="S64" s="36" t="str">
        <f t="shared" si="16"/>
        <v>OoS</v>
      </c>
      <c r="T64" s="36" t="str">
        <f t="shared" si="17"/>
        <v>OoS</v>
      </c>
      <c r="U64" s="36"/>
      <c r="V64" s="36"/>
    </row>
    <row r="65" spans="1:22">
      <c r="A65" s="126"/>
      <c r="B65" s="34">
        <v>3.6</v>
      </c>
      <c r="C65" s="36"/>
      <c r="D65" s="36"/>
      <c r="E65" s="36"/>
      <c r="F65" s="36"/>
      <c r="G65" s="36"/>
      <c r="H65" s="36"/>
      <c r="I65" s="36"/>
      <c r="J65" s="36" t="str">
        <f t="shared" si="8"/>
        <v>OoS</v>
      </c>
      <c r="K65" s="36" t="str">
        <f t="shared" si="9"/>
        <v>OoS</v>
      </c>
      <c r="L65" s="36" t="str">
        <f t="shared" si="10"/>
        <v>OoS</v>
      </c>
      <c r="M65" s="36" t="str">
        <f t="shared" si="0"/>
        <v>OoS</v>
      </c>
      <c r="N65" s="36"/>
      <c r="O65" s="36"/>
      <c r="P65" s="36"/>
      <c r="Q65" s="36"/>
      <c r="R65" s="36" t="str">
        <f t="shared" si="15"/>
        <v>OoS</v>
      </c>
      <c r="S65" s="36"/>
      <c r="T65" s="36" t="str">
        <f t="shared" si="17"/>
        <v>OoS</v>
      </c>
      <c r="U65" s="36"/>
      <c r="V65" s="36"/>
    </row>
    <row r="66" spans="1:22">
      <c r="A66" s="126"/>
      <c r="B66" s="34">
        <v>3.7</v>
      </c>
      <c r="C66" s="36"/>
      <c r="D66" s="36"/>
      <c r="E66" s="36"/>
      <c r="F66" s="36"/>
      <c r="G66" s="36"/>
      <c r="H66" s="36"/>
      <c r="I66" s="36"/>
      <c r="J66" s="36"/>
      <c r="K66" s="36"/>
      <c r="L66" s="36" t="str">
        <f t="shared" si="10"/>
        <v>OoS</v>
      </c>
      <c r="M66" s="36"/>
      <c r="N66" s="36"/>
      <c r="O66" s="36"/>
      <c r="P66" s="36"/>
      <c r="Q66" s="36"/>
      <c r="R66" s="36" t="str">
        <f t="shared" si="15"/>
        <v>OoS</v>
      </c>
      <c r="S66" s="36"/>
      <c r="T66" s="36"/>
      <c r="U66" s="36"/>
      <c r="V66" s="36"/>
    </row>
    <row r="67" spans="1:22">
      <c r="A67" s="126" t="s">
        <v>637</v>
      </c>
      <c r="B67" s="35" t="s">
        <v>65</v>
      </c>
      <c r="C67" s="36" t="str">
        <f t="shared" si="2"/>
        <v>-</v>
      </c>
      <c r="D67" s="36"/>
      <c r="E67" s="36"/>
      <c r="F67" s="36"/>
      <c r="G67" s="36" t="str">
        <f t="shared" si="6"/>
        <v>-</v>
      </c>
      <c r="H67" s="36"/>
      <c r="I67" s="36"/>
      <c r="J67" s="36" t="str">
        <f t="shared" si="8"/>
        <v>-</v>
      </c>
      <c r="K67" s="36"/>
      <c r="L67" s="36"/>
      <c r="M67" s="36" t="str">
        <f t="shared" si="0"/>
        <v>-</v>
      </c>
      <c r="N67" s="36"/>
      <c r="O67" s="36" t="str">
        <f t="shared" si="12"/>
        <v>-</v>
      </c>
      <c r="P67" s="36"/>
      <c r="Q67" s="36"/>
      <c r="R67" s="36"/>
      <c r="S67" s="36"/>
      <c r="T67" s="36"/>
      <c r="U67" s="36"/>
      <c r="V67" s="36"/>
    </row>
    <row r="68" spans="1:22">
      <c r="A68" s="126"/>
      <c r="B68" s="34">
        <v>4.0999999999999996</v>
      </c>
      <c r="C68" s="36" t="str">
        <f t="shared" si="2"/>
        <v>OoS</v>
      </c>
      <c r="D68" s="36"/>
      <c r="E68" s="36"/>
      <c r="F68" s="36"/>
      <c r="G68" s="36" t="str">
        <f t="shared" si="6"/>
        <v>OoS</v>
      </c>
      <c r="H68" s="36"/>
      <c r="I68" s="36"/>
      <c r="J68" s="36" t="str">
        <f t="shared" si="8"/>
        <v>OoS</v>
      </c>
      <c r="K68" s="36"/>
      <c r="L68" s="36"/>
      <c r="M68" s="36" t="str">
        <f t="shared" si="0"/>
        <v>OoS</v>
      </c>
      <c r="N68" s="36"/>
      <c r="O68" s="36" t="str">
        <f t="shared" si="12"/>
        <v>OoS</v>
      </c>
      <c r="P68" s="36"/>
      <c r="Q68" s="36"/>
      <c r="R68" s="36"/>
      <c r="S68" s="36"/>
      <c r="T68" s="36"/>
      <c r="U68" s="36"/>
      <c r="V68" s="36" t="str">
        <f t="shared" si="1"/>
        <v>DM</v>
      </c>
    </row>
    <row r="69" spans="1:22">
      <c r="A69" s="126"/>
      <c r="B69" s="34">
        <v>4.2</v>
      </c>
      <c r="C69" s="36" t="str">
        <f t="shared" si="2"/>
        <v>OoS</v>
      </c>
      <c r="D69" s="36"/>
      <c r="E69" s="36"/>
      <c r="F69" s="36"/>
      <c r="G69" s="36"/>
      <c r="H69" s="36"/>
      <c r="I69" s="36"/>
      <c r="J69" s="36" t="str">
        <f t="shared" si="8"/>
        <v>OoS</v>
      </c>
      <c r="K69" s="36"/>
      <c r="L69" s="36"/>
      <c r="M69" s="36"/>
      <c r="N69" s="36"/>
      <c r="O69" s="36"/>
      <c r="P69" s="36"/>
      <c r="Q69" s="36"/>
      <c r="R69" s="36"/>
      <c r="S69" s="36"/>
      <c r="T69" s="36"/>
      <c r="U69" s="36"/>
      <c r="V69" s="36"/>
    </row>
    <row r="70" spans="1:22">
      <c r="A70" s="126"/>
      <c r="B70" s="34">
        <v>4.3</v>
      </c>
      <c r="C70" s="36"/>
      <c r="D70" s="36"/>
      <c r="E70" s="36"/>
      <c r="F70" s="36"/>
      <c r="G70" s="36"/>
      <c r="H70" s="36"/>
      <c r="I70" s="36"/>
      <c r="J70" s="36" t="str">
        <f t="shared" si="8"/>
        <v>OoS</v>
      </c>
      <c r="K70" s="36"/>
      <c r="L70" s="36"/>
      <c r="M70" s="36"/>
      <c r="N70" s="36"/>
      <c r="O70" s="36"/>
      <c r="P70" s="36"/>
      <c r="Q70" s="36"/>
      <c r="R70" s="36"/>
      <c r="S70" s="36"/>
      <c r="T70" s="36"/>
      <c r="U70" s="36"/>
      <c r="V70" s="36"/>
    </row>
    <row r="71" spans="1:22">
      <c r="A71" s="126"/>
      <c r="B71" s="34">
        <v>4.4000000000000004</v>
      </c>
      <c r="C71" s="36"/>
      <c r="D71" s="36"/>
      <c r="E71" s="36"/>
      <c r="F71" s="36"/>
      <c r="G71" s="36"/>
      <c r="H71" s="36"/>
      <c r="I71" s="36"/>
      <c r="J71" s="36" t="str">
        <f t="shared" si="8"/>
        <v>OoS</v>
      </c>
      <c r="K71" s="36"/>
      <c r="L71" s="36"/>
      <c r="M71" s="36"/>
      <c r="N71" s="36"/>
      <c r="O71" s="36"/>
      <c r="P71" s="36"/>
      <c r="Q71" s="36"/>
      <c r="R71" s="36"/>
      <c r="S71" s="36"/>
      <c r="T71" s="36"/>
      <c r="U71" s="36"/>
      <c r="V71" s="36"/>
    </row>
    <row r="72" spans="1:22">
      <c r="A72" s="126"/>
      <c r="B72" s="34">
        <v>4.5</v>
      </c>
      <c r="C72" s="36"/>
      <c r="D72" s="36"/>
      <c r="E72" s="36"/>
      <c r="F72" s="36"/>
      <c r="G72" s="36"/>
      <c r="H72" s="36"/>
      <c r="I72" s="36"/>
      <c r="J72" s="36" t="str">
        <f t="shared" si="8"/>
        <v>OoS</v>
      </c>
      <c r="K72" s="36"/>
      <c r="L72" s="36"/>
      <c r="M72" s="36"/>
      <c r="N72" s="36"/>
      <c r="O72" s="36"/>
      <c r="P72" s="36"/>
      <c r="Q72" s="36"/>
      <c r="R72" s="36"/>
      <c r="S72" s="36"/>
      <c r="T72" s="36"/>
      <c r="U72" s="36"/>
      <c r="V72" s="36"/>
    </row>
    <row r="73" spans="1:22">
      <c r="A73" s="126" t="s">
        <v>66</v>
      </c>
      <c r="B73" s="35" t="s">
        <v>66</v>
      </c>
      <c r="C73" s="36" t="str">
        <f t="shared" si="2"/>
        <v>-</v>
      </c>
      <c r="D73" s="36"/>
      <c r="E73" s="36"/>
      <c r="F73" s="36"/>
      <c r="G73" s="36"/>
      <c r="H73" s="36"/>
      <c r="I73" s="36"/>
      <c r="J73" s="36" t="str">
        <f t="shared" si="8"/>
        <v>-</v>
      </c>
      <c r="K73" s="36"/>
      <c r="L73" s="36"/>
      <c r="M73" s="36"/>
      <c r="N73" s="36"/>
      <c r="O73" s="36"/>
      <c r="P73" s="36"/>
      <c r="Q73" s="36"/>
      <c r="R73" s="36"/>
      <c r="S73" s="36"/>
      <c r="T73" s="36"/>
      <c r="U73" s="36"/>
      <c r="V73" s="36"/>
    </row>
    <row r="74" spans="1:22">
      <c r="A74" s="126"/>
      <c r="B74" s="34">
        <v>5.0999999999999996</v>
      </c>
      <c r="C74" s="36" t="str">
        <f t="shared" si="2"/>
        <v>OoS</v>
      </c>
      <c r="D74" s="36"/>
      <c r="E74" s="36"/>
      <c r="F74" s="36"/>
      <c r="G74" s="36"/>
      <c r="H74" s="36"/>
      <c r="I74" s="36"/>
      <c r="J74" s="36" t="str">
        <f t="shared" si="8"/>
        <v>OoS</v>
      </c>
      <c r="K74" s="36"/>
      <c r="L74" s="36"/>
      <c r="M74" s="36"/>
      <c r="N74" s="36"/>
      <c r="O74" s="36"/>
      <c r="P74" s="36"/>
      <c r="Q74" s="36"/>
      <c r="R74" s="36"/>
      <c r="S74" s="36"/>
      <c r="T74" s="36"/>
      <c r="U74" s="36"/>
      <c r="V74" s="36"/>
    </row>
    <row r="75" spans="1:22">
      <c r="A75" s="126"/>
      <c r="B75" s="34">
        <v>5.2</v>
      </c>
      <c r="C75" s="36"/>
      <c r="D75" s="36"/>
      <c r="E75" s="36"/>
      <c r="F75" s="36"/>
      <c r="G75" s="36"/>
      <c r="H75" s="36"/>
      <c r="I75" s="36"/>
      <c r="J75" s="36" t="str">
        <f t="shared" si="8"/>
        <v>OoS</v>
      </c>
      <c r="K75" s="36"/>
      <c r="L75" s="36"/>
      <c r="M75" s="36"/>
      <c r="N75" s="36"/>
      <c r="O75" s="36"/>
      <c r="P75" s="36"/>
      <c r="Q75" s="36"/>
      <c r="R75" s="36"/>
      <c r="S75" s="36"/>
      <c r="T75" s="36"/>
      <c r="U75" s="36"/>
      <c r="V75" s="36"/>
    </row>
    <row r="76" spans="1:22">
      <c r="A76" s="126"/>
      <c r="B76" s="34">
        <v>5.3</v>
      </c>
      <c r="C76" s="36"/>
      <c r="D76" s="36"/>
      <c r="E76" s="36"/>
      <c r="F76" s="36"/>
      <c r="G76" s="36"/>
      <c r="H76" s="36"/>
      <c r="I76" s="36"/>
      <c r="J76" s="36" t="str">
        <f t="shared" si="8"/>
        <v>OoS</v>
      </c>
      <c r="K76" s="36"/>
      <c r="L76" s="36"/>
      <c r="M76" s="36"/>
      <c r="N76" s="36"/>
      <c r="O76" s="36"/>
      <c r="P76" s="36"/>
      <c r="Q76" s="36"/>
      <c r="R76" s="36"/>
      <c r="S76" s="36"/>
      <c r="T76" s="36"/>
      <c r="U76" s="36"/>
      <c r="V76" s="36"/>
    </row>
  </sheetData>
  <mergeCells count="18">
    <mergeCell ref="A32:A35"/>
    <mergeCell ref="A26:A31"/>
    <mergeCell ref="A2:A3"/>
    <mergeCell ref="B2:B3"/>
    <mergeCell ref="C2:D2"/>
    <mergeCell ref="A18:A25"/>
    <mergeCell ref="E2:F2"/>
    <mergeCell ref="P2:R2"/>
    <mergeCell ref="S2:U2"/>
    <mergeCell ref="A4:A8"/>
    <mergeCell ref="A9:A17"/>
    <mergeCell ref="G2:J2"/>
    <mergeCell ref="K2:M2"/>
    <mergeCell ref="A46:A49"/>
    <mergeCell ref="A50:A58"/>
    <mergeCell ref="A59:A66"/>
    <mergeCell ref="A67:A72"/>
    <mergeCell ref="A73:A76"/>
  </mergeCells>
  <conditionalFormatting sqref="C4:V35">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9">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8">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6">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2">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6:C76">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6">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50">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9">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7">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3">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6:D76">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6:E76">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6:F76">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6:G76">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6:H76">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6:I76">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6:J76">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6:K76">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6:L76">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6:M76">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6:N76">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6:O76">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6:P76">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6:Q76">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6:R76">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6:S76">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6:T76">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6:U76">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6:V76">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40"/>
  <sheetViews>
    <sheetView zoomScale="85" zoomScaleNormal="85" workbookViewId="0">
      <selection activeCell="C21" sqref="C21"/>
    </sheetView>
    <sheetView workbookViewId="1"/>
  </sheetViews>
  <sheetFormatPr defaultColWidth="8.77734375" defaultRowHeight="14.4"/>
  <cols>
    <col min="1" max="2" width="8.77734375" style="32"/>
    <col min="3" max="9" width="7.77734375" style="47" customWidth="1"/>
    <col min="10" max="10" width="3.44140625" style="32" customWidth="1"/>
    <col min="11" max="18" width="7.77734375" style="47" customWidth="1"/>
    <col min="19" max="16384" width="8.77734375" style="32"/>
  </cols>
  <sheetData>
    <row r="1" spans="1:18" s="50" customFormat="1" ht="18">
      <c r="A1" s="50" t="s">
        <v>70</v>
      </c>
      <c r="C1" s="51"/>
      <c r="D1" s="51"/>
      <c r="E1" s="51"/>
      <c r="F1" s="51"/>
      <c r="G1" s="51"/>
      <c r="H1" s="51"/>
      <c r="I1" s="51"/>
      <c r="K1" s="51"/>
      <c r="L1" s="51"/>
      <c r="M1" s="51"/>
      <c r="N1" s="51"/>
      <c r="O1" s="51"/>
      <c r="P1" s="51"/>
      <c r="Q1" s="51"/>
      <c r="R1" s="51"/>
    </row>
    <row r="2" spans="1:18" ht="68.099999999999994" customHeight="1">
      <c r="A2" s="129" t="s">
        <v>24</v>
      </c>
      <c r="B2" s="129" t="s">
        <v>25</v>
      </c>
      <c r="C2" s="33" t="s">
        <v>71</v>
      </c>
      <c r="D2" s="52" t="s">
        <v>72</v>
      </c>
      <c r="E2" s="52" t="s">
        <v>73</v>
      </c>
      <c r="F2" s="52" t="s">
        <v>74</v>
      </c>
      <c r="G2" s="52" t="s">
        <v>75</v>
      </c>
      <c r="H2" s="52" t="s">
        <v>76</v>
      </c>
      <c r="I2" s="52" t="s">
        <v>77</v>
      </c>
      <c r="J2" s="34"/>
      <c r="K2" s="33" t="s">
        <v>71</v>
      </c>
      <c r="L2" s="52" t="s">
        <v>72</v>
      </c>
      <c r="M2" s="52" t="s">
        <v>73</v>
      </c>
      <c r="N2" s="52" t="s">
        <v>74</v>
      </c>
      <c r="O2" s="52" t="s">
        <v>75</v>
      </c>
      <c r="P2" s="52" t="s">
        <v>78</v>
      </c>
      <c r="Q2" s="52" t="s">
        <v>76</v>
      </c>
      <c r="R2" s="52" t="s">
        <v>77</v>
      </c>
    </row>
    <row r="3" spans="1:18">
      <c r="A3" s="129"/>
      <c r="B3" s="129"/>
      <c r="C3" s="33" t="s">
        <v>35</v>
      </c>
      <c r="D3" s="33" t="s">
        <v>35</v>
      </c>
      <c r="E3" s="33" t="s">
        <v>35</v>
      </c>
      <c r="F3" s="33" t="s">
        <v>35</v>
      </c>
      <c r="G3" s="33" t="s">
        <v>35</v>
      </c>
      <c r="H3" s="33" t="s">
        <v>35</v>
      </c>
      <c r="I3" s="33" t="s">
        <v>35</v>
      </c>
      <c r="J3" s="34"/>
      <c r="K3" s="33" t="s">
        <v>36</v>
      </c>
      <c r="L3" s="33" t="s">
        <v>36</v>
      </c>
      <c r="M3" s="33" t="s">
        <v>36</v>
      </c>
      <c r="N3" s="33" t="s">
        <v>36</v>
      </c>
      <c r="O3" s="33" t="s">
        <v>36</v>
      </c>
      <c r="P3" s="33" t="s">
        <v>36</v>
      </c>
      <c r="Q3" s="33" t="s">
        <v>36</v>
      </c>
      <c r="R3" s="33" t="s">
        <v>36</v>
      </c>
    </row>
    <row r="4" spans="1:18">
      <c r="A4" s="126" t="s">
        <v>636</v>
      </c>
      <c r="B4" s="35" t="s">
        <v>55</v>
      </c>
      <c r="C4" s="53"/>
      <c r="D4" s="53"/>
      <c r="E4" s="53"/>
      <c r="F4" s="53"/>
      <c r="G4" s="53"/>
      <c r="H4" s="53"/>
      <c r="I4" s="53"/>
      <c r="J4" s="34"/>
      <c r="K4" s="53"/>
      <c r="L4" s="53"/>
      <c r="M4" s="53"/>
      <c r="N4" s="53"/>
      <c r="O4" s="53"/>
      <c r="P4" s="53"/>
      <c r="Q4" s="53"/>
      <c r="R4" s="53"/>
    </row>
    <row r="5" spans="1:18">
      <c r="A5" s="126"/>
      <c r="B5" s="34">
        <v>1.1000000000000001</v>
      </c>
      <c r="C5" s="53" t="s">
        <v>63</v>
      </c>
      <c r="D5" s="53" t="s">
        <v>63</v>
      </c>
      <c r="E5" s="53" t="s">
        <v>63</v>
      </c>
      <c r="F5" s="53" t="s">
        <v>63</v>
      </c>
      <c r="G5" s="53" t="s">
        <v>63</v>
      </c>
      <c r="H5" s="53" t="s">
        <v>63</v>
      </c>
      <c r="I5" s="53" t="s">
        <v>63</v>
      </c>
      <c r="J5" s="34"/>
      <c r="K5" s="53" t="s">
        <v>63</v>
      </c>
      <c r="L5" s="53" t="s">
        <v>63</v>
      </c>
      <c r="M5" s="53" t="s">
        <v>63</v>
      </c>
      <c r="N5" s="53" t="s">
        <v>63</v>
      </c>
      <c r="O5" s="53" t="s">
        <v>63</v>
      </c>
      <c r="P5" s="53" t="s">
        <v>63</v>
      </c>
      <c r="Q5" s="53" t="s">
        <v>63</v>
      </c>
      <c r="R5" s="53" t="s">
        <v>63</v>
      </c>
    </row>
    <row r="6" spans="1:18">
      <c r="A6" s="126"/>
      <c r="B6" s="34">
        <v>1.2</v>
      </c>
      <c r="C6" s="35"/>
      <c r="D6" s="35"/>
      <c r="E6" s="35"/>
      <c r="F6" s="35"/>
      <c r="G6" s="35"/>
      <c r="H6" s="35"/>
      <c r="I6" s="35"/>
      <c r="J6" s="34"/>
      <c r="K6" s="35"/>
      <c r="L6" s="35"/>
      <c r="M6" s="35"/>
      <c r="N6" s="35"/>
      <c r="O6" s="35"/>
      <c r="P6" s="35"/>
      <c r="Q6" s="35"/>
      <c r="R6" s="35"/>
    </row>
    <row r="7" spans="1:18">
      <c r="A7" s="126"/>
      <c r="B7" s="119">
        <v>1.3</v>
      </c>
      <c r="C7" s="35"/>
      <c r="D7" s="35"/>
      <c r="E7" s="35"/>
      <c r="F7" s="35"/>
      <c r="G7" s="35"/>
      <c r="H7" s="35"/>
      <c r="I7" s="35"/>
      <c r="J7" s="119"/>
      <c r="K7" s="35"/>
      <c r="L7" s="35"/>
      <c r="M7" s="35"/>
      <c r="N7" s="35"/>
      <c r="O7" s="35"/>
      <c r="P7" s="35"/>
      <c r="Q7" s="35"/>
      <c r="R7" s="35"/>
    </row>
    <row r="8" spans="1:18" hidden="1">
      <c r="A8" s="126"/>
      <c r="B8" s="34">
        <v>1.4</v>
      </c>
      <c r="C8" s="35"/>
      <c r="D8" s="35"/>
      <c r="E8" s="35"/>
      <c r="F8" s="35"/>
      <c r="G8" s="35"/>
      <c r="H8" s="35"/>
      <c r="I8" s="35"/>
      <c r="J8" s="34"/>
      <c r="K8" s="35"/>
      <c r="L8" s="35"/>
      <c r="M8" s="35"/>
      <c r="N8" s="35"/>
      <c r="O8" s="35"/>
      <c r="P8" s="35"/>
      <c r="Q8" s="35"/>
      <c r="R8" s="35"/>
    </row>
    <row r="9" spans="1:18">
      <c r="A9" s="126" t="s">
        <v>62</v>
      </c>
      <c r="B9" s="35" t="s">
        <v>62</v>
      </c>
      <c r="C9" s="53"/>
      <c r="D9" s="53"/>
      <c r="E9" s="53"/>
      <c r="F9" s="53"/>
      <c r="G9" s="53"/>
      <c r="H9" s="53"/>
      <c r="I9" s="53"/>
      <c r="J9" s="34"/>
      <c r="K9" s="53"/>
      <c r="L9" s="53"/>
      <c r="M9" s="53"/>
      <c r="N9" s="53"/>
      <c r="O9" s="53"/>
      <c r="P9" s="53"/>
      <c r="Q9" s="53"/>
      <c r="R9" s="53"/>
    </row>
    <row r="10" spans="1:18">
      <c r="A10" s="126"/>
      <c r="B10" s="34">
        <v>2.1</v>
      </c>
      <c r="C10" s="53" t="s">
        <v>63</v>
      </c>
      <c r="D10" s="53" t="s">
        <v>63</v>
      </c>
      <c r="E10" s="53" t="s">
        <v>63</v>
      </c>
      <c r="F10" s="53" t="s">
        <v>63</v>
      </c>
      <c r="G10" s="53" t="s">
        <v>63</v>
      </c>
      <c r="H10" s="53" t="s">
        <v>63</v>
      </c>
      <c r="I10" s="53" t="s">
        <v>63</v>
      </c>
      <c r="J10" s="34"/>
      <c r="K10" s="53" t="s">
        <v>63</v>
      </c>
      <c r="L10" s="53" t="s">
        <v>63</v>
      </c>
      <c r="M10" s="53" t="s">
        <v>63</v>
      </c>
      <c r="N10" s="53" t="s">
        <v>63</v>
      </c>
      <c r="O10" s="53" t="s">
        <v>63</v>
      </c>
      <c r="P10" s="53" t="s">
        <v>63</v>
      </c>
      <c r="Q10" s="53" t="s">
        <v>63</v>
      </c>
      <c r="R10" s="53" t="s">
        <v>63</v>
      </c>
    </row>
    <row r="11" spans="1:18">
      <c r="A11" s="126"/>
      <c r="B11" s="34">
        <v>2.2000000000000002</v>
      </c>
      <c r="C11" s="53" t="s">
        <v>63</v>
      </c>
      <c r="D11" s="53" t="s">
        <v>63</v>
      </c>
      <c r="E11" s="53" t="s">
        <v>63</v>
      </c>
      <c r="F11" s="53" t="s">
        <v>63</v>
      </c>
      <c r="G11" s="53" t="s">
        <v>63</v>
      </c>
      <c r="H11" s="53" t="s">
        <v>63</v>
      </c>
      <c r="I11" s="53" t="s">
        <v>63</v>
      </c>
      <c r="J11" s="34"/>
      <c r="K11" s="53" t="s">
        <v>63</v>
      </c>
      <c r="L11" s="53" t="s">
        <v>63</v>
      </c>
      <c r="M11" s="53" t="s">
        <v>63</v>
      </c>
      <c r="N11" s="53" t="s">
        <v>63</v>
      </c>
      <c r="O11" s="53" t="s">
        <v>63</v>
      </c>
      <c r="P11" s="53" t="s">
        <v>63</v>
      </c>
      <c r="Q11" s="53" t="s">
        <v>63</v>
      </c>
      <c r="R11" s="53" t="s">
        <v>63</v>
      </c>
    </row>
    <row r="12" spans="1:18">
      <c r="A12" s="126"/>
      <c r="B12" s="34">
        <v>2.2999999999999998</v>
      </c>
      <c r="C12" s="53" t="s">
        <v>63</v>
      </c>
      <c r="D12" s="53" t="s">
        <v>63</v>
      </c>
      <c r="E12" s="53" t="s">
        <v>63</v>
      </c>
      <c r="F12" s="53" t="s">
        <v>63</v>
      </c>
      <c r="G12" s="53" t="s">
        <v>63</v>
      </c>
      <c r="H12" s="53" t="s">
        <v>63</v>
      </c>
      <c r="I12" s="53" t="s">
        <v>63</v>
      </c>
      <c r="J12" s="34"/>
      <c r="K12" s="35"/>
      <c r="L12" s="35"/>
      <c r="M12" s="35"/>
      <c r="N12" s="35"/>
      <c r="O12" s="35"/>
      <c r="P12" s="35"/>
      <c r="Q12" s="35"/>
      <c r="R12" s="35"/>
    </row>
    <row r="13" spans="1:18">
      <c r="A13" s="126"/>
      <c r="B13" s="34">
        <v>2.4</v>
      </c>
      <c r="C13" s="53" t="s">
        <v>63</v>
      </c>
      <c r="D13" s="53" t="s">
        <v>63</v>
      </c>
      <c r="E13" s="53" t="s">
        <v>63</v>
      </c>
      <c r="F13" s="53" t="s">
        <v>63</v>
      </c>
      <c r="G13" s="53" t="s">
        <v>63</v>
      </c>
      <c r="H13" s="53" t="s">
        <v>63</v>
      </c>
      <c r="I13" s="53" t="s">
        <v>63</v>
      </c>
      <c r="J13" s="34"/>
      <c r="K13" s="35"/>
      <c r="L13" s="35"/>
      <c r="M13" s="35"/>
      <c r="N13" s="35"/>
      <c r="O13" s="35"/>
      <c r="P13" s="35"/>
      <c r="Q13" s="35"/>
      <c r="R13" s="35"/>
    </row>
    <row r="14" spans="1:18">
      <c r="A14" s="126"/>
      <c r="B14" s="34">
        <v>2.5</v>
      </c>
      <c r="C14" s="35"/>
      <c r="D14" s="35"/>
      <c r="E14" s="35"/>
      <c r="F14" s="35"/>
      <c r="G14" s="35"/>
      <c r="H14" s="35"/>
      <c r="I14" s="35"/>
      <c r="J14" s="34"/>
      <c r="K14" s="35"/>
      <c r="L14" s="35"/>
      <c r="M14" s="35"/>
      <c r="N14" s="35"/>
      <c r="O14" s="35"/>
      <c r="P14" s="35"/>
      <c r="Q14" s="35"/>
      <c r="R14" s="35"/>
    </row>
    <row r="15" spans="1:18">
      <c r="A15" s="126"/>
      <c r="B15" s="34">
        <v>2.6</v>
      </c>
      <c r="C15" s="35"/>
      <c r="D15" s="35"/>
      <c r="E15" s="35"/>
      <c r="F15" s="35"/>
      <c r="G15" s="35"/>
      <c r="H15" s="35"/>
      <c r="I15" s="35"/>
      <c r="J15" s="34"/>
      <c r="K15" s="35"/>
      <c r="L15" s="35"/>
      <c r="M15" s="35"/>
      <c r="N15" s="35"/>
      <c r="O15" s="35"/>
      <c r="P15" s="35"/>
      <c r="Q15" s="35"/>
      <c r="R15" s="35"/>
    </row>
    <row r="16" spans="1:18">
      <c r="A16" s="126"/>
      <c r="B16" s="34">
        <v>2.7</v>
      </c>
      <c r="C16" s="35"/>
      <c r="D16" s="35"/>
      <c r="E16" s="35"/>
      <c r="F16" s="35"/>
      <c r="G16" s="35"/>
      <c r="H16" s="35"/>
      <c r="I16" s="35"/>
      <c r="J16" s="34"/>
      <c r="K16" s="35"/>
      <c r="L16" s="35"/>
      <c r="M16" s="35"/>
      <c r="N16" s="35"/>
      <c r="O16" s="35"/>
      <c r="P16" s="35"/>
      <c r="Q16" s="35"/>
      <c r="R16" s="35"/>
    </row>
    <row r="17" spans="1:18">
      <c r="A17" s="126"/>
      <c r="B17" s="34">
        <v>2.8</v>
      </c>
      <c r="C17" s="35"/>
      <c r="D17" s="35"/>
      <c r="E17" s="35"/>
      <c r="F17" s="35"/>
      <c r="G17" s="35"/>
      <c r="H17" s="35"/>
      <c r="I17" s="35"/>
      <c r="J17" s="34"/>
      <c r="K17" s="35"/>
      <c r="L17" s="35"/>
      <c r="M17" s="35"/>
      <c r="N17" s="35"/>
      <c r="O17" s="35"/>
      <c r="P17" s="35"/>
      <c r="Q17" s="35"/>
      <c r="R17" s="35"/>
    </row>
    <row r="18" spans="1:18">
      <c r="A18" s="126" t="s">
        <v>64</v>
      </c>
      <c r="B18" s="35" t="s">
        <v>64</v>
      </c>
      <c r="C18" s="53"/>
      <c r="D18" s="53"/>
      <c r="E18" s="53"/>
      <c r="F18" s="53"/>
      <c r="G18" s="53"/>
      <c r="H18" s="53"/>
      <c r="I18" s="53"/>
      <c r="J18" s="34"/>
      <c r="K18" s="53"/>
      <c r="L18" s="53"/>
      <c r="M18" s="53"/>
      <c r="N18" s="53"/>
      <c r="O18" s="53"/>
      <c r="P18" s="53"/>
      <c r="Q18" s="53"/>
      <c r="R18" s="53"/>
    </row>
    <row r="19" spans="1:18">
      <c r="A19" s="126"/>
      <c r="B19" s="34">
        <v>3.1</v>
      </c>
      <c r="C19" s="53" t="s">
        <v>63</v>
      </c>
      <c r="D19" s="53" t="s">
        <v>63</v>
      </c>
      <c r="E19" s="53" t="s">
        <v>63</v>
      </c>
      <c r="F19" s="53" t="s">
        <v>63</v>
      </c>
      <c r="G19" s="53" t="s">
        <v>63</v>
      </c>
      <c r="H19" s="53" t="s">
        <v>63</v>
      </c>
      <c r="I19" s="53" t="s">
        <v>63</v>
      </c>
      <c r="J19" s="34"/>
      <c r="K19" s="53" t="s">
        <v>63</v>
      </c>
      <c r="L19" s="53" t="s">
        <v>63</v>
      </c>
      <c r="M19" s="53" t="s">
        <v>63</v>
      </c>
      <c r="N19" s="53" t="s">
        <v>63</v>
      </c>
      <c r="O19" s="53" t="s">
        <v>63</v>
      </c>
      <c r="P19" s="53" t="s">
        <v>63</v>
      </c>
      <c r="Q19" s="53" t="s">
        <v>63</v>
      </c>
      <c r="R19" s="53" t="s">
        <v>63</v>
      </c>
    </row>
    <row r="20" spans="1:18">
      <c r="A20" s="126"/>
      <c r="B20" s="34">
        <v>3.2</v>
      </c>
      <c r="C20" s="53" t="s">
        <v>63</v>
      </c>
      <c r="D20" s="53" t="s">
        <v>63</v>
      </c>
      <c r="E20" s="53" t="s">
        <v>63</v>
      </c>
      <c r="F20" s="53" t="s">
        <v>63</v>
      </c>
      <c r="G20" s="53" t="s">
        <v>63</v>
      </c>
      <c r="H20" s="53" t="s">
        <v>63</v>
      </c>
      <c r="I20" s="53" t="s">
        <v>63</v>
      </c>
      <c r="J20" s="34"/>
      <c r="K20" s="53" t="s">
        <v>63</v>
      </c>
      <c r="L20" s="53" t="s">
        <v>63</v>
      </c>
      <c r="M20" s="53" t="s">
        <v>63</v>
      </c>
      <c r="N20" s="53" t="s">
        <v>63</v>
      </c>
      <c r="O20" s="53" t="s">
        <v>63</v>
      </c>
      <c r="P20" s="53" t="s">
        <v>63</v>
      </c>
      <c r="Q20" s="53" t="s">
        <v>63</v>
      </c>
      <c r="R20" s="53" t="s">
        <v>63</v>
      </c>
    </row>
    <row r="21" spans="1:18">
      <c r="A21" s="126"/>
      <c r="B21" s="34">
        <v>3.3</v>
      </c>
      <c r="C21" s="35"/>
      <c r="D21" s="35"/>
      <c r="E21" s="35"/>
      <c r="F21" s="35"/>
      <c r="G21" s="35"/>
      <c r="H21" s="35"/>
      <c r="I21" s="35"/>
      <c r="J21" s="34"/>
      <c r="K21" s="53" t="s">
        <v>63</v>
      </c>
      <c r="L21" s="53" t="s">
        <v>63</v>
      </c>
      <c r="M21" s="53" t="s">
        <v>63</v>
      </c>
      <c r="N21" s="53" t="s">
        <v>63</v>
      </c>
      <c r="O21" s="53" t="s">
        <v>63</v>
      </c>
      <c r="P21" s="53" t="s">
        <v>63</v>
      </c>
      <c r="Q21" s="53" t="s">
        <v>63</v>
      </c>
      <c r="R21" s="53" t="s">
        <v>63</v>
      </c>
    </row>
    <row r="22" spans="1:18">
      <c r="A22" s="126"/>
      <c r="B22" s="34">
        <v>3.4</v>
      </c>
      <c r="C22" s="35"/>
      <c r="D22" s="35"/>
      <c r="E22" s="35"/>
      <c r="F22" s="35"/>
      <c r="G22" s="35"/>
      <c r="H22" s="35"/>
      <c r="I22" s="35"/>
      <c r="J22" s="34"/>
      <c r="K22" s="35"/>
      <c r="L22" s="35"/>
      <c r="M22" s="35"/>
      <c r="N22" s="35"/>
      <c r="O22" s="35"/>
      <c r="P22" s="35"/>
      <c r="Q22" s="35"/>
      <c r="R22" s="35"/>
    </row>
    <row r="23" spans="1:18">
      <c r="A23" s="126"/>
      <c r="B23" s="34">
        <v>3.5</v>
      </c>
      <c r="C23" s="35"/>
      <c r="D23" s="35"/>
      <c r="E23" s="35"/>
      <c r="F23" s="35"/>
      <c r="G23" s="35"/>
      <c r="H23" s="35"/>
      <c r="I23" s="35"/>
      <c r="J23" s="34"/>
      <c r="K23" s="35"/>
      <c r="L23" s="35"/>
      <c r="M23" s="35"/>
      <c r="N23" s="35"/>
      <c r="O23" s="35"/>
      <c r="P23" s="35"/>
      <c r="Q23" s="35"/>
      <c r="R23" s="35"/>
    </row>
    <row r="24" spans="1:18">
      <c r="A24" s="126"/>
      <c r="B24" s="34">
        <v>3.6</v>
      </c>
      <c r="C24" s="35"/>
      <c r="D24" s="35"/>
      <c r="E24" s="35"/>
      <c r="F24" s="35"/>
      <c r="G24" s="35"/>
      <c r="H24" s="35"/>
      <c r="I24" s="35"/>
      <c r="J24" s="34"/>
      <c r="K24" s="35"/>
      <c r="L24" s="35"/>
      <c r="M24" s="35"/>
      <c r="N24" s="35"/>
      <c r="O24" s="35"/>
      <c r="P24" s="35"/>
      <c r="Q24" s="35"/>
      <c r="R24" s="35"/>
    </row>
    <row r="25" spans="1:18">
      <c r="A25" s="126"/>
      <c r="B25" s="34">
        <v>3.7</v>
      </c>
      <c r="C25" s="35"/>
      <c r="D25" s="35"/>
      <c r="E25" s="35"/>
      <c r="F25" s="35"/>
      <c r="G25" s="35"/>
      <c r="H25" s="35"/>
      <c r="I25" s="35"/>
      <c r="J25" s="34"/>
      <c r="K25" s="35"/>
      <c r="L25" s="35"/>
      <c r="M25" s="35"/>
      <c r="N25" s="35"/>
      <c r="O25" s="35"/>
      <c r="P25" s="35"/>
      <c r="Q25" s="35"/>
      <c r="R25" s="35"/>
    </row>
    <row r="26" spans="1:18">
      <c r="A26" s="126" t="s">
        <v>637</v>
      </c>
      <c r="B26" s="35" t="s">
        <v>65</v>
      </c>
      <c r="C26" s="53"/>
      <c r="D26" s="53"/>
      <c r="E26" s="53"/>
      <c r="F26" s="53"/>
      <c r="G26" s="53"/>
      <c r="H26" s="53"/>
      <c r="I26" s="53"/>
      <c r="J26" s="34"/>
      <c r="K26" s="53"/>
      <c r="L26" s="53"/>
      <c r="M26" s="53"/>
      <c r="N26" s="53"/>
      <c r="O26" s="53"/>
      <c r="P26" s="53"/>
      <c r="Q26" s="53"/>
      <c r="R26" s="53"/>
    </row>
    <row r="27" spans="1:18">
      <c r="A27" s="126"/>
      <c r="B27" s="34">
        <v>4.0999999999999996</v>
      </c>
      <c r="C27" s="53" t="s">
        <v>63</v>
      </c>
      <c r="D27" s="53" t="s">
        <v>63</v>
      </c>
      <c r="E27" s="53" t="s">
        <v>63</v>
      </c>
      <c r="F27" s="53" t="s">
        <v>63</v>
      </c>
      <c r="G27" s="53" t="s">
        <v>63</v>
      </c>
      <c r="H27" s="53" t="s">
        <v>63</v>
      </c>
      <c r="I27" s="53" t="s">
        <v>63</v>
      </c>
      <c r="J27" s="34"/>
      <c r="K27" s="35"/>
      <c r="L27" s="35"/>
      <c r="M27" s="35"/>
      <c r="N27" s="35"/>
      <c r="O27" s="35"/>
      <c r="P27" s="35"/>
      <c r="Q27" s="35"/>
      <c r="R27" s="35"/>
    </row>
    <row r="28" spans="1:18">
      <c r="A28" s="126"/>
      <c r="B28" s="34">
        <v>4.2</v>
      </c>
      <c r="C28" s="35"/>
      <c r="D28" s="35"/>
      <c r="E28" s="35"/>
      <c r="F28" s="35"/>
      <c r="G28" s="35"/>
      <c r="H28" s="35"/>
      <c r="I28" s="35"/>
      <c r="J28" s="34"/>
      <c r="K28" s="35"/>
      <c r="L28" s="35"/>
      <c r="M28" s="35"/>
      <c r="N28" s="35"/>
      <c r="O28" s="35"/>
      <c r="P28" s="35"/>
      <c r="Q28" s="35"/>
      <c r="R28" s="35"/>
    </row>
    <row r="29" spans="1:18">
      <c r="A29" s="126"/>
      <c r="B29" s="34">
        <v>4.3</v>
      </c>
      <c r="C29" s="35"/>
      <c r="D29" s="35"/>
      <c r="E29" s="35"/>
      <c r="F29" s="35"/>
      <c r="G29" s="35"/>
      <c r="H29" s="35"/>
      <c r="I29" s="35"/>
      <c r="J29" s="34"/>
      <c r="K29" s="35"/>
      <c r="L29" s="35"/>
      <c r="M29" s="35"/>
      <c r="N29" s="35"/>
      <c r="O29" s="35"/>
      <c r="P29" s="35"/>
      <c r="Q29" s="35"/>
      <c r="R29" s="35"/>
    </row>
    <row r="30" spans="1:18">
      <c r="A30" s="126"/>
      <c r="B30" s="34">
        <v>4.4000000000000004</v>
      </c>
      <c r="C30" s="35"/>
      <c r="D30" s="35"/>
      <c r="E30" s="35"/>
      <c r="F30" s="35"/>
      <c r="G30" s="35"/>
      <c r="H30" s="35"/>
      <c r="I30" s="35"/>
      <c r="J30" s="34"/>
      <c r="K30" s="35"/>
      <c r="L30" s="35"/>
      <c r="M30" s="35"/>
      <c r="N30" s="35"/>
      <c r="O30" s="35"/>
      <c r="P30" s="35"/>
      <c r="Q30" s="35"/>
      <c r="R30" s="35"/>
    </row>
    <row r="31" spans="1:18">
      <c r="A31" s="126"/>
      <c r="B31" s="34">
        <v>4.5</v>
      </c>
      <c r="C31" s="35"/>
      <c r="D31" s="35"/>
      <c r="E31" s="35"/>
      <c r="F31" s="35"/>
      <c r="G31" s="35"/>
      <c r="H31" s="35"/>
      <c r="I31" s="35"/>
      <c r="J31" s="34"/>
      <c r="K31" s="35"/>
      <c r="L31" s="35"/>
      <c r="M31" s="35"/>
      <c r="N31" s="35"/>
      <c r="O31" s="35"/>
      <c r="P31" s="35"/>
      <c r="Q31" s="35"/>
      <c r="R31" s="35"/>
    </row>
    <row r="32" spans="1:18">
      <c r="A32" s="126" t="s">
        <v>66</v>
      </c>
      <c r="B32" s="35" t="s">
        <v>66</v>
      </c>
      <c r="C32" s="35"/>
      <c r="D32" s="35"/>
      <c r="E32" s="35"/>
      <c r="F32" s="35"/>
      <c r="G32" s="35"/>
      <c r="H32" s="35"/>
      <c r="I32" s="35"/>
      <c r="J32" s="34"/>
      <c r="K32" s="35"/>
      <c r="L32" s="35"/>
      <c r="M32" s="35"/>
      <c r="N32" s="35"/>
      <c r="O32" s="35"/>
      <c r="P32" s="35"/>
      <c r="Q32" s="35"/>
      <c r="R32" s="35"/>
    </row>
    <row r="33" spans="1:18">
      <c r="A33" s="126"/>
      <c r="B33" s="34">
        <v>5.0999999999999996</v>
      </c>
      <c r="C33" s="35"/>
      <c r="D33" s="35"/>
      <c r="E33" s="35"/>
      <c r="F33" s="35"/>
      <c r="G33" s="35"/>
      <c r="H33" s="35"/>
      <c r="I33" s="35"/>
      <c r="J33" s="34"/>
      <c r="K33" s="35"/>
      <c r="L33" s="35"/>
      <c r="M33" s="35"/>
      <c r="N33" s="35"/>
      <c r="O33" s="35"/>
      <c r="P33" s="35"/>
      <c r="Q33" s="35"/>
      <c r="R33" s="35"/>
    </row>
    <row r="34" spans="1:18">
      <c r="A34" s="126"/>
      <c r="B34" s="34">
        <v>5.2</v>
      </c>
      <c r="C34" s="35"/>
      <c r="D34" s="35"/>
      <c r="E34" s="35"/>
      <c r="F34" s="35"/>
      <c r="G34" s="35"/>
      <c r="H34" s="35"/>
      <c r="I34" s="35"/>
      <c r="J34" s="34"/>
      <c r="K34" s="35"/>
      <c r="L34" s="35"/>
      <c r="M34" s="35"/>
      <c r="N34" s="35"/>
      <c r="O34" s="35"/>
      <c r="P34" s="35"/>
      <c r="Q34" s="35"/>
      <c r="R34" s="35"/>
    </row>
    <row r="35" spans="1:18">
      <c r="A35" s="126"/>
      <c r="B35" s="34">
        <v>5.3</v>
      </c>
      <c r="C35" s="35"/>
      <c r="D35" s="35"/>
      <c r="E35" s="35"/>
      <c r="F35" s="35"/>
      <c r="G35" s="35"/>
      <c r="H35" s="35"/>
      <c r="I35" s="35"/>
      <c r="J35" s="34"/>
      <c r="K35" s="35"/>
      <c r="L35" s="35"/>
      <c r="M35" s="35"/>
      <c r="N35" s="35"/>
      <c r="O35" s="35"/>
      <c r="P35" s="35"/>
      <c r="Q35" s="35"/>
      <c r="R35" s="35"/>
    </row>
    <row r="39" spans="1:18" ht="15.6">
      <c r="A39" s="54" t="s">
        <v>79</v>
      </c>
    </row>
    <row r="40" spans="1:18" ht="15.6">
      <c r="A40" s="54" t="s">
        <v>80</v>
      </c>
    </row>
  </sheetData>
  <mergeCells count="7">
    <mergeCell ref="A32:A35"/>
    <mergeCell ref="A2:A3"/>
    <mergeCell ref="B2:B3"/>
    <mergeCell ref="A4:A8"/>
    <mergeCell ref="A9:A17"/>
    <mergeCell ref="A18:A25"/>
    <mergeCell ref="A26:A31"/>
  </mergeCells>
  <conditionalFormatting sqref="C4:D4 C28:D35 C14:I18 C21:D26 C27:I27 C5:I9 K6:R9">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9">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8">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6">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2">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1:I26 E28:I35">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2:L18 K22:L35">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2:O18 M22:O35 Q22:R35 Q12:R18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10:I13">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9:I20">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K10:O11 Q10:R11">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9:O21 Q19:R21">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2:P18 P22:P35">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10:P11">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9:P21">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1"/>
  <sheetViews>
    <sheetView zoomScaleNormal="100" workbookViewId="0">
      <selection activeCell="D2" sqref="D2:E27"/>
    </sheetView>
    <sheetView workbookViewId="1"/>
  </sheetViews>
  <sheetFormatPr defaultColWidth="8.77734375" defaultRowHeight="14.4"/>
  <cols>
    <col min="1" max="1" width="8.77734375" style="55"/>
    <col min="2" max="2" width="16" style="55" customWidth="1"/>
    <col min="3" max="3" width="102.21875" style="55" customWidth="1"/>
    <col min="4" max="16384" width="8.77734375" style="56"/>
  </cols>
  <sheetData>
    <row r="1" spans="1:3">
      <c r="A1" s="55" t="s">
        <v>81</v>
      </c>
      <c r="B1" s="55" t="s">
        <v>82</v>
      </c>
      <c r="C1" s="55" t="s">
        <v>83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topLeftCell="C1" workbookViewId="0">
      <selection activeCell="I11" sqref="I11:J14"/>
    </sheetView>
    <sheetView workbookViewId="1"/>
  </sheetViews>
  <sheetFormatPr defaultColWidth="8.77734375" defaultRowHeight="14.4"/>
  <cols>
    <col min="1" max="1" width="12.44140625" style="32" customWidth="1"/>
    <col min="2" max="2" width="16.44140625" style="32" customWidth="1"/>
    <col min="3" max="3" width="28.33203125" style="32" customWidth="1"/>
    <col min="4" max="7" width="8.77734375" style="32"/>
    <col min="8" max="8" width="23.77734375" style="32" customWidth="1"/>
    <col min="9" max="10" width="19.88671875" style="32" customWidth="1"/>
    <col min="11" max="11" width="22.21875" style="32" customWidth="1"/>
    <col min="12" max="14" width="18.5546875" style="32" customWidth="1"/>
    <col min="15" max="15" width="7.33203125" style="47" customWidth="1"/>
    <col min="16" max="16" width="24.77734375" style="32" customWidth="1"/>
    <col min="17" max="17" width="7.21875" style="32" customWidth="1"/>
    <col min="18" max="16384" width="8.77734375" style="32"/>
  </cols>
  <sheetData>
    <row r="2" spans="1:17" ht="55.2">
      <c r="A2" s="1" t="s">
        <v>84</v>
      </c>
      <c r="B2" s="57" t="s">
        <v>85</v>
      </c>
      <c r="C2" s="57" t="s">
        <v>86</v>
      </c>
      <c r="D2" s="58" t="s">
        <v>87</v>
      </c>
      <c r="E2" s="58" t="s">
        <v>88</v>
      </c>
      <c r="F2" s="58" t="s">
        <v>89</v>
      </c>
      <c r="G2" s="58" t="s">
        <v>90</v>
      </c>
      <c r="H2" s="2" t="s">
        <v>91</v>
      </c>
      <c r="I2" s="57" t="s">
        <v>638</v>
      </c>
      <c r="J2" s="57" t="s">
        <v>92</v>
      </c>
      <c r="K2" s="2" t="s">
        <v>93</v>
      </c>
      <c r="L2" s="57" t="s">
        <v>94</v>
      </c>
      <c r="M2" s="57" t="s">
        <v>95</v>
      </c>
      <c r="N2" s="2" t="s">
        <v>96</v>
      </c>
      <c r="O2" s="59" t="s">
        <v>97</v>
      </c>
      <c r="P2" s="2" t="s">
        <v>98</v>
      </c>
      <c r="Q2" s="13" t="s">
        <v>99</v>
      </c>
    </row>
    <row r="3" spans="1:17" s="61" customFormat="1" ht="13.8">
      <c r="A3" s="60" t="s">
        <v>100</v>
      </c>
      <c r="B3" s="20" t="s">
        <v>55</v>
      </c>
      <c r="C3" s="21"/>
      <c r="D3" s="21"/>
      <c r="E3" s="21"/>
      <c r="F3" s="21"/>
      <c r="G3" s="21"/>
      <c r="H3" s="21"/>
      <c r="I3" s="21"/>
      <c r="J3" s="21"/>
      <c r="K3" s="21"/>
      <c r="L3" s="8"/>
      <c r="M3" s="8"/>
      <c r="N3" s="8"/>
      <c r="O3" s="9"/>
      <c r="P3" s="10"/>
      <c r="Q3" s="9"/>
    </row>
    <row r="4" spans="1:17" s="63" customFormat="1" ht="51.45" customHeight="1">
      <c r="A4" s="62" t="s">
        <v>101</v>
      </c>
      <c r="B4" s="3" t="s">
        <v>102</v>
      </c>
      <c r="C4" s="130" t="s">
        <v>639</v>
      </c>
      <c r="D4" s="130"/>
      <c r="E4" s="130"/>
      <c r="F4" s="130"/>
      <c r="G4" s="130"/>
      <c r="H4" s="130"/>
      <c r="I4" s="23" t="s">
        <v>103</v>
      </c>
      <c r="J4" s="23" t="s">
        <v>104</v>
      </c>
      <c r="K4" s="11" t="s">
        <v>93</v>
      </c>
      <c r="L4" s="11"/>
      <c r="M4" s="11"/>
      <c r="N4" s="11"/>
      <c r="O4" s="9"/>
      <c r="P4" s="10"/>
      <c r="Q4" s="9"/>
    </row>
    <row r="5" spans="1:17" s="64" customFormat="1" ht="13.8">
      <c r="A5" s="60" t="s">
        <v>105</v>
      </c>
      <c r="B5" s="23" t="s">
        <v>102</v>
      </c>
      <c r="C5" s="131" t="s">
        <v>106</v>
      </c>
      <c r="D5" s="132"/>
      <c r="E5" s="132"/>
      <c r="F5" s="132"/>
      <c r="G5" s="132"/>
      <c r="H5" s="132"/>
      <c r="I5" s="132"/>
      <c r="J5" s="132"/>
      <c r="K5" s="133"/>
      <c r="L5" s="9"/>
      <c r="M5" s="9"/>
      <c r="N5" s="9"/>
      <c r="O5" s="9"/>
      <c r="P5" s="9"/>
      <c r="Q5" s="9"/>
    </row>
    <row r="6" spans="1:17" s="64" customFormat="1" ht="13.8">
      <c r="A6" s="60" t="s">
        <v>107</v>
      </c>
      <c r="B6" s="22" t="s">
        <v>102</v>
      </c>
      <c r="C6" s="134" t="s">
        <v>108</v>
      </c>
      <c r="D6" s="135"/>
      <c r="E6" s="135"/>
      <c r="F6" s="135"/>
      <c r="G6" s="136"/>
      <c r="H6" s="4" t="s">
        <v>109</v>
      </c>
      <c r="I6" s="9"/>
      <c r="J6" s="9"/>
      <c r="K6" s="9"/>
      <c r="L6" s="9"/>
      <c r="M6" s="9"/>
      <c r="N6" s="9"/>
      <c r="O6" s="9"/>
      <c r="P6" s="9"/>
      <c r="Q6" s="9"/>
    </row>
    <row r="7" spans="1:17" s="64" customFormat="1" ht="13.8">
      <c r="A7" s="5" t="s">
        <v>110</v>
      </c>
      <c r="B7" s="5" t="s">
        <v>108</v>
      </c>
      <c r="C7" s="65" t="s">
        <v>111</v>
      </c>
      <c r="D7" s="6" t="s">
        <v>112</v>
      </c>
      <c r="E7" s="6" t="s">
        <v>113</v>
      </c>
      <c r="F7" s="6" t="s">
        <v>114</v>
      </c>
      <c r="G7" s="6" t="s">
        <v>115</v>
      </c>
      <c r="H7" s="7"/>
      <c r="I7" s="9"/>
      <c r="J7" s="7"/>
      <c r="K7" s="12"/>
      <c r="L7" s="6"/>
      <c r="M7" s="6"/>
      <c r="N7" s="12"/>
      <c r="O7" s="7"/>
      <c r="P7" s="9"/>
      <c r="Q7" s="9"/>
    </row>
    <row r="8" spans="1:17" s="61" customFormat="1" ht="13.8">
      <c r="O8" s="64"/>
    </row>
    <row r="9" spans="1:17" s="61" customFormat="1" ht="13.8">
      <c r="O9" s="64"/>
    </row>
    <row r="19" spans="1:17" ht="54.45" customHeight="1">
      <c r="A19" s="62" t="s">
        <v>116</v>
      </c>
      <c r="B19" s="3" t="s">
        <v>102</v>
      </c>
      <c r="C19" s="130" t="s">
        <v>639</v>
      </c>
      <c r="D19" s="130"/>
      <c r="E19" s="130"/>
      <c r="F19" s="130"/>
      <c r="G19" s="130"/>
      <c r="H19" s="130"/>
      <c r="I19" s="23" t="s">
        <v>103</v>
      </c>
      <c r="J19" s="23" t="s">
        <v>104</v>
      </c>
      <c r="K19" s="11" t="s">
        <v>93</v>
      </c>
      <c r="L19" s="11"/>
      <c r="M19" s="11"/>
      <c r="N19" s="11"/>
      <c r="O19" s="137"/>
      <c r="P19" s="138"/>
      <c r="Q19" s="139"/>
    </row>
  </sheetData>
  <mergeCells count="5">
    <mergeCell ref="C4:H4"/>
    <mergeCell ref="C5:K5"/>
    <mergeCell ref="C6:G6"/>
    <mergeCell ref="C19:H19"/>
    <mergeCell ref="O19:Q19"/>
  </mergeCells>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I11" sqref="I11:J14"/>
    </sheetView>
    <sheetView workbookViewId="1"/>
  </sheetViews>
  <sheetFormatPr defaultColWidth="8.77734375" defaultRowHeight="15.6"/>
  <cols>
    <col min="1" max="1" width="12.44140625" style="69" customWidth="1"/>
    <col min="2" max="2" width="16.44140625" style="69" customWidth="1"/>
    <col min="3" max="3" width="28.33203125" style="69" customWidth="1"/>
    <col min="4" max="7" width="8.77734375" style="69"/>
    <col min="8" max="8" width="23.77734375" style="69" customWidth="1"/>
    <col min="9" max="10" width="19.88671875" style="69" customWidth="1"/>
    <col min="11" max="11" width="22.21875" style="69" customWidth="1"/>
    <col min="12" max="14" width="18.5546875" style="69" customWidth="1"/>
    <col min="15" max="15" width="7.33203125" style="69" customWidth="1"/>
    <col min="16" max="16" width="24.77734375" style="69" customWidth="1"/>
    <col min="17" max="17" width="7.21875" style="69" customWidth="1"/>
    <col min="18" max="16384" width="8.77734375" style="69"/>
  </cols>
  <sheetData>
    <row r="1" spans="1:17" s="67" customFormat="1" ht="21">
      <c r="A1" s="66" t="s">
        <v>640</v>
      </c>
    </row>
    <row r="2" spans="1:17" s="67" customFormat="1" ht="21">
      <c r="A2" s="66" t="s">
        <v>641</v>
      </c>
    </row>
    <row r="3" spans="1:17">
      <c r="A3" s="68" t="s">
        <v>642</v>
      </c>
      <c r="B3" s="69" t="s">
        <v>643</v>
      </c>
    </row>
    <row r="4" spans="1:17">
      <c r="A4" s="69" t="s">
        <v>644</v>
      </c>
      <c r="B4" s="69" t="s">
        <v>645</v>
      </c>
    </row>
    <row r="5" spans="1:17">
      <c r="A5" s="68" t="s">
        <v>646</v>
      </c>
      <c r="B5" s="69" t="s">
        <v>647</v>
      </c>
    </row>
    <row r="6" spans="1:17">
      <c r="A6" s="69" t="s">
        <v>648</v>
      </c>
      <c r="B6" s="69" t="s">
        <v>649</v>
      </c>
    </row>
    <row r="8" spans="1:17" s="70" customFormat="1" ht="55.2">
      <c r="A8" s="1" t="s">
        <v>84</v>
      </c>
      <c r="B8" s="57" t="s">
        <v>85</v>
      </c>
      <c r="C8" s="57" t="s">
        <v>86</v>
      </c>
      <c r="D8" s="58" t="s">
        <v>87</v>
      </c>
      <c r="E8" s="58" t="s">
        <v>88</v>
      </c>
      <c r="F8" s="58" t="s">
        <v>89</v>
      </c>
      <c r="G8" s="58" t="s">
        <v>90</v>
      </c>
      <c r="H8" s="2" t="s">
        <v>91</v>
      </c>
      <c r="I8" s="57" t="s">
        <v>638</v>
      </c>
      <c r="J8" s="57" t="s">
        <v>92</v>
      </c>
      <c r="K8" s="2" t="s">
        <v>93</v>
      </c>
      <c r="L8" s="57" t="s">
        <v>94</v>
      </c>
      <c r="M8" s="57" t="s">
        <v>95</v>
      </c>
      <c r="N8" s="2" t="s">
        <v>96</v>
      </c>
      <c r="O8" s="59" t="s">
        <v>97</v>
      </c>
      <c r="P8" s="2" t="s">
        <v>98</v>
      </c>
      <c r="Q8" s="13" t="s">
        <v>99</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2D21C7-FD9D-47FA-9320-A29A4FC728AC}">
  <sheetPr codeName="Sheet9">
    <tabColor rgb="FF6B2B88"/>
  </sheetPr>
  <dimension ref="A1:R58"/>
  <sheetViews>
    <sheetView zoomScale="85" zoomScaleNormal="85" workbookViewId="0">
      <pane xSplit="2" ySplit="9" topLeftCell="E10" activePane="bottomRight" state="frozen"/>
      <selection activeCell="I11" sqref="I11:J14"/>
      <selection pane="topRight" activeCell="I11" sqref="I11:J14"/>
      <selection pane="bottomLeft" activeCell="I11" sqref="I11:J14"/>
      <selection pane="bottomRight" activeCell="I11" sqref="I11:J14"/>
    </sheetView>
    <sheetView tabSelected="1" topLeftCell="A7" workbookViewId="1">
      <selection activeCell="B12" sqref="B12"/>
    </sheetView>
  </sheetViews>
  <sheetFormatPr defaultColWidth="8.77734375" defaultRowHeight="13.8"/>
  <cols>
    <col min="1" max="1" width="10.21875" style="78" customWidth="1"/>
    <col min="2" max="2" width="88.77734375" style="78" customWidth="1"/>
    <col min="3" max="4" width="22" style="78" customWidth="1"/>
    <col min="5" max="5" width="84.21875" style="78" bestFit="1" customWidth="1"/>
    <col min="6" max="6" width="84.21875" style="78" customWidth="1"/>
    <col min="7" max="7" width="20.77734375" style="73" customWidth="1"/>
    <col min="8" max="11" width="8.77734375" style="73" customWidth="1"/>
    <col min="12" max="12" width="8.77734375" style="73"/>
    <col min="13" max="13" width="38.77734375" style="73" customWidth="1"/>
    <col min="14" max="18" width="8.77734375" style="73"/>
    <col min="19" max="16384" width="8.77734375" style="78"/>
  </cols>
  <sheetData>
    <row r="1" spans="1:18" s="72" customFormat="1" ht="25.8">
      <c r="A1" s="71" t="s">
        <v>587</v>
      </c>
      <c r="C1" s="56"/>
      <c r="G1" s="73"/>
      <c r="H1" s="73"/>
      <c r="I1" s="73"/>
      <c r="J1" s="73"/>
      <c r="K1" s="73"/>
      <c r="L1" s="73"/>
      <c r="M1" s="73"/>
      <c r="N1" s="73"/>
      <c r="O1" s="73"/>
      <c r="P1" s="73"/>
      <c r="Q1" s="73"/>
      <c r="R1" s="73"/>
    </row>
    <row r="2" spans="1:18" s="72" customFormat="1" ht="25.8">
      <c r="A2" s="71" t="s">
        <v>641</v>
      </c>
      <c r="C2" s="56"/>
      <c r="G2" s="73"/>
      <c r="H2" s="73"/>
      <c r="I2" s="73"/>
      <c r="J2" s="73"/>
      <c r="K2" s="73"/>
      <c r="L2" s="73"/>
      <c r="M2" s="73"/>
      <c r="N2" s="73"/>
      <c r="O2" s="73"/>
      <c r="P2" s="73"/>
      <c r="Q2" s="73"/>
      <c r="R2" s="73"/>
    </row>
    <row r="3" spans="1:18" s="72" customFormat="1">
      <c r="A3" s="74" t="s">
        <v>650</v>
      </c>
      <c r="B3" s="72" t="s">
        <v>651</v>
      </c>
      <c r="G3" s="73"/>
      <c r="H3" s="73"/>
      <c r="I3" s="73"/>
      <c r="J3" s="73"/>
      <c r="K3" s="73"/>
      <c r="L3" s="73"/>
      <c r="M3" s="73"/>
      <c r="N3" s="73"/>
      <c r="O3" s="73"/>
      <c r="P3" s="73"/>
      <c r="Q3" s="73"/>
      <c r="R3" s="73"/>
    </row>
    <row r="4" spans="1:18" s="72" customFormat="1">
      <c r="A4" s="74" t="s">
        <v>644</v>
      </c>
      <c r="B4" s="72" t="s">
        <v>645</v>
      </c>
      <c r="G4" s="73"/>
      <c r="H4" s="73"/>
      <c r="I4" s="73"/>
      <c r="J4" s="73"/>
      <c r="K4" s="73"/>
      <c r="L4" s="73"/>
      <c r="M4" s="73"/>
      <c r="N4" s="73"/>
      <c r="O4" s="73"/>
      <c r="P4" s="73"/>
      <c r="Q4" s="73"/>
      <c r="R4" s="73"/>
    </row>
    <row r="5" spans="1:18" s="72" customFormat="1">
      <c r="A5" s="72" t="s">
        <v>652</v>
      </c>
      <c r="B5" s="72" t="s">
        <v>653</v>
      </c>
      <c r="G5" s="73"/>
      <c r="H5" s="73"/>
      <c r="I5" s="73"/>
      <c r="J5" s="73"/>
      <c r="K5" s="73"/>
      <c r="L5" s="73"/>
      <c r="M5" s="73"/>
      <c r="N5" s="73"/>
      <c r="O5" s="73"/>
      <c r="P5" s="73"/>
      <c r="Q5" s="73"/>
      <c r="R5" s="73"/>
    </row>
    <row r="6" spans="1:18" s="72" customFormat="1">
      <c r="A6" s="72" t="s">
        <v>648</v>
      </c>
      <c r="B6" s="72" t="s">
        <v>649</v>
      </c>
      <c r="G6" s="73"/>
      <c r="H6" s="73"/>
      <c r="I6" s="73"/>
      <c r="J6" s="73"/>
      <c r="K6" s="73"/>
      <c r="L6" s="73"/>
      <c r="M6" s="73"/>
      <c r="N6" s="73"/>
      <c r="O6" s="73"/>
      <c r="P6" s="73"/>
      <c r="Q6" s="73"/>
      <c r="R6" s="73"/>
    </row>
    <row r="7" spans="1:18" s="72" customFormat="1">
      <c r="G7" s="73"/>
      <c r="H7" s="73"/>
      <c r="I7" s="73"/>
      <c r="J7" s="73"/>
      <c r="K7" s="73"/>
      <c r="L7" s="73"/>
      <c r="M7" s="73"/>
      <c r="N7" s="73"/>
      <c r="O7" s="73"/>
      <c r="P7" s="73"/>
      <c r="Q7" s="73"/>
      <c r="R7" s="73"/>
    </row>
    <row r="8" spans="1:18">
      <c r="A8" s="75"/>
      <c r="B8" s="75"/>
      <c r="C8" s="75" t="s">
        <v>104</v>
      </c>
      <c r="D8" s="75" t="s">
        <v>654</v>
      </c>
      <c r="E8" s="75" t="s">
        <v>93</v>
      </c>
      <c r="F8" s="76" t="s">
        <v>655</v>
      </c>
      <c r="G8" s="77"/>
    </row>
    <row r="9" spans="1:18" s="84" customFormat="1">
      <c r="A9" s="79" t="s">
        <v>55</v>
      </c>
      <c r="B9" s="79"/>
      <c r="C9" s="80"/>
      <c r="D9" s="80"/>
      <c r="E9" s="80"/>
      <c r="F9" s="81"/>
      <c r="G9" s="82"/>
      <c r="H9" s="83"/>
      <c r="I9" s="83"/>
      <c r="J9" s="83"/>
      <c r="K9" s="83"/>
      <c r="L9" s="82"/>
      <c r="M9" s="82"/>
      <c r="N9" s="82"/>
      <c r="O9" s="82"/>
      <c r="P9" s="82"/>
      <c r="Q9" s="82"/>
      <c r="R9" s="82"/>
    </row>
    <row r="10" spans="1:18" s="74" customFormat="1" ht="124.2">
      <c r="A10" s="3" t="s">
        <v>102</v>
      </c>
      <c r="B10" s="3" t="s">
        <v>656</v>
      </c>
      <c r="C10" s="85" t="s">
        <v>657</v>
      </c>
      <c r="D10" s="85" t="s">
        <v>658</v>
      </c>
      <c r="E10" s="85" t="s">
        <v>659</v>
      </c>
      <c r="F10" s="86" t="s">
        <v>660</v>
      </c>
      <c r="G10" s="82"/>
      <c r="H10" s="83"/>
      <c r="I10" s="83"/>
      <c r="J10" s="83"/>
      <c r="K10" s="83"/>
      <c r="L10" s="82"/>
      <c r="M10" s="82"/>
      <c r="N10" s="82"/>
      <c r="O10" s="82"/>
      <c r="P10" s="82"/>
      <c r="Q10" s="82"/>
      <c r="R10" s="82"/>
    </row>
    <row r="11" spans="1:18" s="74" customFormat="1">
      <c r="A11" s="79" t="s">
        <v>62</v>
      </c>
      <c r="B11" s="79"/>
      <c r="C11" s="80"/>
      <c r="D11" s="80"/>
      <c r="E11" s="80"/>
      <c r="F11" s="81"/>
      <c r="G11" s="82"/>
      <c r="H11" s="83"/>
      <c r="I11" s="83"/>
      <c r="J11" s="83"/>
      <c r="K11" s="83"/>
      <c r="L11" s="82"/>
      <c r="M11" s="82"/>
      <c r="N11" s="82"/>
      <c r="O11" s="82"/>
      <c r="P11" s="82"/>
      <c r="Q11" s="82"/>
      <c r="R11" s="82"/>
    </row>
    <row r="12" spans="1:18" s="74" customFormat="1" ht="82.8">
      <c r="A12" s="3" t="s">
        <v>588</v>
      </c>
      <c r="B12" s="3" t="s">
        <v>589</v>
      </c>
      <c r="C12" s="85" t="s">
        <v>661</v>
      </c>
      <c r="D12" s="85" t="s">
        <v>662</v>
      </c>
      <c r="E12" s="85" t="s">
        <v>663</v>
      </c>
      <c r="F12" s="86" t="s">
        <v>664</v>
      </c>
      <c r="G12" s="82"/>
      <c r="H12" s="83"/>
      <c r="I12" s="83"/>
      <c r="J12" s="83"/>
      <c r="K12" s="83"/>
      <c r="L12" s="82"/>
      <c r="M12" s="82"/>
      <c r="N12" s="82"/>
      <c r="O12" s="82"/>
      <c r="P12" s="82"/>
      <c r="Q12" s="82"/>
      <c r="R12" s="82"/>
    </row>
    <row r="13" spans="1:18" s="74" customFormat="1" ht="69">
      <c r="A13" s="3" t="s">
        <v>590</v>
      </c>
      <c r="B13" s="3" t="s">
        <v>665</v>
      </c>
      <c r="C13" s="85" t="s">
        <v>591</v>
      </c>
      <c r="D13" s="85" t="s">
        <v>666</v>
      </c>
      <c r="E13" s="85" t="s">
        <v>667</v>
      </c>
      <c r="F13" s="86" t="s">
        <v>668</v>
      </c>
      <c r="G13" s="82"/>
      <c r="H13" s="83"/>
      <c r="I13" s="83"/>
      <c r="J13" s="83"/>
      <c r="K13" s="83"/>
      <c r="L13" s="82"/>
      <c r="M13" s="82"/>
      <c r="N13" s="82"/>
      <c r="O13" s="82"/>
      <c r="P13" s="82"/>
      <c r="Q13" s="82"/>
      <c r="R13" s="82"/>
    </row>
    <row r="14" spans="1:18" s="87" customFormat="1" ht="96.6">
      <c r="A14" s="3" t="s">
        <v>592</v>
      </c>
      <c r="B14" s="3" t="s">
        <v>593</v>
      </c>
      <c r="C14" s="85" t="s">
        <v>669</v>
      </c>
      <c r="D14" s="85" t="s">
        <v>670</v>
      </c>
      <c r="E14" s="85" t="s">
        <v>594</v>
      </c>
      <c r="F14" s="86" t="s">
        <v>671</v>
      </c>
      <c r="G14" s="82"/>
      <c r="H14" s="83"/>
      <c r="I14" s="83"/>
      <c r="J14" s="83"/>
      <c r="K14" s="83"/>
      <c r="L14" s="82"/>
      <c r="M14" s="82"/>
      <c r="N14" s="82"/>
      <c r="O14" s="82"/>
      <c r="P14" s="82"/>
      <c r="Q14" s="82"/>
      <c r="R14" s="82"/>
    </row>
    <row r="15" spans="1:18" s="87" customFormat="1" ht="82.8">
      <c r="A15" s="3" t="s">
        <v>595</v>
      </c>
      <c r="B15" s="3" t="s">
        <v>596</v>
      </c>
      <c r="C15" s="85" t="s">
        <v>672</v>
      </c>
      <c r="D15" s="85" t="s">
        <v>597</v>
      </c>
      <c r="E15" s="85" t="s">
        <v>673</v>
      </c>
      <c r="F15" s="86" t="s">
        <v>671</v>
      </c>
      <c r="G15" s="82"/>
      <c r="H15" s="83"/>
      <c r="I15" s="83"/>
      <c r="J15" s="83"/>
      <c r="K15" s="83"/>
      <c r="L15" s="82"/>
      <c r="M15" s="82"/>
      <c r="N15" s="82"/>
      <c r="O15" s="82"/>
      <c r="P15" s="82"/>
      <c r="Q15" s="82"/>
      <c r="R15" s="82"/>
    </row>
    <row r="16" spans="1:18" s="89" customFormat="1">
      <c r="A16" s="79" t="s">
        <v>64</v>
      </c>
      <c r="B16" s="79"/>
      <c r="C16" s="88"/>
      <c r="D16" s="80"/>
      <c r="E16" s="80"/>
      <c r="F16" s="81"/>
      <c r="G16" s="82"/>
      <c r="H16" s="83"/>
      <c r="I16" s="83"/>
      <c r="J16" s="83"/>
      <c r="K16" s="83"/>
      <c r="L16" s="82"/>
      <c r="M16" s="82"/>
      <c r="N16" s="82"/>
      <c r="O16" s="82"/>
      <c r="P16" s="82"/>
      <c r="Q16" s="82"/>
      <c r="R16" s="82"/>
    </row>
    <row r="17" spans="1:18" s="74" customFormat="1" ht="110.4">
      <c r="A17" s="3" t="s">
        <v>598</v>
      </c>
      <c r="B17" s="3" t="s">
        <v>674</v>
      </c>
      <c r="C17" s="85" t="s">
        <v>600</v>
      </c>
      <c r="D17" s="85" t="s">
        <v>599</v>
      </c>
      <c r="E17" s="85" t="s">
        <v>675</v>
      </c>
      <c r="F17" s="86" t="s">
        <v>676</v>
      </c>
      <c r="G17" s="82"/>
      <c r="H17" s="83"/>
      <c r="I17" s="83"/>
      <c r="J17" s="83"/>
      <c r="K17" s="83"/>
      <c r="L17" s="82"/>
      <c r="M17" s="82"/>
      <c r="N17" s="82"/>
      <c r="O17" s="82"/>
      <c r="P17" s="82"/>
      <c r="Q17" s="82"/>
      <c r="R17" s="82"/>
    </row>
    <row r="18" spans="1:18" s="87" customFormat="1" ht="41.4">
      <c r="A18" s="3" t="s">
        <v>601</v>
      </c>
      <c r="B18" s="3" t="s">
        <v>677</v>
      </c>
      <c r="C18" s="85" t="s">
        <v>602</v>
      </c>
      <c r="D18" s="3"/>
      <c r="E18" s="85" t="s">
        <v>678</v>
      </c>
      <c r="F18" s="86" t="s">
        <v>679</v>
      </c>
      <c r="G18" s="82"/>
      <c r="H18" s="83"/>
      <c r="I18" s="83"/>
      <c r="J18" s="83"/>
      <c r="K18" s="83"/>
      <c r="L18" s="82"/>
      <c r="M18" s="82"/>
      <c r="N18" s="82"/>
      <c r="O18" s="82"/>
      <c r="P18" s="82"/>
      <c r="Q18" s="82"/>
      <c r="R18" s="82"/>
    </row>
    <row r="19" spans="1:18" s="87" customFormat="1">
      <c r="A19" s="79" t="s">
        <v>65</v>
      </c>
      <c r="B19" s="79"/>
      <c r="C19" s="80"/>
      <c r="D19" s="80"/>
      <c r="E19" s="80"/>
      <c r="F19" s="81"/>
      <c r="G19" s="82"/>
      <c r="H19" s="83"/>
      <c r="I19" s="83"/>
      <c r="J19" s="83"/>
      <c r="K19" s="83"/>
      <c r="L19" s="82"/>
      <c r="M19" s="82"/>
      <c r="N19" s="82"/>
      <c r="O19" s="82"/>
      <c r="P19" s="82"/>
      <c r="Q19" s="82"/>
      <c r="R19" s="82"/>
    </row>
    <row r="20" spans="1:18" s="89" customFormat="1" ht="110.4">
      <c r="A20" s="3" t="s">
        <v>603</v>
      </c>
      <c r="B20" s="3" t="s">
        <v>680</v>
      </c>
      <c r="C20" s="85" t="s">
        <v>681</v>
      </c>
      <c r="D20" s="3"/>
      <c r="E20" s="85" t="s">
        <v>682</v>
      </c>
      <c r="F20" s="86" t="s">
        <v>683</v>
      </c>
      <c r="G20" s="82"/>
      <c r="H20" s="83"/>
      <c r="I20" s="83"/>
      <c r="J20" s="83"/>
      <c r="K20" s="83"/>
      <c r="L20" s="82"/>
      <c r="M20" s="82"/>
      <c r="N20" s="82"/>
      <c r="O20" s="82"/>
      <c r="P20" s="82"/>
      <c r="Q20" s="82"/>
      <c r="R20" s="82"/>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sheetData>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9CF0-B1B7-47BB-B792-8D5C49D877C9}">
  <sheetPr codeName="Sheet10">
    <tabColor rgb="FF6B2B88"/>
  </sheetPr>
  <dimension ref="A1:W64"/>
  <sheetViews>
    <sheetView zoomScale="70" zoomScaleNormal="70"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 workbookViewId="1">
      <selection activeCell="A10" sqref="A10:E17"/>
    </sheetView>
  </sheetViews>
  <sheetFormatPr defaultColWidth="8.77734375" defaultRowHeight="13.8"/>
  <cols>
    <col min="1" max="1" width="10.21875" style="78" customWidth="1"/>
    <col min="2" max="2" width="67.21875" style="78" customWidth="1"/>
    <col min="3" max="4" width="29.6640625" style="78" customWidth="1"/>
    <col min="5" max="5" width="83.44140625" style="78" customWidth="1"/>
    <col min="6" max="6" width="31.21875" style="78" customWidth="1"/>
    <col min="7" max="7" width="24.77734375" style="73" customWidth="1"/>
    <col min="8" max="11" width="8.77734375" style="72"/>
    <col min="12" max="23" width="8.77734375" style="73"/>
    <col min="24" max="16384" width="8.77734375" style="78"/>
  </cols>
  <sheetData>
    <row r="1" spans="1:23" s="72" customFormat="1" ht="25.8">
      <c r="A1" s="71" t="s">
        <v>566</v>
      </c>
      <c r="C1" s="56"/>
      <c r="G1" s="73"/>
      <c r="L1" s="73"/>
      <c r="M1" s="73"/>
      <c r="N1" s="73"/>
      <c r="O1" s="73"/>
      <c r="P1" s="73"/>
      <c r="Q1" s="73"/>
      <c r="R1" s="73"/>
      <c r="S1" s="73"/>
      <c r="T1" s="73"/>
      <c r="U1" s="73"/>
      <c r="V1" s="73"/>
      <c r="W1" s="73"/>
    </row>
    <row r="2" spans="1:23" s="72" customFormat="1" ht="25.8">
      <c r="A2" s="71" t="s">
        <v>684</v>
      </c>
      <c r="C2" s="56"/>
      <c r="G2" s="73"/>
      <c r="L2" s="73"/>
      <c r="M2" s="73"/>
      <c r="N2" s="73"/>
      <c r="O2" s="73"/>
      <c r="P2" s="73"/>
      <c r="Q2" s="73"/>
      <c r="R2" s="73"/>
      <c r="S2" s="73"/>
      <c r="T2" s="73"/>
      <c r="U2" s="73"/>
      <c r="V2" s="73"/>
      <c r="W2" s="73"/>
    </row>
    <row r="3" spans="1:23" s="72" customFormat="1">
      <c r="A3" s="74" t="s">
        <v>685</v>
      </c>
      <c r="B3" s="72" t="s">
        <v>686</v>
      </c>
      <c r="G3" s="73"/>
      <c r="L3" s="73"/>
      <c r="M3" s="73"/>
      <c r="N3" s="73"/>
      <c r="O3" s="73"/>
      <c r="P3" s="73"/>
      <c r="Q3" s="73"/>
      <c r="R3" s="73"/>
      <c r="S3" s="73"/>
      <c r="T3" s="73"/>
      <c r="U3" s="73"/>
      <c r="V3" s="73"/>
      <c r="W3" s="73"/>
    </row>
    <row r="4" spans="1:23" s="72" customFormat="1">
      <c r="A4" s="74" t="s">
        <v>644</v>
      </c>
      <c r="B4" s="72" t="s">
        <v>687</v>
      </c>
      <c r="G4" s="73"/>
      <c r="L4" s="73"/>
      <c r="M4" s="73"/>
      <c r="N4" s="73"/>
      <c r="O4" s="73"/>
      <c r="P4" s="73"/>
      <c r="Q4" s="73"/>
      <c r="R4" s="73"/>
      <c r="S4" s="73"/>
      <c r="T4" s="73"/>
      <c r="U4" s="73"/>
      <c r="V4" s="73"/>
      <c r="W4" s="73"/>
    </row>
    <row r="5" spans="1:23" s="72" customFormat="1">
      <c r="A5" s="72" t="s">
        <v>688</v>
      </c>
      <c r="B5" s="72" t="s">
        <v>689</v>
      </c>
      <c r="G5" s="73"/>
      <c r="L5" s="73"/>
      <c r="M5" s="73"/>
      <c r="N5" s="73"/>
      <c r="O5" s="73"/>
      <c r="P5" s="73"/>
      <c r="Q5" s="73"/>
      <c r="R5" s="73"/>
      <c r="S5" s="73"/>
      <c r="T5" s="73"/>
      <c r="U5" s="73"/>
      <c r="V5" s="73"/>
      <c r="W5" s="73"/>
    </row>
    <row r="6" spans="1:23" s="72" customFormat="1">
      <c r="A6" s="72" t="s">
        <v>648</v>
      </c>
      <c r="B6" s="72" t="s">
        <v>690</v>
      </c>
      <c r="G6" s="73"/>
      <c r="L6" s="73"/>
      <c r="M6" s="73"/>
      <c r="N6" s="73"/>
      <c r="O6" s="73"/>
      <c r="P6" s="73"/>
      <c r="Q6" s="73"/>
      <c r="R6" s="73"/>
      <c r="S6" s="73"/>
      <c r="T6" s="73"/>
      <c r="U6" s="73"/>
      <c r="V6" s="73"/>
      <c r="W6" s="73"/>
    </row>
    <row r="8" spans="1:23">
      <c r="A8" s="75"/>
      <c r="B8" s="75"/>
      <c r="C8" s="75" t="s">
        <v>104</v>
      </c>
      <c r="D8" s="75" t="s">
        <v>654</v>
      </c>
      <c r="E8" s="75" t="s">
        <v>93</v>
      </c>
      <c r="F8" s="75" t="s">
        <v>655</v>
      </c>
      <c r="G8" s="92" t="s">
        <v>691</v>
      </c>
      <c r="L8" s="78"/>
      <c r="M8" s="78"/>
      <c r="N8" s="78"/>
      <c r="O8" s="78"/>
      <c r="P8" s="78"/>
      <c r="Q8" s="78"/>
      <c r="R8" s="78"/>
      <c r="S8" s="78"/>
      <c r="T8" s="78"/>
      <c r="U8" s="78"/>
      <c r="V8" s="78"/>
      <c r="W8" s="78"/>
    </row>
    <row r="9" spans="1:23" s="97" customFormat="1">
      <c r="A9" s="93" t="s">
        <v>55</v>
      </c>
      <c r="B9" s="93"/>
      <c r="C9" s="94"/>
      <c r="D9" s="94"/>
      <c r="E9" s="94"/>
      <c r="F9" s="94"/>
      <c r="G9" s="95"/>
      <c r="H9" s="72"/>
      <c r="I9" s="72"/>
      <c r="J9" s="72"/>
      <c r="K9" s="72"/>
      <c r="L9" s="96"/>
      <c r="M9" s="96"/>
      <c r="N9" s="96"/>
      <c r="O9" s="96"/>
      <c r="P9" s="96"/>
      <c r="Q9" s="96"/>
      <c r="R9" s="96"/>
      <c r="S9" s="96"/>
      <c r="T9" s="96"/>
      <c r="U9" s="96"/>
      <c r="V9" s="96"/>
      <c r="W9" s="96"/>
    </row>
    <row r="10" spans="1:23" s="97" customFormat="1" ht="41.4">
      <c r="A10" s="23" t="s">
        <v>567</v>
      </c>
      <c r="B10" s="23" t="s">
        <v>692</v>
      </c>
      <c r="C10" s="98" t="s">
        <v>693</v>
      </c>
      <c r="D10" s="98" t="s">
        <v>568</v>
      </c>
      <c r="E10" s="98" t="s">
        <v>569</v>
      </c>
      <c r="F10" s="98"/>
      <c r="G10" s="99"/>
      <c r="H10" s="72"/>
      <c r="I10" s="72"/>
      <c r="J10" s="72"/>
      <c r="K10" s="72"/>
      <c r="L10" s="96"/>
      <c r="M10" s="96"/>
      <c r="N10" s="96"/>
      <c r="O10" s="96"/>
      <c r="P10" s="96"/>
      <c r="Q10" s="96"/>
      <c r="R10" s="96"/>
      <c r="S10" s="96"/>
      <c r="T10" s="96"/>
      <c r="U10" s="96"/>
      <c r="V10" s="96"/>
      <c r="W10" s="96"/>
    </row>
    <row r="11" spans="1:23" s="100" customFormat="1">
      <c r="A11" s="93" t="s">
        <v>62</v>
      </c>
      <c r="B11" s="93"/>
      <c r="C11" s="94"/>
      <c r="D11" s="94"/>
      <c r="E11" s="94"/>
      <c r="F11" s="94"/>
      <c r="G11" s="95"/>
      <c r="H11" s="72"/>
      <c r="I11" s="72"/>
      <c r="J11" s="72"/>
      <c r="K11" s="72"/>
      <c r="L11" s="96"/>
      <c r="M11" s="96"/>
      <c r="N11" s="96"/>
      <c r="O11" s="96"/>
      <c r="P11" s="96"/>
      <c r="Q11" s="96"/>
      <c r="R11" s="96"/>
      <c r="S11" s="96"/>
      <c r="T11" s="96"/>
      <c r="U11" s="96"/>
      <c r="V11" s="96"/>
      <c r="W11" s="96"/>
    </row>
    <row r="12" spans="1:23" s="100" customFormat="1" ht="82.8">
      <c r="A12" s="23" t="s">
        <v>570</v>
      </c>
      <c r="B12" s="23" t="s">
        <v>694</v>
      </c>
      <c r="C12" s="98" t="s">
        <v>695</v>
      </c>
      <c r="D12" s="98" t="s">
        <v>571</v>
      </c>
      <c r="E12" s="98" t="s">
        <v>572</v>
      </c>
      <c r="F12" s="23"/>
      <c r="G12" s="99" t="s">
        <v>696</v>
      </c>
      <c r="H12" s="72"/>
      <c r="I12" s="72"/>
      <c r="J12" s="72"/>
      <c r="K12" s="72"/>
      <c r="L12" s="96"/>
      <c r="M12" s="96"/>
      <c r="N12" s="96"/>
      <c r="O12" s="96"/>
      <c r="P12" s="96"/>
      <c r="Q12" s="96"/>
      <c r="R12" s="96"/>
      <c r="S12" s="96"/>
      <c r="T12" s="96"/>
      <c r="U12" s="96"/>
      <c r="V12" s="96"/>
      <c r="W12" s="96"/>
    </row>
    <row r="13" spans="1:23" s="101" customFormat="1" ht="27.6">
      <c r="A13" s="23" t="s">
        <v>573</v>
      </c>
      <c r="B13" s="23" t="s">
        <v>697</v>
      </c>
      <c r="C13" s="98" t="s">
        <v>575</v>
      </c>
      <c r="D13" s="98" t="s">
        <v>574</v>
      </c>
      <c r="E13" s="98" t="s">
        <v>576</v>
      </c>
      <c r="F13" s="98"/>
      <c r="G13" s="99"/>
      <c r="H13" s="72"/>
      <c r="I13" s="72"/>
      <c r="J13" s="72"/>
      <c r="K13" s="72"/>
      <c r="L13" s="96"/>
      <c r="M13" s="96"/>
      <c r="N13" s="96"/>
      <c r="O13" s="96"/>
      <c r="P13" s="96"/>
      <c r="Q13" s="96"/>
      <c r="R13" s="96"/>
      <c r="S13" s="96"/>
      <c r="T13" s="96"/>
      <c r="U13" s="96"/>
      <c r="V13" s="96"/>
      <c r="W13" s="96"/>
    </row>
    <row r="14" spans="1:23" s="97" customFormat="1">
      <c r="A14" s="93" t="s">
        <v>64</v>
      </c>
      <c r="B14" s="93"/>
      <c r="C14" s="94"/>
      <c r="D14" s="94"/>
      <c r="E14" s="94"/>
      <c r="F14" s="94"/>
      <c r="G14" s="95"/>
      <c r="H14" s="72"/>
      <c r="I14" s="72"/>
      <c r="J14" s="72"/>
      <c r="K14" s="72"/>
      <c r="L14" s="96"/>
      <c r="M14" s="96"/>
      <c r="N14" s="96"/>
      <c r="O14" s="96"/>
      <c r="P14" s="96"/>
      <c r="Q14" s="96"/>
      <c r="R14" s="96"/>
      <c r="S14" s="96"/>
      <c r="T14" s="96"/>
      <c r="U14" s="96"/>
      <c r="V14" s="96"/>
      <c r="W14" s="96"/>
    </row>
    <row r="15" spans="1:23" s="97" customFormat="1" ht="69">
      <c r="A15" s="23" t="s">
        <v>577</v>
      </c>
      <c r="B15" s="23" t="s">
        <v>698</v>
      </c>
      <c r="C15" s="98" t="s">
        <v>578</v>
      </c>
      <c r="D15" s="98" t="s">
        <v>699</v>
      </c>
      <c r="E15" s="98" t="s">
        <v>700</v>
      </c>
      <c r="F15" s="98" t="s">
        <v>701</v>
      </c>
      <c r="G15" s="102" t="s">
        <v>702</v>
      </c>
      <c r="H15" s="72"/>
      <c r="I15" s="72"/>
      <c r="J15" s="72"/>
      <c r="K15" s="72"/>
      <c r="L15" s="96"/>
      <c r="M15" s="96"/>
      <c r="N15" s="96"/>
      <c r="O15" s="96"/>
      <c r="P15" s="96"/>
      <c r="Q15" s="96"/>
      <c r="R15" s="96"/>
      <c r="S15" s="96"/>
      <c r="T15" s="96"/>
      <c r="U15" s="96"/>
      <c r="V15" s="96"/>
      <c r="W15" s="96"/>
    </row>
    <row r="16" spans="1:23" s="100" customFormat="1" ht="27.6">
      <c r="A16" s="23" t="s">
        <v>579</v>
      </c>
      <c r="B16" s="23" t="s">
        <v>580</v>
      </c>
      <c r="C16" s="98" t="s">
        <v>582</v>
      </c>
      <c r="D16" s="98" t="s">
        <v>581</v>
      </c>
      <c r="E16" s="98" t="s">
        <v>583</v>
      </c>
      <c r="F16" s="98"/>
      <c r="G16" s="102" t="s">
        <v>703</v>
      </c>
      <c r="H16" s="72"/>
      <c r="I16" s="72"/>
      <c r="J16" s="72"/>
      <c r="K16" s="72"/>
      <c r="L16" s="96"/>
      <c r="M16" s="96"/>
      <c r="N16" s="96"/>
      <c r="O16" s="96"/>
      <c r="P16" s="96"/>
      <c r="Q16" s="96"/>
      <c r="R16" s="96"/>
      <c r="S16" s="96"/>
      <c r="T16" s="96"/>
      <c r="U16" s="96"/>
      <c r="V16" s="96"/>
      <c r="W16" s="96"/>
    </row>
    <row r="17" spans="1:23" s="100" customFormat="1" ht="41.4">
      <c r="A17" s="23" t="s">
        <v>584</v>
      </c>
      <c r="B17" s="23" t="s">
        <v>704</v>
      </c>
      <c r="C17" s="98" t="s">
        <v>705</v>
      </c>
      <c r="D17" s="98" t="s">
        <v>585</v>
      </c>
      <c r="E17" s="98" t="s">
        <v>586</v>
      </c>
      <c r="F17" s="98"/>
      <c r="G17" s="99"/>
      <c r="H17" s="72"/>
      <c r="I17" s="72"/>
      <c r="J17" s="72"/>
      <c r="K17" s="72"/>
      <c r="L17" s="96"/>
      <c r="M17" s="96"/>
      <c r="N17" s="96"/>
      <c r="O17" s="96"/>
      <c r="P17" s="96"/>
      <c r="Q17" s="96"/>
      <c r="R17" s="96"/>
      <c r="S17" s="96"/>
      <c r="T17" s="96"/>
      <c r="U17" s="96"/>
      <c r="V17" s="96"/>
      <c r="W17" s="96"/>
    </row>
    <row r="18" spans="1:23" s="90" customFormat="1">
      <c r="G18" s="73"/>
      <c r="H18" s="72"/>
      <c r="I18" s="72"/>
      <c r="J18" s="72"/>
      <c r="K18" s="72"/>
      <c r="L18" s="73"/>
      <c r="M18" s="73"/>
      <c r="N18" s="73"/>
      <c r="O18" s="73"/>
      <c r="P18" s="73"/>
      <c r="Q18" s="73"/>
      <c r="R18" s="73"/>
      <c r="S18" s="73"/>
      <c r="T18" s="73"/>
      <c r="U18" s="73"/>
      <c r="V18" s="73"/>
      <c r="W18" s="73"/>
    </row>
    <row r="19" spans="1:23" s="90" customFormat="1">
      <c r="G19" s="73"/>
      <c r="H19" s="72"/>
      <c r="I19" s="72"/>
      <c r="J19" s="72"/>
      <c r="K19" s="72"/>
      <c r="L19" s="73"/>
      <c r="M19" s="73"/>
      <c r="N19" s="73"/>
      <c r="O19" s="73"/>
      <c r="P19" s="73"/>
      <c r="Q19" s="73"/>
      <c r="R19" s="73"/>
      <c r="S19" s="73"/>
      <c r="T19" s="73"/>
      <c r="U19" s="73"/>
      <c r="V19" s="73"/>
      <c r="W19" s="73"/>
    </row>
    <row r="20" spans="1:23" s="90" customFormat="1">
      <c r="G20" s="73"/>
      <c r="H20" s="72"/>
      <c r="I20" s="72"/>
      <c r="J20" s="72"/>
      <c r="K20" s="72"/>
      <c r="L20" s="73"/>
      <c r="M20" s="73"/>
      <c r="N20" s="73"/>
      <c r="O20" s="73"/>
      <c r="P20" s="73"/>
      <c r="Q20" s="73"/>
      <c r="R20" s="73"/>
      <c r="S20" s="73"/>
      <c r="T20" s="73"/>
      <c r="U20" s="73"/>
      <c r="V20" s="73"/>
      <c r="W20" s="73"/>
    </row>
    <row r="21" spans="1:23" s="90" customFormat="1">
      <c r="G21" s="73"/>
      <c r="H21" s="72"/>
      <c r="I21" s="72"/>
      <c r="J21" s="72"/>
      <c r="K21" s="72"/>
      <c r="L21" s="73"/>
      <c r="M21" s="73"/>
      <c r="N21" s="73"/>
      <c r="O21" s="73"/>
      <c r="P21" s="73"/>
      <c r="Q21" s="73"/>
      <c r="R21" s="73"/>
      <c r="S21" s="73"/>
      <c r="T21" s="73"/>
      <c r="U21" s="73"/>
      <c r="V21" s="73"/>
      <c r="W21" s="73"/>
    </row>
    <row r="22" spans="1:23" s="90" customFormat="1">
      <c r="G22" s="73"/>
      <c r="H22" s="72"/>
      <c r="I22" s="72"/>
      <c r="J22" s="72"/>
      <c r="K22" s="72"/>
      <c r="L22" s="73"/>
      <c r="M22" s="73"/>
      <c r="N22" s="73"/>
      <c r="O22" s="73"/>
      <c r="P22" s="73"/>
      <c r="Q22" s="73"/>
      <c r="R22" s="73"/>
      <c r="S22" s="73"/>
      <c r="T22" s="73"/>
      <c r="U22" s="73"/>
      <c r="V22" s="73"/>
      <c r="W22" s="73"/>
    </row>
    <row r="23" spans="1:23" s="90" customFormat="1">
      <c r="G23" s="73"/>
      <c r="H23" s="72"/>
      <c r="I23" s="72"/>
      <c r="J23" s="72"/>
      <c r="K23" s="72"/>
      <c r="L23" s="73"/>
      <c r="M23" s="73"/>
      <c r="N23" s="73"/>
      <c r="O23" s="73"/>
      <c r="P23" s="73"/>
      <c r="Q23" s="73"/>
      <c r="R23" s="73"/>
      <c r="S23" s="73"/>
      <c r="T23" s="73"/>
      <c r="U23" s="73"/>
      <c r="V23" s="73"/>
      <c r="W23" s="73"/>
    </row>
    <row r="24" spans="1:23" s="90" customFormat="1">
      <c r="G24" s="73"/>
      <c r="H24" s="72"/>
      <c r="I24" s="72"/>
      <c r="J24" s="72"/>
      <c r="K24" s="72"/>
      <c r="L24" s="73"/>
      <c r="M24" s="73"/>
      <c r="N24" s="73"/>
      <c r="O24" s="73"/>
      <c r="P24" s="73"/>
      <c r="Q24" s="73"/>
      <c r="R24" s="73"/>
      <c r="S24" s="73"/>
      <c r="T24" s="73"/>
      <c r="U24" s="73"/>
      <c r="V24" s="73"/>
      <c r="W24" s="73"/>
    </row>
    <row r="25" spans="1:23" s="90" customFormat="1">
      <c r="G25" s="73"/>
      <c r="H25" s="72"/>
      <c r="I25" s="72"/>
      <c r="J25" s="72"/>
      <c r="K25" s="72"/>
      <c r="L25" s="73"/>
      <c r="M25" s="73"/>
      <c r="N25" s="73"/>
      <c r="O25" s="73"/>
      <c r="P25" s="73"/>
      <c r="Q25" s="73"/>
      <c r="R25" s="73"/>
      <c r="S25" s="73"/>
      <c r="T25" s="73"/>
      <c r="U25" s="73"/>
      <c r="V25" s="73"/>
      <c r="W25" s="73"/>
    </row>
    <row r="26" spans="1:23" s="90" customFormat="1">
      <c r="G26" s="73"/>
      <c r="H26" s="72"/>
      <c r="I26" s="72"/>
      <c r="J26" s="72"/>
      <c r="K26" s="72"/>
      <c r="L26" s="73"/>
      <c r="M26" s="73"/>
      <c r="N26" s="73"/>
      <c r="O26" s="73"/>
      <c r="P26" s="73"/>
      <c r="Q26" s="73"/>
      <c r="R26" s="73"/>
      <c r="S26" s="73"/>
      <c r="T26" s="73"/>
      <c r="U26" s="73"/>
      <c r="V26" s="73"/>
      <c r="W26" s="73"/>
    </row>
    <row r="27" spans="1:23" s="90" customFormat="1">
      <c r="G27" s="73"/>
      <c r="H27" s="72"/>
      <c r="I27" s="72"/>
      <c r="J27" s="72"/>
      <c r="K27" s="72"/>
      <c r="L27" s="73"/>
      <c r="M27" s="73"/>
      <c r="N27" s="73"/>
      <c r="O27" s="73"/>
      <c r="P27" s="73"/>
      <c r="Q27" s="73"/>
      <c r="R27" s="73"/>
      <c r="S27" s="73"/>
      <c r="T27" s="73"/>
      <c r="U27" s="73"/>
      <c r="V27" s="73"/>
      <c r="W27" s="73"/>
    </row>
    <row r="28" spans="1:23" s="90" customFormat="1">
      <c r="G28" s="73"/>
      <c r="H28" s="72"/>
      <c r="I28" s="72"/>
      <c r="J28" s="72"/>
      <c r="K28" s="72"/>
      <c r="L28" s="73"/>
      <c r="M28" s="73"/>
      <c r="N28" s="73"/>
      <c r="O28" s="73"/>
      <c r="P28" s="73"/>
      <c r="Q28" s="73"/>
      <c r="R28" s="73"/>
      <c r="S28" s="73"/>
      <c r="T28" s="73"/>
      <c r="U28" s="73"/>
      <c r="V28" s="73"/>
      <c r="W28" s="73"/>
    </row>
    <row r="29" spans="1:23" s="90" customFormat="1">
      <c r="G29" s="73"/>
      <c r="H29" s="72"/>
      <c r="I29" s="72"/>
      <c r="J29" s="72"/>
      <c r="K29" s="72"/>
      <c r="L29" s="73"/>
      <c r="M29" s="73"/>
      <c r="N29" s="73"/>
      <c r="O29" s="73"/>
      <c r="P29" s="73"/>
      <c r="Q29" s="73"/>
      <c r="R29" s="73"/>
      <c r="S29" s="73"/>
      <c r="T29" s="73"/>
      <c r="U29" s="73"/>
      <c r="V29" s="73"/>
      <c r="W29" s="73"/>
    </row>
    <row r="30" spans="1:23" s="90" customFormat="1">
      <c r="G30" s="73"/>
      <c r="H30" s="72"/>
      <c r="I30" s="72"/>
      <c r="J30" s="72"/>
      <c r="K30" s="72"/>
      <c r="L30" s="73"/>
      <c r="M30" s="73"/>
      <c r="N30" s="73"/>
      <c r="O30" s="73"/>
      <c r="P30" s="73"/>
      <c r="Q30" s="73"/>
      <c r="R30" s="73"/>
      <c r="S30" s="73"/>
      <c r="T30" s="73"/>
      <c r="U30" s="73"/>
      <c r="V30" s="73"/>
      <c r="W30" s="73"/>
    </row>
    <row r="31" spans="1:23" s="90" customFormat="1">
      <c r="G31" s="73"/>
      <c r="H31" s="72"/>
      <c r="I31" s="72"/>
      <c r="J31" s="72"/>
      <c r="K31" s="72"/>
      <c r="L31" s="73"/>
      <c r="M31" s="73"/>
      <c r="N31" s="73"/>
      <c r="O31" s="73"/>
      <c r="P31" s="73"/>
      <c r="Q31" s="73"/>
      <c r="R31" s="73"/>
      <c r="S31" s="73"/>
      <c r="T31" s="73"/>
      <c r="U31" s="73"/>
      <c r="V31" s="73"/>
      <c r="W31" s="73"/>
    </row>
    <row r="32" spans="1:23" s="90" customFormat="1">
      <c r="G32" s="73"/>
      <c r="H32" s="72"/>
      <c r="I32" s="72"/>
      <c r="J32" s="72"/>
      <c r="K32" s="72"/>
      <c r="L32" s="73"/>
      <c r="M32" s="73"/>
      <c r="N32" s="73"/>
      <c r="O32" s="73"/>
      <c r="P32" s="73"/>
      <c r="Q32" s="73"/>
      <c r="R32" s="73"/>
      <c r="S32" s="73"/>
      <c r="T32" s="73"/>
      <c r="U32" s="73"/>
      <c r="V32" s="73"/>
      <c r="W32" s="73"/>
    </row>
    <row r="33" spans="7:23" s="90" customFormat="1">
      <c r="G33" s="73"/>
      <c r="H33" s="72"/>
      <c r="I33" s="72"/>
      <c r="J33" s="72"/>
      <c r="K33" s="72"/>
      <c r="L33" s="73"/>
      <c r="M33" s="73"/>
      <c r="N33" s="73"/>
      <c r="O33" s="73"/>
      <c r="P33" s="73"/>
      <c r="Q33" s="73"/>
      <c r="R33" s="73"/>
      <c r="S33" s="73"/>
      <c r="T33" s="73"/>
      <c r="U33" s="73"/>
      <c r="V33" s="73"/>
      <c r="W33" s="73"/>
    </row>
    <row r="34" spans="7:23" s="90" customFormat="1">
      <c r="G34" s="73"/>
      <c r="H34" s="72"/>
      <c r="I34" s="72"/>
      <c r="J34" s="72"/>
      <c r="K34" s="72"/>
      <c r="L34" s="73"/>
      <c r="M34" s="73"/>
      <c r="N34" s="73"/>
      <c r="O34" s="73"/>
      <c r="P34" s="73"/>
      <c r="Q34" s="73"/>
      <c r="R34" s="73"/>
      <c r="S34" s="73"/>
      <c r="T34" s="73"/>
      <c r="U34" s="73"/>
      <c r="V34" s="73"/>
      <c r="W34" s="73"/>
    </row>
    <row r="35" spans="7:23" s="90" customFormat="1">
      <c r="G35" s="73"/>
      <c r="H35" s="72"/>
      <c r="I35" s="72"/>
      <c r="J35" s="72"/>
      <c r="K35" s="72"/>
      <c r="L35" s="73"/>
      <c r="M35" s="73"/>
      <c r="N35" s="73"/>
      <c r="O35" s="73"/>
      <c r="P35" s="73"/>
      <c r="Q35" s="73"/>
      <c r="R35" s="73"/>
      <c r="S35" s="73"/>
      <c r="T35" s="73"/>
      <c r="U35" s="73"/>
      <c r="V35" s="73"/>
      <c r="W35" s="73"/>
    </row>
    <row r="36" spans="7:23" s="90" customFormat="1">
      <c r="G36" s="73"/>
      <c r="H36" s="72"/>
      <c r="I36" s="72"/>
      <c r="J36" s="72"/>
      <c r="K36" s="72"/>
      <c r="L36" s="73"/>
      <c r="M36" s="73"/>
      <c r="N36" s="73"/>
      <c r="O36" s="73"/>
      <c r="P36" s="73"/>
      <c r="Q36" s="73"/>
      <c r="R36" s="73"/>
      <c r="S36" s="73"/>
      <c r="T36" s="73"/>
      <c r="U36" s="73"/>
      <c r="V36" s="73"/>
      <c r="W36" s="73"/>
    </row>
    <row r="37" spans="7:23" s="90" customFormat="1">
      <c r="G37" s="73"/>
      <c r="H37" s="72"/>
      <c r="I37" s="72"/>
      <c r="J37" s="72"/>
      <c r="K37" s="72"/>
      <c r="L37" s="73"/>
      <c r="M37" s="73"/>
      <c r="N37" s="73"/>
      <c r="O37" s="73"/>
      <c r="P37" s="73"/>
      <c r="Q37" s="73"/>
      <c r="R37" s="73"/>
      <c r="S37" s="73"/>
      <c r="T37" s="73"/>
      <c r="U37" s="73"/>
      <c r="V37" s="73"/>
      <c r="W37" s="73"/>
    </row>
    <row r="38" spans="7:23" s="90" customFormat="1">
      <c r="G38" s="73"/>
      <c r="H38" s="72"/>
      <c r="I38" s="72"/>
      <c r="J38" s="72"/>
      <c r="K38" s="72"/>
      <c r="L38" s="73"/>
      <c r="M38" s="73"/>
      <c r="N38" s="73"/>
      <c r="O38" s="73"/>
      <c r="P38" s="73"/>
      <c r="Q38" s="73"/>
      <c r="R38" s="73"/>
      <c r="S38" s="73"/>
      <c r="T38" s="73"/>
      <c r="U38" s="73"/>
      <c r="V38" s="73"/>
      <c r="W38" s="73"/>
    </row>
    <row r="39" spans="7:23" s="90" customFormat="1">
      <c r="G39" s="73"/>
      <c r="H39" s="72"/>
      <c r="I39" s="72"/>
      <c r="J39" s="72"/>
      <c r="K39" s="72"/>
      <c r="L39" s="73"/>
      <c r="M39" s="73"/>
      <c r="N39" s="73"/>
      <c r="O39" s="73"/>
      <c r="P39" s="73"/>
      <c r="Q39" s="73"/>
      <c r="R39" s="73"/>
      <c r="S39" s="73"/>
      <c r="T39" s="73"/>
      <c r="U39" s="73"/>
      <c r="V39" s="73"/>
      <c r="W39" s="73"/>
    </row>
    <row r="40" spans="7:23" s="90" customFormat="1">
      <c r="G40" s="73"/>
      <c r="H40" s="72"/>
      <c r="I40" s="72"/>
      <c r="J40" s="72"/>
      <c r="K40" s="72"/>
      <c r="L40" s="73"/>
      <c r="M40" s="73"/>
      <c r="N40" s="73"/>
      <c r="O40" s="73"/>
      <c r="P40" s="73"/>
      <c r="Q40" s="73"/>
      <c r="R40" s="73"/>
      <c r="S40" s="73"/>
      <c r="T40" s="73"/>
      <c r="U40" s="73"/>
      <c r="V40" s="73"/>
      <c r="W40" s="73"/>
    </row>
    <row r="41" spans="7:23" s="90" customFormat="1">
      <c r="G41" s="73"/>
      <c r="H41" s="72"/>
      <c r="I41" s="72"/>
      <c r="J41" s="72"/>
      <c r="K41" s="72"/>
      <c r="L41" s="73"/>
      <c r="M41" s="73"/>
      <c r="N41" s="73"/>
      <c r="O41" s="73"/>
      <c r="P41" s="73"/>
      <c r="Q41" s="73"/>
      <c r="R41" s="73"/>
      <c r="S41" s="73"/>
      <c r="T41" s="73"/>
      <c r="U41" s="73"/>
      <c r="V41" s="73"/>
      <c r="W41" s="73"/>
    </row>
    <row r="42" spans="7:23" s="90" customFormat="1">
      <c r="G42" s="73"/>
      <c r="H42" s="72"/>
      <c r="I42" s="72"/>
      <c r="J42" s="72"/>
      <c r="K42" s="72"/>
      <c r="L42" s="73"/>
      <c r="M42" s="73"/>
      <c r="N42" s="73"/>
      <c r="O42" s="73"/>
      <c r="P42" s="73"/>
      <c r="Q42" s="73"/>
      <c r="R42" s="73"/>
      <c r="S42" s="73"/>
      <c r="T42" s="73"/>
      <c r="U42" s="73"/>
      <c r="V42" s="73"/>
      <c r="W42" s="73"/>
    </row>
    <row r="43" spans="7:23" s="90" customFormat="1">
      <c r="G43" s="73"/>
      <c r="H43" s="72"/>
      <c r="I43" s="72"/>
      <c r="J43" s="72"/>
      <c r="K43" s="72"/>
      <c r="L43" s="73"/>
      <c r="M43" s="73"/>
      <c r="N43" s="73"/>
      <c r="O43" s="73"/>
      <c r="P43" s="73"/>
      <c r="Q43" s="73"/>
      <c r="R43" s="73"/>
      <c r="S43" s="73"/>
      <c r="T43" s="73"/>
      <c r="U43" s="73"/>
      <c r="V43" s="73"/>
      <c r="W43" s="73"/>
    </row>
    <row r="44" spans="7:23" s="91" customFormat="1">
      <c r="G44" s="73"/>
      <c r="H44" s="72"/>
      <c r="I44" s="72"/>
      <c r="J44" s="72"/>
      <c r="K44" s="72"/>
      <c r="L44" s="73"/>
      <c r="M44" s="73"/>
      <c r="N44" s="73"/>
      <c r="O44" s="73"/>
      <c r="P44" s="73"/>
      <c r="Q44" s="73"/>
      <c r="R44" s="73"/>
      <c r="S44" s="73"/>
      <c r="T44" s="73"/>
      <c r="U44" s="73"/>
      <c r="V44" s="73"/>
      <c r="W44" s="73"/>
    </row>
    <row r="45" spans="7:23" s="91" customFormat="1">
      <c r="G45" s="73"/>
      <c r="H45" s="72"/>
      <c r="I45" s="72"/>
      <c r="J45" s="72"/>
      <c r="K45" s="72"/>
      <c r="L45" s="73"/>
      <c r="M45" s="73"/>
      <c r="N45" s="73"/>
      <c r="O45" s="73"/>
      <c r="P45" s="73"/>
      <c r="Q45" s="73"/>
      <c r="R45" s="73"/>
      <c r="S45" s="73"/>
      <c r="T45" s="73"/>
      <c r="U45" s="73"/>
      <c r="V45" s="73"/>
      <c r="W45" s="73"/>
    </row>
    <row r="46" spans="7:23" s="91" customFormat="1">
      <c r="G46" s="73"/>
      <c r="H46" s="72"/>
      <c r="I46" s="72"/>
      <c r="J46" s="72"/>
      <c r="K46" s="72"/>
      <c r="L46" s="73"/>
      <c r="M46" s="73"/>
      <c r="N46" s="73"/>
      <c r="O46" s="73"/>
      <c r="P46" s="73"/>
      <c r="Q46" s="73"/>
      <c r="R46" s="73"/>
      <c r="S46" s="73"/>
      <c r="T46" s="73"/>
      <c r="U46" s="73"/>
      <c r="V46" s="73"/>
      <c r="W46" s="73"/>
    </row>
    <row r="47" spans="7:23" s="91" customFormat="1">
      <c r="G47" s="73"/>
      <c r="H47" s="72"/>
      <c r="I47" s="72"/>
      <c r="J47" s="72"/>
      <c r="K47" s="72"/>
      <c r="L47" s="73"/>
      <c r="M47" s="73"/>
      <c r="N47" s="73"/>
      <c r="O47" s="73"/>
      <c r="P47" s="73"/>
      <c r="Q47" s="73"/>
      <c r="R47" s="73"/>
      <c r="S47" s="73"/>
      <c r="T47" s="73"/>
      <c r="U47" s="73"/>
      <c r="V47" s="73"/>
      <c r="W47" s="73"/>
    </row>
    <row r="48" spans="7:23" s="91" customFormat="1">
      <c r="G48" s="73"/>
      <c r="H48" s="72"/>
      <c r="I48" s="72"/>
      <c r="J48" s="72"/>
      <c r="K48" s="72"/>
      <c r="L48" s="73"/>
      <c r="M48" s="73"/>
      <c r="N48" s="73"/>
      <c r="O48" s="73"/>
      <c r="P48" s="73"/>
      <c r="Q48" s="73"/>
      <c r="R48" s="73"/>
      <c r="S48" s="73"/>
      <c r="T48" s="73"/>
      <c r="U48" s="73"/>
      <c r="V48" s="73"/>
      <c r="W48" s="73"/>
    </row>
    <row r="49" spans="7:23" s="91" customFormat="1">
      <c r="G49" s="73"/>
      <c r="H49" s="72"/>
      <c r="I49" s="72"/>
      <c r="J49" s="72"/>
      <c r="K49" s="72"/>
      <c r="L49" s="73"/>
      <c r="M49" s="73"/>
      <c r="N49" s="73"/>
      <c r="O49" s="73"/>
      <c r="P49" s="73"/>
      <c r="Q49" s="73"/>
      <c r="R49" s="73"/>
      <c r="S49" s="73"/>
      <c r="T49" s="73"/>
      <c r="U49" s="73"/>
      <c r="V49" s="73"/>
      <c r="W49" s="73"/>
    </row>
    <row r="50" spans="7:23" s="91" customFormat="1">
      <c r="G50" s="73"/>
      <c r="H50" s="72"/>
      <c r="I50" s="72"/>
      <c r="J50" s="72"/>
      <c r="K50" s="72"/>
      <c r="L50" s="73"/>
      <c r="M50" s="73"/>
      <c r="N50" s="73"/>
      <c r="O50" s="73"/>
      <c r="P50" s="73"/>
      <c r="Q50" s="73"/>
      <c r="R50" s="73"/>
      <c r="S50" s="73"/>
      <c r="T50" s="73"/>
      <c r="U50" s="73"/>
      <c r="V50" s="73"/>
      <c r="W50" s="73"/>
    </row>
    <row r="51" spans="7:23" s="91" customFormat="1">
      <c r="G51" s="73"/>
      <c r="H51" s="72"/>
      <c r="I51" s="72"/>
      <c r="J51" s="72"/>
      <c r="K51" s="72"/>
      <c r="L51" s="73"/>
      <c r="M51" s="73"/>
      <c r="N51" s="73"/>
      <c r="O51" s="73"/>
      <c r="P51" s="73"/>
      <c r="Q51" s="73"/>
      <c r="R51" s="73"/>
      <c r="S51" s="73"/>
      <c r="T51" s="73"/>
      <c r="U51" s="73"/>
      <c r="V51" s="73"/>
      <c r="W51" s="73"/>
    </row>
    <row r="52" spans="7:23" s="91" customFormat="1">
      <c r="G52" s="73"/>
      <c r="H52" s="72"/>
      <c r="I52" s="72"/>
      <c r="J52" s="72"/>
      <c r="K52" s="72"/>
      <c r="L52" s="73"/>
      <c r="M52" s="73"/>
      <c r="N52" s="73"/>
      <c r="O52" s="73"/>
      <c r="P52" s="73"/>
      <c r="Q52" s="73"/>
      <c r="R52" s="73"/>
      <c r="S52" s="73"/>
      <c r="T52" s="73"/>
      <c r="U52" s="73"/>
      <c r="V52" s="73"/>
      <c r="W52" s="73"/>
    </row>
    <row r="53" spans="7:23" s="91" customFormat="1">
      <c r="G53" s="73"/>
      <c r="H53" s="72"/>
      <c r="I53" s="72"/>
      <c r="J53" s="72"/>
      <c r="K53" s="72"/>
      <c r="L53" s="73"/>
      <c r="M53" s="73"/>
      <c r="N53" s="73"/>
      <c r="O53" s="73"/>
      <c r="P53" s="73"/>
      <c r="Q53" s="73"/>
      <c r="R53" s="73"/>
      <c r="S53" s="73"/>
      <c r="T53" s="73"/>
      <c r="U53" s="73"/>
      <c r="V53" s="73"/>
      <c r="W53" s="73"/>
    </row>
    <row r="54" spans="7:23" s="91" customFormat="1">
      <c r="G54" s="73"/>
      <c r="H54" s="72"/>
      <c r="I54" s="72"/>
      <c r="J54" s="72"/>
      <c r="K54" s="72"/>
      <c r="L54" s="73"/>
      <c r="M54" s="73"/>
      <c r="N54" s="73"/>
      <c r="O54" s="73"/>
      <c r="P54" s="73"/>
      <c r="Q54" s="73"/>
      <c r="R54" s="73"/>
      <c r="S54" s="73"/>
      <c r="T54" s="73"/>
      <c r="U54" s="73"/>
      <c r="V54" s="73"/>
      <c r="W54" s="73"/>
    </row>
    <row r="55" spans="7:23" s="91" customFormat="1">
      <c r="G55" s="73"/>
      <c r="H55" s="72"/>
      <c r="I55" s="72"/>
      <c r="J55" s="72"/>
      <c r="K55" s="72"/>
      <c r="L55" s="73"/>
      <c r="M55" s="73"/>
      <c r="N55" s="73"/>
      <c r="O55" s="73"/>
      <c r="P55" s="73"/>
      <c r="Q55" s="73"/>
      <c r="R55" s="73"/>
      <c r="S55" s="73"/>
      <c r="T55" s="73"/>
      <c r="U55" s="73"/>
      <c r="V55" s="73"/>
      <c r="W55" s="73"/>
    </row>
    <row r="56" spans="7:23" s="91" customFormat="1">
      <c r="G56" s="73"/>
      <c r="H56" s="72"/>
      <c r="I56" s="72"/>
      <c r="J56" s="72"/>
      <c r="K56" s="72"/>
      <c r="L56" s="73"/>
      <c r="M56" s="73"/>
      <c r="N56" s="73"/>
      <c r="O56" s="73"/>
      <c r="P56" s="73"/>
      <c r="Q56" s="73"/>
      <c r="R56" s="73"/>
      <c r="S56" s="73"/>
      <c r="T56" s="73"/>
      <c r="U56" s="73"/>
      <c r="V56" s="73"/>
      <c r="W56" s="73"/>
    </row>
    <row r="57" spans="7:23" s="91" customFormat="1">
      <c r="G57" s="73"/>
      <c r="H57" s="72"/>
      <c r="I57" s="72"/>
      <c r="J57" s="72"/>
      <c r="K57" s="72"/>
      <c r="L57" s="73"/>
      <c r="M57" s="73"/>
      <c r="N57" s="73"/>
      <c r="O57" s="73"/>
      <c r="P57" s="73"/>
      <c r="Q57" s="73"/>
      <c r="R57" s="73"/>
      <c r="S57" s="73"/>
      <c r="T57" s="73"/>
      <c r="U57" s="73"/>
      <c r="V57" s="73"/>
      <c r="W57" s="73"/>
    </row>
    <row r="58" spans="7:23" s="91" customFormat="1">
      <c r="G58" s="73"/>
      <c r="H58" s="72"/>
      <c r="I58" s="72"/>
      <c r="J58" s="72"/>
      <c r="K58" s="72"/>
      <c r="L58" s="73"/>
      <c r="M58" s="73"/>
      <c r="N58" s="73"/>
      <c r="O58" s="73"/>
      <c r="P58" s="73"/>
      <c r="Q58" s="73"/>
      <c r="R58" s="73"/>
      <c r="S58" s="73"/>
      <c r="T58" s="73"/>
      <c r="U58" s="73"/>
      <c r="V58" s="73"/>
      <c r="W58" s="73"/>
    </row>
    <row r="59" spans="7:23" s="91" customFormat="1">
      <c r="G59" s="73"/>
      <c r="H59" s="72"/>
      <c r="I59" s="72"/>
      <c r="J59" s="72"/>
      <c r="K59" s="72"/>
      <c r="L59" s="73"/>
      <c r="M59" s="73"/>
      <c r="N59" s="73"/>
      <c r="O59" s="73"/>
      <c r="P59" s="73"/>
      <c r="Q59" s="73"/>
      <c r="R59" s="73"/>
      <c r="S59" s="73"/>
      <c r="T59" s="73"/>
      <c r="U59" s="73"/>
      <c r="V59" s="73"/>
      <c r="W59" s="73"/>
    </row>
    <row r="60" spans="7:23" s="91" customFormat="1">
      <c r="G60" s="73"/>
      <c r="H60" s="72"/>
      <c r="I60" s="72"/>
      <c r="J60" s="72"/>
      <c r="K60" s="72"/>
      <c r="L60" s="73"/>
      <c r="M60" s="73"/>
      <c r="N60" s="73"/>
      <c r="O60" s="73"/>
      <c r="P60" s="73"/>
      <c r="Q60" s="73"/>
      <c r="R60" s="73"/>
      <c r="S60" s="73"/>
      <c r="T60" s="73"/>
      <c r="U60" s="73"/>
      <c r="V60" s="73"/>
      <c r="W60" s="73"/>
    </row>
    <row r="61" spans="7:23" s="91" customFormat="1">
      <c r="G61" s="73"/>
      <c r="H61" s="72"/>
      <c r="I61" s="72"/>
      <c r="J61" s="72"/>
      <c r="K61" s="72"/>
      <c r="L61" s="73"/>
      <c r="M61" s="73"/>
      <c r="N61" s="73"/>
      <c r="O61" s="73"/>
      <c r="P61" s="73"/>
      <c r="Q61" s="73"/>
      <c r="R61" s="73"/>
      <c r="S61" s="73"/>
      <c r="T61" s="73"/>
      <c r="U61" s="73"/>
      <c r="V61" s="73"/>
      <c r="W61" s="73"/>
    </row>
    <row r="62" spans="7:23" s="91" customFormat="1">
      <c r="G62" s="73"/>
      <c r="H62" s="72"/>
      <c r="I62" s="72"/>
      <c r="J62" s="72"/>
      <c r="K62" s="72"/>
      <c r="L62" s="73"/>
      <c r="M62" s="73"/>
      <c r="N62" s="73"/>
      <c r="O62" s="73"/>
      <c r="P62" s="73"/>
      <c r="Q62" s="73"/>
      <c r="R62" s="73"/>
      <c r="S62" s="73"/>
      <c r="T62" s="73"/>
      <c r="U62" s="73"/>
      <c r="V62" s="73"/>
      <c r="W62" s="73"/>
    </row>
    <row r="63" spans="7:23" s="91" customFormat="1">
      <c r="G63" s="73"/>
      <c r="H63" s="72"/>
      <c r="I63" s="72"/>
      <c r="J63" s="72"/>
      <c r="K63" s="72"/>
      <c r="L63" s="73"/>
      <c r="M63" s="73"/>
      <c r="N63" s="73"/>
      <c r="O63" s="73"/>
      <c r="P63" s="73"/>
      <c r="Q63" s="73"/>
      <c r="R63" s="73"/>
      <c r="S63" s="73"/>
      <c r="T63" s="73"/>
      <c r="U63" s="73"/>
      <c r="V63" s="73"/>
      <c r="W63" s="73"/>
    </row>
    <row r="64" spans="7:23" s="91" customFormat="1">
      <c r="G64" s="73"/>
      <c r="H64" s="72"/>
      <c r="I64" s="72"/>
      <c r="J64" s="72"/>
      <c r="K64" s="72"/>
      <c r="L64" s="73"/>
      <c r="M64" s="73"/>
      <c r="N64" s="73"/>
      <c r="O64" s="73"/>
      <c r="P64" s="73"/>
      <c r="Q64" s="73"/>
      <c r="R64" s="73"/>
      <c r="S64" s="73"/>
      <c r="T64" s="73"/>
      <c r="U64" s="73"/>
      <c r="V64" s="73"/>
      <c r="W64" s="73"/>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0D80EA-9ED9-4FF9-9312-7E0411EDA551}">
  <sheetPr codeName="Sheet11">
    <tabColor rgb="FF007DC4"/>
  </sheetPr>
  <dimension ref="A1:V58"/>
  <sheetViews>
    <sheetView zoomScale="55" zoomScaleNormal="55" workbookViewId="0">
      <selection activeCell="A9" sqref="A9:XFD17"/>
    </sheetView>
    <sheetView workbookViewId="1"/>
  </sheetViews>
  <sheetFormatPr defaultColWidth="8.77734375" defaultRowHeight="13.8"/>
  <cols>
    <col min="1" max="1" width="10.21875" style="78" customWidth="1"/>
    <col min="2" max="2" width="87.21875" style="78" customWidth="1"/>
    <col min="3" max="4" width="22" style="78" customWidth="1"/>
    <col min="5" max="6" width="82.77734375" style="78" customWidth="1"/>
    <col min="7" max="7" width="24.21875" style="73" customWidth="1"/>
    <col min="8" max="8" width="8.77734375" style="73"/>
    <col min="9" max="9" width="8.77734375" style="72"/>
    <col min="10" max="22" width="8.77734375" style="73"/>
    <col min="23" max="16384" width="8.77734375" style="78"/>
  </cols>
  <sheetData>
    <row r="1" spans="1:22" s="72" customFormat="1" ht="25.8">
      <c r="A1" s="71" t="s">
        <v>532</v>
      </c>
      <c r="C1" s="56"/>
      <c r="G1" s="73"/>
      <c r="H1" s="73"/>
      <c r="J1" s="73"/>
      <c r="K1" s="73"/>
      <c r="L1" s="73"/>
      <c r="M1" s="73"/>
      <c r="N1" s="73"/>
      <c r="O1" s="73"/>
      <c r="P1" s="73"/>
      <c r="Q1" s="73"/>
      <c r="R1" s="73"/>
      <c r="S1" s="73"/>
      <c r="T1" s="73"/>
      <c r="U1" s="73"/>
      <c r="V1" s="73"/>
    </row>
    <row r="2" spans="1:22" s="72" customFormat="1" ht="25.8">
      <c r="A2" s="71" t="s">
        <v>706</v>
      </c>
      <c r="C2" s="56"/>
      <c r="G2" s="73"/>
      <c r="H2" s="73"/>
      <c r="J2" s="73"/>
      <c r="K2" s="73"/>
      <c r="L2" s="73"/>
      <c r="M2" s="73"/>
      <c r="N2" s="73"/>
      <c r="O2" s="73"/>
      <c r="P2" s="73"/>
      <c r="Q2" s="73"/>
      <c r="R2" s="73"/>
      <c r="S2" s="73"/>
      <c r="T2" s="73"/>
      <c r="U2" s="73"/>
      <c r="V2" s="73"/>
    </row>
    <row r="3" spans="1:22" s="72" customFormat="1">
      <c r="A3" s="74" t="s">
        <v>685</v>
      </c>
      <c r="B3" s="72" t="s">
        <v>707</v>
      </c>
      <c r="G3" s="73"/>
      <c r="H3" s="73"/>
      <c r="J3" s="73"/>
      <c r="K3" s="73"/>
      <c r="L3" s="73"/>
      <c r="M3" s="73"/>
      <c r="N3" s="73"/>
      <c r="O3" s="73"/>
      <c r="P3" s="73"/>
      <c r="Q3" s="73"/>
      <c r="R3" s="73"/>
      <c r="S3" s="73"/>
      <c r="T3" s="73"/>
      <c r="U3" s="73"/>
      <c r="V3" s="73"/>
    </row>
    <row r="4" spans="1:22" s="72" customFormat="1">
      <c r="A4" s="74" t="s">
        <v>644</v>
      </c>
      <c r="B4" s="72" t="s">
        <v>708</v>
      </c>
      <c r="G4" s="73"/>
      <c r="H4" s="73"/>
      <c r="J4" s="73"/>
      <c r="K4" s="73"/>
      <c r="L4" s="73"/>
      <c r="M4" s="73"/>
      <c r="N4" s="73"/>
      <c r="O4" s="73"/>
      <c r="P4" s="73"/>
      <c r="Q4" s="73"/>
      <c r="R4" s="73"/>
      <c r="S4" s="73"/>
      <c r="T4" s="73"/>
      <c r="U4" s="73"/>
      <c r="V4" s="73"/>
    </row>
    <row r="5" spans="1:22" s="72" customFormat="1">
      <c r="A5" s="72" t="s">
        <v>688</v>
      </c>
      <c r="B5" s="72" t="s">
        <v>709</v>
      </c>
      <c r="G5" s="73"/>
      <c r="H5" s="73"/>
      <c r="J5" s="73"/>
      <c r="K5" s="73"/>
      <c r="L5" s="73"/>
      <c r="M5" s="73"/>
      <c r="N5" s="73"/>
      <c r="O5" s="73"/>
      <c r="P5" s="73"/>
      <c r="Q5" s="73"/>
      <c r="R5" s="73"/>
      <c r="S5" s="73"/>
      <c r="T5" s="73"/>
      <c r="U5" s="73"/>
      <c r="V5" s="73"/>
    </row>
    <row r="6" spans="1:22" s="72" customFormat="1">
      <c r="A6" s="72" t="s">
        <v>648</v>
      </c>
      <c r="B6" s="72" t="s">
        <v>710</v>
      </c>
      <c r="G6" s="73"/>
      <c r="H6" s="73"/>
      <c r="J6" s="73"/>
      <c r="K6" s="73"/>
      <c r="L6" s="73"/>
      <c r="M6" s="73"/>
      <c r="N6" s="73"/>
      <c r="O6" s="73"/>
      <c r="P6" s="73"/>
      <c r="Q6" s="73"/>
      <c r="R6" s="73"/>
      <c r="S6" s="73"/>
      <c r="T6" s="73"/>
      <c r="U6" s="73"/>
      <c r="V6" s="73"/>
    </row>
    <row r="8" spans="1:22" s="72" customFormat="1">
      <c r="A8" s="103"/>
      <c r="B8" s="103"/>
      <c r="C8" s="103" t="s">
        <v>104</v>
      </c>
      <c r="D8" s="103" t="s">
        <v>654</v>
      </c>
      <c r="E8" s="103" t="s">
        <v>93</v>
      </c>
      <c r="F8" s="103"/>
      <c r="G8" s="103" t="s">
        <v>691</v>
      </c>
    </row>
    <row r="9" spans="1:22" s="74" customFormat="1">
      <c r="A9" s="104" t="s">
        <v>55</v>
      </c>
      <c r="B9" s="105"/>
      <c r="C9" s="106"/>
      <c r="D9" s="106"/>
      <c r="E9" s="106"/>
      <c r="F9" s="106"/>
      <c r="G9" s="106"/>
      <c r="I9" s="72"/>
    </row>
    <row r="10" spans="1:22" s="74" customFormat="1" ht="82.8">
      <c r="A10" s="3" t="s">
        <v>533</v>
      </c>
      <c r="B10" s="3" t="s">
        <v>711</v>
      </c>
      <c r="C10" s="85" t="s">
        <v>712</v>
      </c>
      <c r="D10" s="85" t="s">
        <v>534</v>
      </c>
      <c r="E10" s="85" t="s">
        <v>535</v>
      </c>
      <c r="F10" s="85"/>
      <c r="G10" s="3"/>
      <c r="I10" s="72"/>
    </row>
    <row r="11" spans="1:22" s="87" customFormat="1">
      <c r="A11" s="79" t="s">
        <v>62</v>
      </c>
      <c r="B11" s="79"/>
      <c r="C11" s="80"/>
      <c r="D11" s="80"/>
      <c r="E11" s="80"/>
      <c r="F11" s="80"/>
      <c r="G11" s="80"/>
      <c r="H11" s="74"/>
      <c r="I11" s="72"/>
      <c r="J11" s="74"/>
      <c r="K11" s="74"/>
      <c r="L11" s="74"/>
      <c r="M11" s="74"/>
      <c r="N11" s="74"/>
      <c r="O11" s="74"/>
      <c r="P11" s="74"/>
      <c r="Q11" s="74"/>
      <c r="R11" s="74"/>
      <c r="S11" s="74"/>
      <c r="T11" s="74"/>
      <c r="U11" s="74"/>
      <c r="V11" s="74"/>
    </row>
    <row r="12" spans="1:22" s="87" customFormat="1" ht="41.4">
      <c r="A12" s="3" t="s">
        <v>536</v>
      </c>
      <c r="B12" s="3" t="s">
        <v>537</v>
      </c>
      <c r="C12" s="85" t="s">
        <v>539</v>
      </c>
      <c r="D12" s="85" t="s">
        <v>538</v>
      </c>
      <c r="E12" s="85" t="s">
        <v>540</v>
      </c>
      <c r="F12" s="85"/>
      <c r="G12" s="3"/>
      <c r="H12" s="74"/>
      <c r="I12" s="72"/>
      <c r="J12" s="74"/>
      <c r="K12" s="74"/>
      <c r="L12" s="74"/>
      <c r="M12" s="74"/>
      <c r="N12" s="74"/>
      <c r="O12" s="74"/>
      <c r="P12" s="74"/>
      <c r="Q12" s="74"/>
      <c r="R12" s="74"/>
      <c r="S12" s="74"/>
      <c r="T12" s="74"/>
      <c r="U12" s="74"/>
      <c r="V12" s="74"/>
    </row>
    <row r="13" spans="1:22" s="89" customFormat="1" ht="41.4">
      <c r="A13" s="3" t="s">
        <v>541</v>
      </c>
      <c r="B13" s="3" t="s">
        <v>713</v>
      </c>
      <c r="C13" s="85" t="s">
        <v>543</v>
      </c>
      <c r="D13" s="85" t="s">
        <v>542</v>
      </c>
      <c r="E13" s="85" t="s">
        <v>544</v>
      </c>
      <c r="F13" s="85"/>
      <c r="G13" s="3"/>
      <c r="H13" s="74"/>
      <c r="I13" s="72"/>
      <c r="J13" s="74"/>
      <c r="K13" s="74"/>
      <c r="L13" s="74"/>
      <c r="M13" s="74"/>
      <c r="N13" s="74"/>
      <c r="O13" s="74"/>
      <c r="P13" s="74"/>
      <c r="Q13" s="74"/>
      <c r="R13" s="74"/>
      <c r="S13" s="74"/>
      <c r="T13" s="74"/>
      <c r="U13" s="74"/>
      <c r="V13" s="74"/>
    </row>
    <row r="14" spans="1:22" s="74" customFormat="1" ht="69">
      <c r="A14" s="107" t="s">
        <v>545</v>
      </c>
      <c r="B14" s="108" t="s">
        <v>714</v>
      </c>
      <c r="C14" s="85" t="s">
        <v>715</v>
      </c>
      <c r="D14" s="85" t="s">
        <v>716</v>
      </c>
      <c r="E14" s="85" t="s">
        <v>717</v>
      </c>
      <c r="F14" s="85" t="s">
        <v>718</v>
      </c>
      <c r="G14" s="3"/>
      <c r="I14" s="72"/>
    </row>
    <row r="15" spans="1:22" s="74" customFormat="1" ht="110.4">
      <c r="A15" s="3" t="s">
        <v>546</v>
      </c>
      <c r="B15" s="3" t="s">
        <v>719</v>
      </c>
      <c r="C15" s="85" t="s">
        <v>720</v>
      </c>
      <c r="D15" s="85" t="s">
        <v>547</v>
      </c>
      <c r="E15" s="85" t="s">
        <v>548</v>
      </c>
      <c r="F15" s="85"/>
      <c r="G15" s="3"/>
      <c r="I15" s="72"/>
    </row>
    <row r="16" spans="1:22" s="87" customFormat="1" ht="55.2">
      <c r="A16" s="3" t="s">
        <v>549</v>
      </c>
      <c r="B16" s="3" t="s">
        <v>721</v>
      </c>
      <c r="C16" s="85" t="s">
        <v>550</v>
      </c>
      <c r="D16" s="85" t="s">
        <v>722</v>
      </c>
      <c r="E16" s="85" t="s">
        <v>551</v>
      </c>
      <c r="F16" s="85"/>
      <c r="G16" s="3"/>
      <c r="H16" s="74"/>
      <c r="I16" s="72"/>
      <c r="J16" s="74"/>
      <c r="K16" s="74"/>
      <c r="L16" s="74"/>
      <c r="M16" s="74"/>
      <c r="N16" s="74"/>
      <c r="O16" s="74"/>
      <c r="P16" s="74"/>
      <c r="Q16" s="74"/>
      <c r="R16" s="74"/>
      <c r="S16" s="74"/>
      <c r="T16" s="74"/>
      <c r="U16" s="74"/>
      <c r="V16" s="74"/>
    </row>
    <row r="17" spans="1:22" s="87" customFormat="1" ht="69">
      <c r="A17" s="3" t="s">
        <v>552</v>
      </c>
      <c r="B17" s="3" t="s">
        <v>723</v>
      </c>
      <c r="C17" s="85" t="s">
        <v>554</v>
      </c>
      <c r="D17" s="85" t="s">
        <v>553</v>
      </c>
      <c r="E17" s="85" t="s">
        <v>555</v>
      </c>
      <c r="F17" s="85"/>
      <c r="G17" s="3"/>
      <c r="H17" s="74"/>
      <c r="I17" s="72"/>
      <c r="J17" s="74"/>
      <c r="K17" s="74"/>
      <c r="L17" s="74"/>
      <c r="M17" s="74"/>
      <c r="N17" s="74"/>
      <c r="O17" s="74"/>
      <c r="P17" s="74"/>
      <c r="Q17" s="74"/>
      <c r="R17" s="74"/>
      <c r="S17" s="74"/>
      <c r="T17" s="74"/>
      <c r="U17" s="74"/>
      <c r="V17" s="74"/>
    </row>
    <row r="18" spans="1:22" s="72" customFormat="1"/>
    <row r="19" spans="1:22" s="90" customFormat="1">
      <c r="G19" s="73"/>
      <c r="H19" s="73"/>
      <c r="I19" s="72"/>
      <c r="J19" s="73"/>
      <c r="K19" s="73"/>
      <c r="L19" s="73"/>
      <c r="M19" s="73"/>
      <c r="N19" s="73"/>
      <c r="O19" s="73"/>
      <c r="P19" s="73"/>
      <c r="Q19" s="73"/>
      <c r="R19" s="73"/>
      <c r="S19" s="73"/>
      <c r="T19" s="73"/>
      <c r="U19" s="73"/>
      <c r="V19" s="73"/>
    </row>
    <row r="20" spans="1:22" s="90" customFormat="1">
      <c r="G20" s="73"/>
      <c r="H20" s="73"/>
      <c r="I20" s="72"/>
      <c r="J20" s="73"/>
      <c r="K20" s="73"/>
      <c r="L20" s="73"/>
      <c r="M20" s="73"/>
      <c r="N20" s="73"/>
      <c r="O20" s="73"/>
      <c r="P20" s="73"/>
      <c r="Q20" s="73"/>
      <c r="R20" s="73"/>
      <c r="S20" s="73"/>
      <c r="T20" s="73"/>
      <c r="U20" s="73"/>
      <c r="V20" s="73"/>
    </row>
    <row r="21" spans="1:22" s="90" customFormat="1">
      <c r="G21" s="73"/>
      <c r="H21" s="73"/>
      <c r="I21" s="72"/>
      <c r="J21" s="73"/>
      <c r="K21" s="73"/>
      <c r="L21" s="73"/>
      <c r="M21" s="73"/>
      <c r="N21" s="73"/>
      <c r="O21" s="73"/>
      <c r="P21" s="73"/>
      <c r="Q21" s="73"/>
      <c r="R21" s="73"/>
      <c r="S21" s="73"/>
      <c r="T21" s="73"/>
      <c r="U21" s="73"/>
      <c r="V21" s="73"/>
    </row>
    <row r="22" spans="1:22" s="90" customFormat="1">
      <c r="G22" s="73"/>
      <c r="H22" s="73"/>
      <c r="I22" s="72"/>
      <c r="J22" s="73"/>
      <c r="K22" s="73"/>
      <c r="L22" s="73"/>
      <c r="M22" s="73"/>
      <c r="N22" s="73"/>
      <c r="O22" s="73"/>
      <c r="P22" s="73"/>
      <c r="Q22" s="73"/>
      <c r="R22" s="73"/>
      <c r="S22" s="73"/>
      <c r="T22" s="73"/>
      <c r="U22" s="73"/>
      <c r="V22" s="73"/>
    </row>
    <row r="23" spans="1:22" s="90" customFormat="1">
      <c r="G23" s="73"/>
      <c r="H23" s="73"/>
      <c r="I23" s="72"/>
      <c r="J23" s="73"/>
      <c r="K23" s="73"/>
      <c r="L23" s="73"/>
      <c r="M23" s="73"/>
      <c r="N23" s="73"/>
      <c r="O23" s="73"/>
      <c r="P23" s="73"/>
      <c r="Q23" s="73"/>
      <c r="R23" s="73"/>
      <c r="S23" s="73"/>
      <c r="T23" s="73"/>
      <c r="U23" s="73"/>
      <c r="V23" s="73"/>
    </row>
    <row r="24" spans="1:22" s="90" customFormat="1">
      <c r="G24" s="73"/>
      <c r="H24" s="73"/>
      <c r="I24" s="72"/>
      <c r="J24" s="73"/>
      <c r="K24" s="73"/>
      <c r="L24" s="73"/>
      <c r="M24" s="73"/>
      <c r="N24" s="73"/>
      <c r="O24" s="73"/>
      <c r="P24" s="73"/>
      <c r="Q24" s="73"/>
      <c r="R24" s="73"/>
      <c r="S24" s="73"/>
      <c r="T24" s="73"/>
      <c r="U24" s="73"/>
      <c r="V24" s="73"/>
    </row>
    <row r="25" spans="1:22" s="90" customFormat="1">
      <c r="G25" s="73"/>
      <c r="H25" s="73"/>
      <c r="I25" s="72"/>
      <c r="J25" s="73"/>
      <c r="K25" s="73"/>
      <c r="L25" s="73"/>
      <c r="M25" s="73"/>
      <c r="N25" s="73"/>
      <c r="O25" s="73"/>
      <c r="P25" s="73"/>
      <c r="Q25" s="73"/>
      <c r="R25" s="73"/>
      <c r="S25" s="73"/>
      <c r="T25" s="73"/>
      <c r="U25" s="73"/>
      <c r="V25" s="73"/>
    </row>
    <row r="26" spans="1:22" s="90" customFormat="1">
      <c r="G26" s="73"/>
      <c r="H26" s="73"/>
      <c r="I26" s="72"/>
      <c r="J26" s="73"/>
      <c r="K26" s="73"/>
      <c r="L26" s="73"/>
      <c r="M26" s="73"/>
      <c r="N26" s="73"/>
      <c r="O26" s="73"/>
      <c r="P26" s="73"/>
      <c r="Q26" s="73"/>
      <c r="R26" s="73"/>
      <c r="S26" s="73"/>
      <c r="T26" s="73"/>
      <c r="U26" s="73"/>
      <c r="V26" s="73"/>
    </row>
    <row r="27" spans="1:22" s="90" customFormat="1">
      <c r="G27" s="73"/>
      <c r="H27" s="73"/>
      <c r="I27" s="72"/>
      <c r="J27" s="73"/>
      <c r="K27" s="73"/>
      <c r="L27" s="73"/>
      <c r="M27" s="73"/>
      <c r="N27" s="73"/>
      <c r="O27" s="73"/>
      <c r="P27" s="73"/>
      <c r="Q27" s="73"/>
      <c r="R27" s="73"/>
      <c r="S27" s="73"/>
      <c r="T27" s="73"/>
      <c r="U27" s="73"/>
      <c r="V27" s="73"/>
    </row>
    <row r="28" spans="1:22" s="90" customFormat="1">
      <c r="G28" s="73"/>
      <c r="H28" s="73"/>
      <c r="I28" s="72"/>
      <c r="J28" s="73"/>
      <c r="K28" s="73"/>
      <c r="L28" s="73"/>
      <c r="M28" s="73"/>
      <c r="N28" s="73"/>
      <c r="O28" s="73"/>
      <c r="P28" s="73"/>
      <c r="Q28" s="73"/>
      <c r="R28" s="73"/>
      <c r="S28" s="73"/>
      <c r="T28" s="73"/>
      <c r="U28" s="73"/>
      <c r="V28" s="73"/>
    </row>
    <row r="29" spans="1:22" s="90" customFormat="1">
      <c r="G29" s="73"/>
      <c r="H29" s="73"/>
      <c r="I29" s="72"/>
      <c r="J29" s="73"/>
      <c r="K29" s="73"/>
      <c r="L29" s="73"/>
      <c r="M29" s="73"/>
      <c r="N29" s="73"/>
      <c r="O29" s="73"/>
      <c r="P29" s="73"/>
      <c r="Q29" s="73"/>
      <c r="R29" s="73"/>
      <c r="S29" s="73"/>
      <c r="T29" s="73"/>
      <c r="U29" s="73"/>
      <c r="V29" s="73"/>
    </row>
    <row r="30" spans="1:22" s="90" customFormat="1">
      <c r="G30" s="73"/>
      <c r="H30" s="73"/>
      <c r="I30" s="72"/>
      <c r="J30" s="73"/>
      <c r="K30" s="73"/>
      <c r="L30" s="73"/>
      <c r="M30" s="73"/>
      <c r="N30" s="73"/>
      <c r="O30" s="73"/>
      <c r="P30" s="73"/>
      <c r="Q30" s="73"/>
      <c r="R30" s="73"/>
      <c r="S30" s="73"/>
      <c r="T30" s="73"/>
      <c r="U30" s="73"/>
      <c r="V30" s="73"/>
    </row>
    <row r="31" spans="1:22" s="90" customFormat="1">
      <c r="G31" s="73"/>
      <c r="H31" s="73"/>
      <c r="I31" s="72"/>
      <c r="J31" s="73"/>
      <c r="K31" s="73"/>
      <c r="L31" s="73"/>
      <c r="M31" s="73"/>
      <c r="N31" s="73"/>
      <c r="O31" s="73"/>
      <c r="P31" s="73"/>
      <c r="Q31" s="73"/>
      <c r="R31" s="73"/>
      <c r="S31" s="73"/>
      <c r="T31" s="73"/>
      <c r="U31" s="73"/>
      <c r="V31" s="73"/>
    </row>
    <row r="32" spans="1:22" s="90" customFormat="1">
      <c r="G32" s="73"/>
      <c r="H32" s="73"/>
      <c r="I32" s="72"/>
      <c r="J32" s="73"/>
      <c r="K32" s="73"/>
      <c r="L32" s="73"/>
      <c r="M32" s="73"/>
      <c r="N32" s="73"/>
      <c r="O32" s="73"/>
      <c r="P32" s="73"/>
      <c r="Q32" s="73"/>
      <c r="R32" s="73"/>
      <c r="S32" s="73"/>
      <c r="T32" s="73"/>
      <c r="U32" s="73"/>
      <c r="V32" s="73"/>
    </row>
    <row r="33" spans="7:22" s="90" customFormat="1">
      <c r="G33" s="73"/>
      <c r="H33" s="73"/>
      <c r="I33" s="72"/>
      <c r="J33" s="73"/>
      <c r="K33" s="73"/>
      <c r="L33" s="73"/>
      <c r="M33" s="73"/>
      <c r="N33" s="73"/>
      <c r="O33" s="73"/>
      <c r="P33" s="73"/>
      <c r="Q33" s="73"/>
      <c r="R33" s="73"/>
      <c r="S33" s="73"/>
      <c r="T33" s="73"/>
      <c r="U33" s="73"/>
      <c r="V33" s="73"/>
    </row>
    <row r="34" spans="7:22" s="90" customFormat="1">
      <c r="G34" s="73"/>
      <c r="H34" s="73"/>
      <c r="I34" s="72"/>
      <c r="J34" s="73"/>
      <c r="K34" s="73"/>
      <c r="L34" s="73"/>
      <c r="M34" s="73"/>
      <c r="N34" s="73"/>
      <c r="O34" s="73"/>
      <c r="P34" s="73"/>
      <c r="Q34" s="73"/>
      <c r="R34" s="73"/>
      <c r="S34" s="73"/>
      <c r="T34" s="73"/>
      <c r="U34" s="73"/>
      <c r="V34" s="73"/>
    </row>
    <row r="35" spans="7:22" s="90" customFormat="1">
      <c r="G35" s="73"/>
      <c r="H35" s="73"/>
      <c r="I35" s="72"/>
      <c r="J35" s="73"/>
      <c r="K35" s="73"/>
      <c r="L35" s="73"/>
      <c r="M35" s="73"/>
      <c r="N35" s="73"/>
      <c r="O35" s="73"/>
      <c r="P35" s="73"/>
      <c r="Q35" s="73"/>
      <c r="R35" s="73"/>
      <c r="S35" s="73"/>
      <c r="T35" s="73"/>
      <c r="U35" s="73"/>
      <c r="V35" s="73"/>
    </row>
    <row r="36" spans="7:22" s="90" customFormat="1">
      <c r="G36" s="73"/>
      <c r="H36" s="73"/>
      <c r="I36" s="72"/>
      <c r="J36" s="73"/>
      <c r="K36" s="73"/>
      <c r="L36" s="73"/>
      <c r="M36" s="73"/>
      <c r="N36" s="73"/>
      <c r="O36" s="73"/>
      <c r="P36" s="73"/>
      <c r="Q36" s="73"/>
      <c r="R36" s="73"/>
      <c r="S36" s="73"/>
      <c r="T36" s="73"/>
      <c r="U36" s="73"/>
      <c r="V36" s="73"/>
    </row>
    <row r="37" spans="7:22" s="90" customFormat="1">
      <c r="G37" s="73"/>
      <c r="H37" s="73"/>
      <c r="I37" s="72"/>
      <c r="J37" s="73"/>
      <c r="K37" s="73"/>
      <c r="L37" s="73"/>
      <c r="M37" s="73"/>
      <c r="N37" s="73"/>
      <c r="O37" s="73"/>
      <c r="P37" s="73"/>
      <c r="Q37" s="73"/>
      <c r="R37" s="73"/>
      <c r="S37" s="73"/>
      <c r="T37" s="73"/>
      <c r="U37" s="73"/>
      <c r="V37" s="73"/>
    </row>
    <row r="38" spans="7:22" s="91" customFormat="1">
      <c r="G38" s="73"/>
      <c r="H38" s="73"/>
      <c r="I38" s="72"/>
      <c r="J38" s="73"/>
      <c r="K38" s="73"/>
      <c r="L38" s="73"/>
      <c r="M38" s="73"/>
      <c r="N38" s="73"/>
      <c r="O38" s="73"/>
      <c r="P38" s="73"/>
      <c r="Q38" s="73"/>
      <c r="R38" s="73"/>
      <c r="S38" s="73"/>
      <c r="T38" s="73"/>
      <c r="U38" s="73"/>
      <c r="V38" s="73"/>
    </row>
    <row r="39" spans="7:22" s="91" customFormat="1">
      <c r="G39" s="73"/>
      <c r="H39" s="73"/>
      <c r="I39" s="72"/>
      <c r="J39" s="73"/>
      <c r="K39" s="73"/>
      <c r="L39" s="73"/>
      <c r="M39" s="73"/>
      <c r="N39" s="73"/>
      <c r="O39" s="73"/>
      <c r="P39" s="73"/>
      <c r="Q39" s="73"/>
      <c r="R39" s="73"/>
      <c r="S39" s="73"/>
      <c r="T39" s="73"/>
      <c r="U39" s="73"/>
      <c r="V39" s="73"/>
    </row>
    <row r="40" spans="7:22" s="91" customFormat="1">
      <c r="G40" s="73"/>
      <c r="H40" s="73"/>
      <c r="I40" s="72"/>
      <c r="J40" s="73"/>
      <c r="K40" s="73"/>
      <c r="L40" s="73"/>
      <c r="M40" s="73"/>
      <c r="N40" s="73"/>
      <c r="O40" s="73"/>
      <c r="P40" s="73"/>
      <c r="Q40" s="73"/>
      <c r="R40" s="73"/>
      <c r="S40" s="73"/>
      <c r="T40" s="73"/>
      <c r="U40" s="73"/>
      <c r="V40" s="73"/>
    </row>
    <row r="41" spans="7:22" s="91" customFormat="1">
      <c r="G41" s="73"/>
      <c r="H41" s="73"/>
      <c r="I41" s="72"/>
      <c r="J41" s="73"/>
      <c r="K41" s="73"/>
      <c r="L41" s="73"/>
      <c r="M41" s="73"/>
      <c r="N41" s="73"/>
      <c r="O41" s="73"/>
      <c r="P41" s="73"/>
      <c r="Q41" s="73"/>
      <c r="R41" s="73"/>
      <c r="S41" s="73"/>
      <c r="T41" s="73"/>
      <c r="U41" s="73"/>
      <c r="V41" s="73"/>
    </row>
    <row r="42" spans="7:22" s="91" customFormat="1">
      <c r="G42" s="73"/>
      <c r="H42" s="73"/>
      <c r="I42" s="72"/>
      <c r="J42" s="73"/>
      <c r="K42" s="73"/>
      <c r="L42" s="73"/>
      <c r="M42" s="73"/>
      <c r="N42" s="73"/>
      <c r="O42" s="73"/>
      <c r="P42" s="73"/>
      <c r="Q42" s="73"/>
      <c r="R42" s="73"/>
      <c r="S42" s="73"/>
      <c r="T42" s="73"/>
      <c r="U42" s="73"/>
      <c r="V42" s="73"/>
    </row>
    <row r="43" spans="7:22" s="91" customFormat="1">
      <c r="G43" s="73"/>
      <c r="H43" s="73"/>
      <c r="I43" s="72"/>
      <c r="J43" s="73"/>
      <c r="K43" s="73"/>
      <c r="L43" s="73"/>
      <c r="M43" s="73"/>
      <c r="N43" s="73"/>
      <c r="O43" s="73"/>
      <c r="P43" s="73"/>
      <c r="Q43" s="73"/>
      <c r="R43" s="73"/>
      <c r="S43" s="73"/>
      <c r="T43" s="73"/>
      <c r="U43" s="73"/>
      <c r="V43" s="73"/>
    </row>
    <row r="44" spans="7:22" s="91" customFormat="1">
      <c r="G44" s="73"/>
      <c r="H44" s="73"/>
      <c r="I44" s="72"/>
      <c r="J44" s="73"/>
      <c r="K44" s="73"/>
      <c r="L44" s="73"/>
      <c r="M44" s="73"/>
      <c r="N44" s="73"/>
      <c r="O44" s="73"/>
      <c r="P44" s="73"/>
      <c r="Q44" s="73"/>
      <c r="R44" s="73"/>
      <c r="S44" s="73"/>
      <c r="T44" s="73"/>
      <c r="U44" s="73"/>
      <c r="V44" s="73"/>
    </row>
    <row r="45" spans="7:22" s="91" customFormat="1">
      <c r="G45" s="73"/>
      <c r="H45" s="73"/>
      <c r="I45" s="72"/>
      <c r="J45" s="73"/>
      <c r="K45" s="73"/>
      <c r="L45" s="73"/>
      <c r="M45" s="73"/>
      <c r="N45" s="73"/>
      <c r="O45" s="73"/>
      <c r="P45" s="73"/>
      <c r="Q45" s="73"/>
      <c r="R45" s="73"/>
      <c r="S45" s="73"/>
      <c r="T45" s="73"/>
      <c r="U45" s="73"/>
      <c r="V45" s="73"/>
    </row>
    <row r="46" spans="7:22" s="91" customFormat="1">
      <c r="G46" s="73"/>
      <c r="H46" s="73"/>
      <c r="I46" s="72"/>
      <c r="J46" s="73"/>
      <c r="K46" s="73"/>
      <c r="L46" s="73"/>
      <c r="M46" s="73"/>
      <c r="N46" s="73"/>
      <c r="O46" s="73"/>
      <c r="P46" s="73"/>
      <c r="Q46" s="73"/>
      <c r="R46" s="73"/>
      <c r="S46" s="73"/>
      <c r="T46" s="73"/>
      <c r="U46" s="73"/>
      <c r="V46" s="73"/>
    </row>
    <row r="47" spans="7:22" s="91" customFormat="1">
      <c r="G47" s="73"/>
      <c r="H47" s="73"/>
      <c r="I47" s="72"/>
      <c r="J47" s="73"/>
      <c r="K47" s="73"/>
      <c r="L47" s="73"/>
      <c r="M47" s="73"/>
      <c r="N47" s="73"/>
      <c r="O47" s="73"/>
      <c r="P47" s="73"/>
      <c r="Q47" s="73"/>
      <c r="R47" s="73"/>
      <c r="S47" s="73"/>
      <c r="T47" s="73"/>
      <c r="U47" s="73"/>
      <c r="V47" s="73"/>
    </row>
    <row r="48" spans="7:22" s="91" customFormat="1">
      <c r="G48" s="73"/>
      <c r="H48" s="73"/>
      <c r="I48" s="72"/>
      <c r="J48" s="73"/>
      <c r="K48" s="73"/>
      <c r="L48" s="73"/>
      <c r="M48" s="73"/>
      <c r="N48" s="73"/>
      <c r="O48" s="73"/>
      <c r="P48" s="73"/>
      <c r="Q48" s="73"/>
      <c r="R48" s="73"/>
      <c r="S48" s="73"/>
      <c r="T48" s="73"/>
      <c r="U48" s="73"/>
      <c r="V48" s="73"/>
    </row>
    <row r="49" spans="7:22" s="91" customFormat="1">
      <c r="G49" s="73"/>
      <c r="H49" s="73"/>
      <c r="I49" s="72"/>
      <c r="J49" s="73"/>
      <c r="K49" s="73"/>
      <c r="L49" s="73"/>
      <c r="M49" s="73"/>
      <c r="N49" s="73"/>
      <c r="O49" s="73"/>
      <c r="P49" s="73"/>
      <c r="Q49" s="73"/>
      <c r="R49" s="73"/>
      <c r="S49" s="73"/>
      <c r="T49" s="73"/>
      <c r="U49" s="73"/>
      <c r="V49" s="73"/>
    </row>
    <row r="50" spans="7:22" s="91" customFormat="1">
      <c r="G50" s="73"/>
      <c r="H50" s="73"/>
      <c r="I50" s="72"/>
      <c r="J50" s="73"/>
      <c r="K50" s="73"/>
      <c r="L50" s="73"/>
      <c r="M50" s="73"/>
      <c r="N50" s="73"/>
      <c r="O50" s="73"/>
      <c r="P50" s="73"/>
      <c r="Q50" s="73"/>
      <c r="R50" s="73"/>
      <c r="S50" s="73"/>
      <c r="T50" s="73"/>
      <c r="U50" s="73"/>
      <c r="V50" s="73"/>
    </row>
    <row r="51" spans="7:22" s="91" customFormat="1">
      <c r="G51" s="73"/>
      <c r="H51" s="73"/>
      <c r="I51" s="72"/>
      <c r="J51" s="73"/>
      <c r="K51" s="73"/>
      <c r="L51" s="73"/>
      <c r="M51" s="73"/>
      <c r="N51" s="73"/>
      <c r="O51" s="73"/>
      <c r="P51" s="73"/>
      <c r="Q51" s="73"/>
      <c r="R51" s="73"/>
      <c r="S51" s="73"/>
      <c r="T51" s="73"/>
      <c r="U51" s="73"/>
      <c r="V51" s="73"/>
    </row>
    <row r="52" spans="7:22" s="91" customFormat="1">
      <c r="G52" s="73"/>
      <c r="H52" s="73"/>
      <c r="I52" s="72"/>
      <c r="J52" s="73"/>
      <c r="K52" s="73"/>
      <c r="L52" s="73"/>
      <c r="M52" s="73"/>
      <c r="N52" s="73"/>
      <c r="O52" s="73"/>
      <c r="P52" s="73"/>
      <c r="Q52" s="73"/>
      <c r="R52" s="73"/>
      <c r="S52" s="73"/>
      <c r="T52" s="73"/>
      <c r="U52" s="73"/>
      <c r="V52" s="73"/>
    </row>
    <row r="53" spans="7:22" s="91" customFormat="1">
      <c r="G53" s="73"/>
      <c r="H53" s="73"/>
      <c r="I53" s="72"/>
      <c r="J53" s="73"/>
      <c r="K53" s="73"/>
      <c r="L53" s="73"/>
      <c r="M53" s="73"/>
      <c r="N53" s="73"/>
      <c r="O53" s="73"/>
      <c r="P53" s="73"/>
      <c r="Q53" s="73"/>
      <c r="R53" s="73"/>
      <c r="S53" s="73"/>
      <c r="T53" s="73"/>
      <c r="U53" s="73"/>
      <c r="V53" s="73"/>
    </row>
    <row r="54" spans="7:22" s="91" customFormat="1">
      <c r="G54" s="73"/>
      <c r="H54" s="73"/>
      <c r="I54" s="72"/>
      <c r="J54" s="73"/>
      <c r="K54" s="73"/>
      <c r="L54" s="73"/>
      <c r="M54" s="73"/>
      <c r="N54" s="73"/>
      <c r="O54" s="73"/>
      <c r="P54" s="73"/>
      <c r="Q54" s="73"/>
      <c r="R54" s="73"/>
      <c r="S54" s="73"/>
      <c r="T54" s="73"/>
      <c r="U54" s="73"/>
      <c r="V54" s="73"/>
    </row>
    <row r="55" spans="7:22" s="91" customFormat="1">
      <c r="G55" s="73"/>
      <c r="H55" s="73"/>
      <c r="I55" s="72"/>
      <c r="J55" s="73"/>
      <c r="K55" s="73"/>
      <c r="L55" s="73"/>
      <c r="M55" s="73"/>
      <c r="N55" s="73"/>
      <c r="O55" s="73"/>
      <c r="P55" s="73"/>
      <c r="Q55" s="73"/>
      <c r="R55" s="73"/>
      <c r="S55" s="73"/>
      <c r="T55" s="73"/>
      <c r="U55" s="73"/>
      <c r="V55" s="73"/>
    </row>
    <row r="56" spans="7:22" s="91" customFormat="1">
      <c r="G56" s="73"/>
      <c r="H56" s="73"/>
      <c r="I56" s="72"/>
      <c r="J56" s="73"/>
      <c r="K56" s="73"/>
      <c r="L56" s="73"/>
      <c r="M56" s="73"/>
      <c r="N56" s="73"/>
      <c r="O56" s="73"/>
      <c r="P56" s="73"/>
      <c r="Q56" s="73"/>
      <c r="R56" s="73"/>
      <c r="S56" s="73"/>
      <c r="T56" s="73"/>
      <c r="U56" s="73"/>
      <c r="V56" s="73"/>
    </row>
    <row r="57" spans="7:22" s="91" customFormat="1">
      <c r="G57" s="73"/>
      <c r="H57" s="73"/>
      <c r="I57" s="72"/>
      <c r="J57" s="73"/>
      <c r="K57" s="73"/>
      <c r="L57" s="73"/>
      <c r="M57" s="73"/>
      <c r="N57" s="73"/>
      <c r="O57" s="73"/>
      <c r="P57" s="73"/>
      <c r="Q57" s="73"/>
      <c r="R57" s="73"/>
      <c r="S57" s="73"/>
      <c r="T57" s="73"/>
      <c r="U57" s="73"/>
      <c r="V57" s="73"/>
    </row>
    <row r="58" spans="7:22" s="91" customFormat="1">
      <c r="G58" s="73"/>
      <c r="H58" s="73"/>
      <c r="I58" s="72"/>
      <c r="J58" s="73"/>
      <c r="K58" s="73"/>
      <c r="L58" s="73"/>
      <c r="M58" s="73"/>
      <c r="N58" s="73"/>
      <c r="O58" s="73"/>
      <c r="P58" s="73"/>
      <c r="Q58" s="73"/>
      <c r="R58" s="73"/>
      <c r="S58" s="73"/>
      <c r="T58" s="73"/>
      <c r="U58" s="73"/>
      <c r="V58" s="73"/>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614112-3998-4F17-A8C9-3AC8CF5F6F6F}">
  <sheetPr codeName="Sheet12">
    <tabColor rgb="FF802C19"/>
  </sheetPr>
  <dimension ref="A1:W63"/>
  <sheetViews>
    <sheetView zoomScale="85" zoomScaleNormal="85" workbookViewId="0">
      <selection activeCell="A10" sqref="A10:E17"/>
    </sheetView>
    <sheetView workbookViewId="1"/>
  </sheetViews>
  <sheetFormatPr defaultColWidth="8.77734375" defaultRowHeight="13.8"/>
  <cols>
    <col min="1" max="1" width="10.21875" style="78" customWidth="1"/>
    <col min="2" max="2" width="88.77734375" style="78" customWidth="1"/>
    <col min="3" max="4" width="22.44140625" style="78" customWidth="1"/>
    <col min="5" max="6" width="81.77734375" style="78" customWidth="1"/>
    <col min="7" max="7" width="23.21875" style="73" customWidth="1"/>
    <col min="8" max="23" width="8.77734375" style="73"/>
    <col min="24" max="16384" width="8.77734375" style="78"/>
  </cols>
  <sheetData>
    <row r="1" spans="1:23" s="72" customFormat="1" ht="25.8">
      <c r="A1" s="71" t="s">
        <v>178</v>
      </c>
      <c r="C1" s="56"/>
      <c r="G1" s="73"/>
      <c r="H1" s="73"/>
      <c r="I1" s="73"/>
      <c r="J1" s="73"/>
      <c r="K1" s="73"/>
      <c r="L1" s="73"/>
      <c r="M1" s="73"/>
      <c r="N1" s="73"/>
      <c r="O1" s="73"/>
      <c r="P1" s="73"/>
      <c r="Q1" s="73"/>
      <c r="R1" s="73"/>
      <c r="S1" s="73"/>
      <c r="T1" s="73"/>
      <c r="U1" s="73"/>
      <c r="V1" s="73"/>
      <c r="W1" s="73"/>
    </row>
    <row r="2" spans="1:23" s="72" customFormat="1" ht="25.8">
      <c r="A2" s="71" t="s">
        <v>724</v>
      </c>
      <c r="C2" s="56"/>
      <c r="G2" s="73"/>
      <c r="H2" s="73"/>
      <c r="I2" s="73"/>
      <c r="J2" s="73"/>
      <c r="K2" s="73"/>
      <c r="L2" s="73"/>
      <c r="M2" s="73"/>
      <c r="N2" s="73"/>
      <c r="O2" s="73"/>
      <c r="P2" s="73"/>
      <c r="Q2" s="73"/>
      <c r="R2" s="73"/>
      <c r="S2" s="73"/>
      <c r="T2" s="73"/>
      <c r="U2" s="73"/>
      <c r="V2" s="73"/>
      <c r="W2" s="73"/>
    </row>
    <row r="3" spans="1:23" s="72" customFormat="1">
      <c r="A3" s="74" t="s">
        <v>117</v>
      </c>
      <c r="B3" s="72" t="s">
        <v>179</v>
      </c>
      <c r="G3" s="73"/>
      <c r="H3" s="73"/>
      <c r="I3" s="73"/>
      <c r="J3" s="73"/>
      <c r="K3" s="73"/>
      <c r="L3" s="73"/>
      <c r="M3" s="73"/>
      <c r="N3" s="73"/>
      <c r="O3" s="73"/>
      <c r="P3" s="73"/>
      <c r="Q3" s="73"/>
      <c r="R3" s="73"/>
      <c r="S3" s="73"/>
      <c r="T3" s="73"/>
      <c r="U3" s="73"/>
      <c r="V3" s="73"/>
      <c r="W3" s="73"/>
    </row>
    <row r="4" spans="1:23" s="72" customFormat="1">
      <c r="A4" s="74" t="s">
        <v>725</v>
      </c>
      <c r="B4" s="72" t="s">
        <v>726</v>
      </c>
      <c r="G4" s="73"/>
      <c r="H4" s="73"/>
      <c r="I4" s="73"/>
      <c r="J4" s="73"/>
      <c r="K4" s="73"/>
      <c r="L4" s="73"/>
      <c r="M4" s="73"/>
      <c r="N4" s="73"/>
      <c r="O4" s="73"/>
      <c r="P4" s="73"/>
      <c r="Q4" s="73"/>
      <c r="R4" s="73"/>
      <c r="S4" s="73"/>
      <c r="T4" s="73"/>
      <c r="U4" s="73"/>
      <c r="V4" s="73"/>
      <c r="W4" s="73"/>
    </row>
    <row r="5" spans="1:23" s="72" customFormat="1">
      <c r="A5" s="72" t="s">
        <v>118</v>
      </c>
      <c r="B5" s="72" t="s">
        <v>180</v>
      </c>
      <c r="G5" s="73"/>
      <c r="H5" s="73"/>
      <c r="I5" s="73"/>
      <c r="J5" s="73"/>
      <c r="K5" s="73"/>
      <c r="L5" s="73"/>
      <c r="M5" s="73"/>
      <c r="N5" s="73"/>
      <c r="O5" s="73"/>
      <c r="P5" s="73"/>
      <c r="Q5" s="73"/>
      <c r="R5" s="73"/>
      <c r="S5" s="73"/>
      <c r="T5" s="73"/>
      <c r="U5" s="73"/>
      <c r="V5" s="73"/>
      <c r="W5" s="73"/>
    </row>
    <row r="6" spans="1:23" s="72" customFormat="1">
      <c r="A6" s="72" t="s">
        <v>727</v>
      </c>
      <c r="B6" s="72" t="s">
        <v>728</v>
      </c>
      <c r="G6" s="73"/>
      <c r="H6" s="73"/>
      <c r="I6" s="73"/>
      <c r="J6" s="73"/>
      <c r="K6" s="73"/>
      <c r="L6" s="73"/>
      <c r="M6" s="73"/>
      <c r="N6" s="73"/>
      <c r="O6" s="73"/>
      <c r="P6" s="73"/>
      <c r="Q6" s="73"/>
      <c r="R6" s="73"/>
      <c r="S6" s="73"/>
      <c r="T6" s="73"/>
      <c r="U6" s="73"/>
      <c r="V6" s="73"/>
      <c r="W6" s="73"/>
    </row>
    <row r="8" spans="1:23" s="72" customFormat="1">
      <c r="A8" s="103"/>
      <c r="B8" s="103"/>
      <c r="C8" s="103" t="s">
        <v>104</v>
      </c>
      <c r="D8" s="103" t="s">
        <v>654</v>
      </c>
      <c r="E8" s="103" t="s">
        <v>93</v>
      </c>
      <c r="F8" s="103" t="s">
        <v>655</v>
      </c>
      <c r="G8" s="103" t="s">
        <v>691</v>
      </c>
    </row>
    <row r="9" spans="1:23" s="74" customFormat="1">
      <c r="A9" s="79" t="s">
        <v>55</v>
      </c>
      <c r="B9" s="79"/>
      <c r="C9" s="80"/>
      <c r="D9" s="80"/>
      <c r="E9" s="80"/>
      <c r="F9" s="80"/>
      <c r="G9" s="80"/>
    </row>
    <row r="10" spans="1:23" s="74" customFormat="1" ht="41.4">
      <c r="A10" s="3" t="s">
        <v>181</v>
      </c>
      <c r="B10" s="3" t="s">
        <v>729</v>
      </c>
      <c r="C10" s="85" t="s">
        <v>730</v>
      </c>
      <c r="D10" s="85" t="s">
        <v>731</v>
      </c>
      <c r="E10" s="85" t="s">
        <v>182</v>
      </c>
      <c r="F10" s="85"/>
      <c r="G10" s="3"/>
    </row>
    <row r="11" spans="1:23" s="87" customFormat="1">
      <c r="A11" s="79" t="s">
        <v>62</v>
      </c>
      <c r="B11" s="79"/>
      <c r="C11" s="80"/>
      <c r="D11" s="80"/>
      <c r="E11" s="80"/>
      <c r="F11" s="80"/>
      <c r="G11" s="80"/>
      <c r="H11" s="74"/>
      <c r="I11" s="74"/>
      <c r="J11" s="74"/>
      <c r="K11" s="74"/>
      <c r="L11" s="74"/>
      <c r="M11" s="74"/>
      <c r="N11" s="74"/>
      <c r="O11" s="74"/>
      <c r="P11" s="74"/>
      <c r="Q11" s="74"/>
      <c r="R11" s="74"/>
      <c r="S11" s="74"/>
      <c r="T11" s="74"/>
      <c r="U11" s="74"/>
      <c r="V11" s="74"/>
      <c r="W11" s="74"/>
    </row>
    <row r="12" spans="1:23" s="87" customFormat="1" ht="96.6">
      <c r="A12" s="3" t="s">
        <v>183</v>
      </c>
      <c r="B12" s="3" t="s">
        <v>184</v>
      </c>
      <c r="C12" s="85" t="s">
        <v>732</v>
      </c>
      <c r="D12" s="85" t="s">
        <v>733</v>
      </c>
      <c r="E12" s="85" t="s">
        <v>734</v>
      </c>
      <c r="F12" s="85"/>
      <c r="G12" s="3"/>
      <c r="H12" s="74"/>
      <c r="I12" s="74"/>
      <c r="J12" s="74"/>
      <c r="K12" s="74"/>
      <c r="L12" s="74"/>
      <c r="M12" s="74"/>
      <c r="N12" s="74"/>
      <c r="O12" s="74"/>
      <c r="P12" s="74"/>
      <c r="Q12" s="74"/>
      <c r="R12" s="74"/>
      <c r="S12" s="74"/>
      <c r="T12" s="74"/>
      <c r="U12" s="74"/>
      <c r="V12" s="74"/>
      <c r="W12" s="74"/>
    </row>
    <row r="13" spans="1:23" s="89" customFormat="1" ht="82.8">
      <c r="A13" s="3" t="s">
        <v>185</v>
      </c>
      <c r="B13" s="3" t="s">
        <v>735</v>
      </c>
      <c r="C13" s="85" t="s">
        <v>736</v>
      </c>
      <c r="D13" s="85" t="s">
        <v>737</v>
      </c>
      <c r="E13" s="85" t="s">
        <v>738</v>
      </c>
      <c r="F13" s="85"/>
      <c r="G13" s="3"/>
      <c r="H13" s="74"/>
      <c r="I13" s="74"/>
      <c r="J13" s="74"/>
      <c r="K13" s="74"/>
      <c r="L13" s="74"/>
      <c r="M13" s="74"/>
      <c r="N13" s="74"/>
      <c r="O13" s="74"/>
      <c r="P13" s="74"/>
      <c r="Q13" s="74"/>
      <c r="R13" s="74"/>
      <c r="S13" s="74"/>
      <c r="T13" s="74"/>
      <c r="U13" s="74"/>
      <c r="V13" s="74"/>
      <c r="W13" s="74"/>
    </row>
    <row r="14" spans="1:23" s="74" customFormat="1" ht="96.6">
      <c r="A14" s="3" t="s">
        <v>186</v>
      </c>
      <c r="B14" s="3" t="s">
        <v>739</v>
      </c>
      <c r="C14" s="85" t="s">
        <v>740</v>
      </c>
      <c r="D14" s="85" t="s">
        <v>741</v>
      </c>
      <c r="E14" s="85" t="s">
        <v>742</v>
      </c>
      <c r="F14" s="85"/>
      <c r="G14" s="3"/>
    </row>
    <row r="15" spans="1:23" s="74" customFormat="1" ht="27.6">
      <c r="A15" s="3" t="s">
        <v>187</v>
      </c>
      <c r="B15" s="3" t="s">
        <v>743</v>
      </c>
      <c r="C15" s="85" t="s">
        <v>189</v>
      </c>
      <c r="D15" s="85" t="s">
        <v>188</v>
      </c>
      <c r="E15" s="85" t="s">
        <v>190</v>
      </c>
      <c r="F15" s="85"/>
      <c r="G15" s="3"/>
    </row>
    <row r="16" spans="1:23" s="87" customFormat="1">
      <c r="A16" s="79" t="s">
        <v>64</v>
      </c>
      <c r="B16" s="79"/>
      <c r="C16" s="80"/>
      <c r="D16" s="80"/>
      <c r="E16" s="80"/>
      <c r="F16" s="80"/>
      <c r="G16" s="80"/>
      <c r="H16" s="74"/>
      <c r="I16" s="74"/>
      <c r="J16" s="74"/>
      <c r="K16" s="74"/>
      <c r="L16" s="74"/>
      <c r="M16" s="74"/>
      <c r="N16" s="74"/>
      <c r="O16" s="74"/>
      <c r="P16" s="74"/>
      <c r="Q16" s="74"/>
      <c r="R16" s="74"/>
      <c r="S16" s="74"/>
      <c r="T16" s="74"/>
      <c r="U16" s="74"/>
      <c r="V16" s="74"/>
      <c r="W16" s="74"/>
    </row>
    <row r="17" spans="1:23" s="87" customFormat="1" ht="69">
      <c r="A17" s="3" t="s">
        <v>191</v>
      </c>
      <c r="B17" s="3" t="s">
        <v>744</v>
      </c>
      <c r="C17" s="85" t="s">
        <v>192</v>
      </c>
      <c r="D17" s="85" t="s">
        <v>745</v>
      </c>
      <c r="E17" s="85" t="s">
        <v>193</v>
      </c>
      <c r="F17" s="85"/>
      <c r="G17" s="3"/>
      <c r="H17" s="74"/>
      <c r="I17" s="74"/>
      <c r="J17" s="74"/>
      <c r="K17" s="74"/>
      <c r="L17" s="74"/>
      <c r="M17" s="74"/>
      <c r="N17" s="74"/>
      <c r="O17" s="74"/>
      <c r="P17" s="74"/>
      <c r="Q17" s="74"/>
      <c r="R17" s="74"/>
      <c r="S17" s="74"/>
      <c r="T17" s="74"/>
      <c r="U17" s="74"/>
      <c r="V17" s="74"/>
      <c r="W17" s="74"/>
    </row>
    <row r="18" spans="1:23" s="90" customFormat="1">
      <c r="G18" s="73"/>
      <c r="H18" s="73"/>
      <c r="I18" s="73"/>
      <c r="J18" s="73"/>
      <c r="K18" s="73"/>
      <c r="L18" s="73"/>
      <c r="M18" s="73"/>
      <c r="N18" s="73"/>
      <c r="O18" s="73"/>
      <c r="P18" s="73"/>
      <c r="Q18" s="73"/>
      <c r="R18" s="73"/>
      <c r="S18" s="73"/>
      <c r="T18" s="73"/>
      <c r="U18" s="73"/>
      <c r="V18" s="73"/>
      <c r="W18" s="73"/>
    </row>
    <row r="19" spans="1:23" s="90" customFormat="1">
      <c r="G19" s="73"/>
      <c r="H19" s="73"/>
      <c r="I19" s="73"/>
      <c r="J19" s="73"/>
      <c r="K19" s="73"/>
      <c r="L19" s="73"/>
      <c r="M19" s="73"/>
      <c r="N19" s="73"/>
      <c r="O19" s="73"/>
      <c r="P19" s="73"/>
      <c r="Q19" s="73"/>
      <c r="R19" s="73"/>
      <c r="S19" s="73"/>
      <c r="T19" s="73"/>
      <c r="U19" s="73"/>
      <c r="V19" s="73"/>
      <c r="W19" s="73"/>
    </row>
    <row r="20" spans="1:23" s="90" customFormat="1">
      <c r="G20" s="73"/>
      <c r="H20" s="73"/>
      <c r="I20" s="73"/>
      <c r="J20" s="73"/>
      <c r="K20" s="73"/>
      <c r="L20" s="73"/>
      <c r="M20" s="73"/>
      <c r="N20" s="73"/>
      <c r="O20" s="73"/>
      <c r="P20" s="73"/>
      <c r="Q20" s="73"/>
      <c r="R20" s="73"/>
      <c r="S20" s="73"/>
      <c r="T20" s="73"/>
      <c r="U20" s="73"/>
      <c r="V20" s="73"/>
      <c r="W20" s="73"/>
    </row>
    <row r="21" spans="1:23" s="90" customFormat="1">
      <c r="G21" s="73"/>
      <c r="H21" s="73"/>
      <c r="I21" s="73"/>
      <c r="J21" s="73"/>
      <c r="K21" s="73"/>
      <c r="L21" s="73"/>
      <c r="M21" s="73"/>
      <c r="N21" s="73"/>
      <c r="O21" s="73"/>
      <c r="P21" s="73"/>
      <c r="Q21" s="73"/>
      <c r="R21" s="73"/>
      <c r="S21" s="73"/>
      <c r="T21" s="73"/>
      <c r="U21" s="73"/>
      <c r="V21" s="73"/>
      <c r="W21" s="73"/>
    </row>
    <row r="22" spans="1:23" s="90" customFormat="1">
      <c r="G22" s="73"/>
      <c r="H22" s="73"/>
      <c r="I22" s="73"/>
      <c r="J22" s="73"/>
      <c r="K22" s="73"/>
      <c r="L22" s="73"/>
      <c r="M22" s="73"/>
      <c r="N22" s="73"/>
      <c r="O22" s="73"/>
      <c r="P22" s="73"/>
      <c r="Q22" s="73"/>
      <c r="R22" s="73"/>
      <c r="S22" s="73"/>
      <c r="T22" s="73"/>
      <c r="U22" s="73"/>
      <c r="V22" s="73"/>
      <c r="W22" s="73"/>
    </row>
    <row r="23" spans="1:23" s="90" customFormat="1">
      <c r="G23" s="73"/>
      <c r="H23" s="73"/>
      <c r="I23" s="73"/>
      <c r="J23" s="73"/>
      <c r="K23" s="73"/>
      <c r="L23" s="73"/>
      <c r="M23" s="73"/>
      <c r="N23" s="73"/>
      <c r="O23" s="73"/>
      <c r="P23" s="73"/>
      <c r="Q23" s="73"/>
      <c r="R23" s="73"/>
      <c r="S23" s="73"/>
      <c r="T23" s="73"/>
      <c r="U23" s="73"/>
      <c r="V23" s="73"/>
      <c r="W23" s="73"/>
    </row>
    <row r="24" spans="1:23" s="90" customFormat="1">
      <c r="G24" s="73"/>
      <c r="H24" s="73"/>
      <c r="I24" s="73"/>
      <c r="J24" s="73"/>
      <c r="K24" s="73"/>
      <c r="L24" s="73"/>
      <c r="M24" s="73"/>
      <c r="N24" s="73"/>
      <c r="O24" s="73"/>
      <c r="P24" s="73"/>
      <c r="Q24" s="73"/>
      <c r="R24" s="73"/>
      <c r="S24" s="73"/>
      <c r="T24" s="73"/>
      <c r="U24" s="73"/>
      <c r="V24" s="73"/>
      <c r="W24" s="73"/>
    </row>
    <row r="25" spans="1:23" s="90" customFormat="1">
      <c r="G25" s="73"/>
      <c r="H25" s="73"/>
      <c r="I25" s="73"/>
      <c r="J25" s="73"/>
      <c r="K25" s="73"/>
      <c r="L25" s="73"/>
      <c r="M25" s="73"/>
      <c r="N25" s="73"/>
      <c r="O25" s="73"/>
      <c r="P25" s="73"/>
      <c r="Q25" s="73"/>
      <c r="R25" s="73"/>
      <c r="S25" s="73"/>
      <c r="T25" s="73"/>
      <c r="U25" s="73"/>
      <c r="V25" s="73"/>
      <c r="W25" s="73"/>
    </row>
    <row r="26" spans="1:23" s="90" customFormat="1">
      <c r="G26" s="73"/>
      <c r="H26" s="73"/>
      <c r="I26" s="73"/>
      <c r="J26" s="73"/>
      <c r="K26" s="73"/>
      <c r="L26" s="73"/>
      <c r="M26" s="73"/>
      <c r="N26" s="73"/>
      <c r="O26" s="73"/>
      <c r="P26" s="73"/>
      <c r="Q26" s="73"/>
      <c r="R26" s="73"/>
      <c r="S26" s="73"/>
      <c r="T26" s="73"/>
      <c r="U26" s="73"/>
      <c r="V26" s="73"/>
      <c r="W26" s="73"/>
    </row>
    <row r="27" spans="1:23" s="90" customFormat="1">
      <c r="G27" s="73"/>
      <c r="H27" s="73"/>
      <c r="I27" s="73"/>
      <c r="J27" s="73"/>
      <c r="K27" s="73"/>
      <c r="L27" s="73"/>
      <c r="M27" s="73"/>
      <c r="N27" s="73"/>
      <c r="O27" s="73"/>
      <c r="P27" s="73"/>
      <c r="Q27" s="73"/>
      <c r="R27" s="73"/>
      <c r="S27" s="73"/>
      <c r="T27" s="73"/>
      <c r="U27" s="73"/>
      <c r="V27" s="73"/>
      <c r="W27" s="73"/>
    </row>
    <row r="28" spans="1:23" s="90" customFormat="1">
      <c r="G28" s="73"/>
      <c r="H28" s="73"/>
      <c r="I28" s="73"/>
      <c r="J28" s="73"/>
      <c r="K28" s="73"/>
      <c r="L28" s="73"/>
      <c r="M28" s="73"/>
      <c r="N28" s="73"/>
      <c r="O28" s="73"/>
      <c r="P28" s="73"/>
      <c r="Q28" s="73"/>
      <c r="R28" s="73"/>
      <c r="S28" s="73"/>
      <c r="T28" s="73"/>
      <c r="U28" s="73"/>
      <c r="V28" s="73"/>
      <c r="W28" s="73"/>
    </row>
    <row r="29" spans="1:23" s="90" customFormat="1">
      <c r="G29" s="73"/>
      <c r="H29" s="73"/>
      <c r="I29" s="73"/>
      <c r="J29" s="73"/>
      <c r="K29" s="73"/>
      <c r="L29" s="73"/>
      <c r="M29" s="73"/>
      <c r="N29" s="73"/>
      <c r="O29" s="73"/>
      <c r="P29" s="73"/>
      <c r="Q29" s="73"/>
      <c r="R29" s="73"/>
      <c r="S29" s="73"/>
      <c r="T29" s="73"/>
      <c r="U29" s="73"/>
      <c r="V29" s="73"/>
      <c r="W29" s="73"/>
    </row>
    <row r="30" spans="1:23" s="90" customFormat="1">
      <c r="G30" s="73"/>
      <c r="H30" s="73"/>
      <c r="I30" s="73"/>
      <c r="J30" s="73"/>
      <c r="K30" s="73"/>
      <c r="L30" s="73"/>
      <c r="M30" s="73"/>
      <c r="N30" s="73"/>
      <c r="O30" s="73"/>
      <c r="P30" s="73"/>
      <c r="Q30" s="73"/>
      <c r="R30" s="73"/>
      <c r="S30" s="73"/>
      <c r="T30" s="73"/>
      <c r="U30" s="73"/>
      <c r="V30" s="73"/>
      <c r="W30" s="73"/>
    </row>
    <row r="31" spans="1:23" s="90" customFormat="1">
      <c r="G31" s="73"/>
      <c r="H31" s="73"/>
      <c r="I31" s="73"/>
      <c r="J31" s="73"/>
      <c r="K31" s="73"/>
      <c r="L31" s="73"/>
      <c r="M31" s="73"/>
      <c r="N31" s="73"/>
      <c r="O31" s="73"/>
      <c r="P31" s="73"/>
      <c r="Q31" s="73"/>
      <c r="R31" s="73"/>
      <c r="S31" s="73"/>
      <c r="T31" s="73"/>
      <c r="U31" s="73"/>
      <c r="V31" s="73"/>
      <c r="W31" s="73"/>
    </row>
    <row r="32" spans="1:23" s="90" customFormat="1">
      <c r="G32" s="73"/>
      <c r="H32" s="73"/>
      <c r="I32" s="73"/>
      <c r="J32" s="73"/>
      <c r="K32" s="73"/>
      <c r="L32" s="73"/>
      <c r="M32" s="73"/>
      <c r="N32" s="73"/>
      <c r="O32" s="73"/>
      <c r="P32" s="73"/>
      <c r="Q32" s="73"/>
      <c r="R32" s="73"/>
      <c r="S32" s="73"/>
      <c r="T32" s="73"/>
      <c r="U32" s="73"/>
      <c r="V32" s="73"/>
      <c r="W32" s="73"/>
    </row>
    <row r="33" spans="7:23" s="90" customFormat="1">
      <c r="G33" s="73"/>
      <c r="H33" s="73"/>
      <c r="I33" s="73"/>
      <c r="J33" s="73"/>
      <c r="K33" s="73"/>
      <c r="L33" s="73"/>
      <c r="M33" s="73"/>
      <c r="N33" s="73"/>
      <c r="O33" s="73"/>
      <c r="P33" s="73"/>
      <c r="Q33" s="73"/>
      <c r="R33" s="73"/>
      <c r="S33" s="73"/>
      <c r="T33" s="73"/>
      <c r="U33" s="73"/>
      <c r="V33" s="73"/>
      <c r="W33" s="73"/>
    </row>
    <row r="34" spans="7:23" s="90" customFormat="1">
      <c r="G34" s="73"/>
      <c r="H34" s="73"/>
      <c r="I34" s="73"/>
      <c r="J34" s="73"/>
      <c r="K34" s="73"/>
      <c r="L34" s="73"/>
      <c r="M34" s="73"/>
      <c r="N34" s="73"/>
      <c r="O34" s="73"/>
      <c r="P34" s="73"/>
      <c r="Q34" s="73"/>
      <c r="R34" s="73"/>
      <c r="S34" s="73"/>
      <c r="T34" s="73"/>
      <c r="U34" s="73"/>
      <c r="V34" s="73"/>
      <c r="W34" s="73"/>
    </row>
    <row r="35" spans="7:23" s="90" customFormat="1">
      <c r="G35" s="73"/>
      <c r="H35" s="73"/>
      <c r="I35" s="73"/>
      <c r="J35" s="73"/>
      <c r="K35" s="73"/>
      <c r="L35" s="73"/>
      <c r="M35" s="73"/>
      <c r="N35" s="73"/>
      <c r="O35" s="73"/>
      <c r="P35" s="73"/>
      <c r="Q35" s="73"/>
      <c r="R35" s="73"/>
      <c r="S35" s="73"/>
      <c r="T35" s="73"/>
      <c r="U35" s="73"/>
      <c r="V35" s="73"/>
      <c r="W35" s="73"/>
    </row>
    <row r="36" spans="7:23" s="90" customFormat="1">
      <c r="G36" s="73"/>
      <c r="H36" s="73"/>
      <c r="I36" s="73"/>
      <c r="J36" s="73"/>
      <c r="K36" s="73"/>
      <c r="L36" s="73"/>
      <c r="M36" s="73"/>
      <c r="N36" s="73"/>
      <c r="O36" s="73"/>
      <c r="P36" s="73"/>
      <c r="Q36" s="73"/>
      <c r="R36" s="73"/>
      <c r="S36" s="73"/>
      <c r="T36" s="73"/>
      <c r="U36" s="73"/>
      <c r="V36" s="73"/>
      <c r="W36" s="73"/>
    </row>
    <row r="37" spans="7:23" s="90" customFormat="1">
      <c r="G37" s="73"/>
      <c r="H37" s="73"/>
      <c r="I37" s="73"/>
      <c r="J37" s="73"/>
      <c r="K37" s="73"/>
      <c r="L37" s="73"/>
      <c r="M37" s="73"/>
      <c r="N37" s="73"/>
      <c r="O37" s="73"/>
      <c r="P37" s="73"/>
      <c r="Q37" s="73"/>
      <c r="R37" s="73"/>
      <c r="S37" s="73"/>
      <c r="T37" s="73"/>
      <c r="U37" s="73"/>
      <c r="V37" s="73"/>
      <c r="W37" s="73"/>
    </row>
    <row r="38" spans="7:23" s="90" customFormat="1">
      <c r="G38" s="73"/>
      <c r="H38" s="73"/>
      <c r="I38" s="73"/>
      <c r="J38" s="73"/>
      <c r="K38" s="73"/>
      <c r="L38" s="73"/>
      <c r="M38" s="73"/>
      <c r="N38" s="73"/>
      <c r="O38" s="73"/>
      <c r="P38" s="73"/>
      <c r="Q38" s="73"/>
      <c r="R38" s="73"/>
      <c r="S38" s="73"/>
      <c r="T38" s="73"/>
      <c r="U38" s="73"/>
      <c r="V38" s="73"/>
      <c r="W38" s="73"/>
    </row>
    <row r="39" spans="7:23" s="90" customFormat="1">
      <c r="G39" s="73"/>
      <c r="H39" s="73"/>
      <c r="I39" s="73"/>
      <c r="J39" s="73"/>
      <c r="K39" s="73"/>
      <c r="L39" s="73"/>
      <c r="M39" s="73"/>
      <c r="N39" s="73"/>
      <c r="O39" s="73"/>
      <c r="P39" s="73"/>
      <c r="Q39" s="73"/>
      <c r="R39" s="73"/>
      <c r="S39" s="73"/>
      <c r="T39" s="73"/>
      <c r="U39" s="73"/>
      <c r="V39" s="73"/>
      <c r="W39" s="73"/>
    </row>
    <row r="40" spans="7:23" s="90" customFormat="1">
      <c r="G40" s="73"/>
      <c r="H40" s="73"/>
      <c r="I40" s="73"/>
      <c r="J40" s="73"/>
      <c r="K40" s="73"/>
      <c r="L40" s="73"/>
      <c r="M40" s="73"/>
      <c r="N40" s="73"/>
      <c r="O40" s="73"/>
      <c r="P40" s="73"/>
      <c r="Q40" s="73"/>
      <c r="R40" s="73"/>
      <c r="S40" s="73"/>
      <c r="T40" s="73"/>
      <c r="U40" s="73"/>
      <c r="V40" s="73"/>
      <c r="W40" s="73"/>
    </row>
    <row r="41" spans="7:23" s="90" customFormat="1">
      <c r="G41" s="73"/>
      <c r="H41" s="73"/>
      <c r="I41" s="73"/>
      <c r="J41" s="73"/>
      <c r="K41" s="73"/>
      <c r="L41" s="73"/>
      <c r="M41" s="73"/>
      <c r="N41" s="73"/>
      <c r="O41" s="73"/>
      <c r="P41" s="73"/>
      <c r="Q41" s="73"/>
      <c r="R41" s="73"/>
      <c r="S41" s="73"/>
      <c r="T41" s="73"/>
      <c r="U41" s="73"/>
      <c r="V41" s="73"/>
      <c r="W41" s="73"/>
    </row>
    <row r="42" spans="7:23" s="90" customFormat="1">
      <c r="G42" s="73"/>
      <c r="H42" s="73"/>
      <c r="I42" s="73"/>
      <c r="J42" s="73"/>
      <c r="K42" s="73"/>
      <c r="L42" s="73"/>
      <c r="M42" s="73"/>
      <c r="N42" s="73"/>
      <c r="O42" s="73"/>
      <c r="P42" s="73"/>
      <c r="Q42" s="73"/>
      <c r="R42" s="73"/>
      <c r="S42" s="73"/>
      <c r="T42" s="73"/>
      <c r="U42" s="73"/>
      <c r="V42" s="73"/>
      <c r="W42" s="73"/>
    </row>
    <row r="43" spans="7:23" s="91" customFormat="1">
      <c r="G43" s="73"/>
      <c r="H43" s="73"/>
      <c r="I43" s="73"/>
      <c r="J43" s="73"/>
      <c r="K43" s="73"/>
      <c r="L43" s="73"/>
      <c r="M43" s="73"/>
      <c r="N43" s="73"/>
      <c r="O43" s="73"/>
      <c r="P43" s="73"/>
      <c r="Q43" s="73"/>
      <c r="R43" s="73"/>
      <c r="S43" s="73"/>
      <c r="T43" s="73"/>
      <c r="U43" s="73"/>
      <c r="V43" s="73"/>
      <c r="W43" s="73"/>
    </row>
    <row r="44" spans="7:23" s="91" customFormat="1">
      <c r="G44" s="73"/>
      <c r="H44" s="73"/>
      <c r="I44" s="73"/>
      <c r="J44" s="73"/>
      <c r="K44" s="73"/>
      <c r="L44" s="73"/>
      <c r="M44" s="73"/>
      <c r="N44" s="73"/>
      <c r="O44" s="73"/>
      <c r="P44" s="73"/>
      <c r="Q44" s="73"/>
      <c r="R44" s="73"/>
      <c r="S44" s="73"/>
      <c r="T44" s="73"/>
      <c r="U44" s="73"/>
      <c r="V44" s="73"/>
      <c r="W44" s="73"/>
    </row>
    <row r="45" spans="7:23" s="91" customFormat="1">
      <c r="G45" s="73"/>
      <c r="H45" s="73"/>
      <c r="I45" s="73"/>
      <c r="J45" s="73"/>
      <c r="K45" s="73"/>
      <c r="L45" s="73"/>
      <c r="M45" s="73"/>
      <c r="N45" s="73"/>
      <c r="O45" s="73"/>
      <c r="P45" s="73"/>
      <c r="Q45" s="73"/>
      <c r="R45" s="73"/>
      <c r="S45" s="73"/>
      <c r="T45" s="73"/>
      <c r="U45" s="73"/>
      <c r="V45" s="73"/>
      <c r="W45" s="73"/>
    </row>
    <row r="46" spans="7:23" s="91" customFormat="1">
      <c r="G46" s="73"/>
      <c r="H46" s="73"/>
      <c r="I46" s="73"/>
      <c r="J46" s="73"/>
      <c r="K46" s="73"/>
      <c r="L46" s="73"/>
      <c r="M46" s="73"/>
      <c r="N46" s="73"/>
      <c r="O46" s="73"/>
      <c r="P46" s="73"/>
      <c r="Q46" s="73"/>
      <c r="R46" s="73"/>
      <c r="S46" s="73"/>
      <c r="T46" s="73"/>
      <c r="U46" s="73"/>
      <c r="V46" s="73"/>
      <c r="W46" s="73"/>
    </row>
    <row r="47" spans="7:23" s="91" customFormat="1">
      <c r="G47" s="73"/>
      <c r="H47" s="73"/>
      <c r="I47" s="73"/>
      <c r="J47" s="73"/>
      <c r="K47" s="73"/>
      <c r="L47" s="73"/>
      <c r="M47" s="73"/>
      <c r="N47" s="73"/>
      <c r="O47" s="73"/>
      <c r="P47" s="73"/>
      <c r="Q47" s="73"/>
      <c r="R47" s="73"/>
      <c r="S47" s="73"/>
      <c r="T47" s="73"/>
      <c r="U47" s="73"/>
      <c r="V47" s="73"/>
      <c r="W47" s="73"/>
    </row>
    <row r="48" spans="7:23" s="91" customFormat="1">
      <c r="G48" s="73"/>
      <c r="H48" s="73"/>
      <c r="I48" s="73"/>
      <c r="J48" s="73"/>
      <c r="K48" s="73"/>
      <c r="L48" s="73"/>
      <c r="M48" s="73"/>
      <c r="N48" s="73"/>
      <c r="O48" s="73"/>
      <c r="P48" s="73"/>
      <c r="Q48" s="73"/>
      <c r="R48" s="73"/>
      <c r="S48" s="73"/>
      <c r="T48" s="73"/>
      <c r="U48" s="73"/>
      <c r="V48" s="73"/>
      <c r="W48" s="73"/>
    </row>
    <row r="49" spans="7:23" s="91" customFormat="1">
      <c r="G49" s="73"/>
      <c r="H49" s="73"/>
      <c r="I49" s="73"/>
      <c r="J49" s="73"/>
      <c r="K49" s="73"/>
      <c r="L49" s="73"/>
      <c r="M49" s="73"/>
      <c r="N49" s="73"/>
      <c r="O49" s="73"/>
      <c r="P49" s="73"/>
      <c r="Q49" s="73"/>
      <c r="R49" s="73"/>
      <c r="S49" s="73"/>
      <c r="T49" s="73"/>
      <c r="U49" s="73"/>
      <c r="V49" s="73"/>
      <c r="W49" s="73"/>
    </row>
    <row r="50" spans="7:23" s="91" customFormat="1">
      <c r="G50" s="73"/>
      <c r="H50" s="73"/>
      <c r="I50" s="73"/>
      <c r="J50" s="73"/>
      <c r="K50" s="73"/>
      <c r="L50" s="73"/>
      <c r="M50" s="73"/>
      <c r="N50" s="73"/>
      <c r="O50" s="73"/>
      <c r="P50" s="73"/>
      <c r="Q50" s="73"/>
      <c r="R50" s="73"/>
      <c r="S50" s="73"/>
      <c r="T50" s="73"/>
      <c r="U50" s="73"/>
      <c r="V50" s="73"/>
      <c r="W50" s="73"/>
    </row>
    <row r="51" spans="7:23" s="91" customFormat="1">
      <c r="G51" s="73"/>
      <c r="H51" s="73"/>
      <c r="I51" s="73"/>
      <c r="J51" s="73"/>
      <c r="K51" s="73"/>
      <c r="L51" s="73"/>
      <c r="M51" s="73"/>
      <c r="N51" s="73"/>
      <c r="O51" s="73"/>
      <c r="P51" s="73"/>
      <c r="Q51" s="73"/>
      <c r="R51" s="73"/>
      <c r="S51" s="73"/>
      <c r="T51" s="73"/>
      <c r="U51" s="73"/>
      <c r="V51" s="73"/>
      <c r="W51" s="73"/>
    </row>
    <row r="52" spans="7:23" s="91" customFormat="1">
      <c r="G52" s="73"/>
      <c r="H52" s="73"/>
      <c r="I52" s="73"/>
      <c r="J52" s="73"/>
      <c r="K52" s="73"/>
      <c r="L52" s="73"/>
      <c r="M52" s="73"/>
      <c r="N52" s="73"/>
      <c r="O52" s="73"/>
      <c r="P52" s="73"/>
      <c r="Q52" s="73"/>
      <c r="R52" s="73"/>
      <c r="S52" s="73"/>
      <c r="T52" s="73"/>
      <c r="U52" s="73"/>
      <c r="V52" s="73"/>
      <c r="W52" s="73"/>
    </row>
    <row r="53" spans="7:23" s="91" customFormat="1">
      <c r="G53" s="73"/>
      <c r="H53" s="73"/>
      <c r="I53" s="73"/>
      <c r="J53" s="73"/>
      <c r="K53" s="73"/>
      <c r="L53" s="73"/>
      <c r="M53" s="73"/>
      <c r="N53" s="73"/>
      <c r="O53" s="73"/>
      <c r="P53" s="73"/>
      <c r="Q53" s="73"/>
      <c r="R53" s="73"/>
      <c r="S53" s="73"/>
      <c r="T53" s="73"/>
      <c r="U53" s="73"/>
      <c r="V53" s="73"/>
      <c r="W53" s="73"/>
    </row>
    <row r="54" spans="7:23" s="91" customFormat="1">
      <c r="G54" s="73"/>
      <c r="H54" s="73"/>
      <c r="I54" s="73"/>
      <c r="J54" s="73"/>
      <c r="K54" s="73"/>
      <c r="L54" s="73"/>
      <c r="M54" s="73"/>
      <c r="N54" s="73"/>
      <c r="O54" s="73"/>
      <c r="P54" s="73"/>
      <c r="Q54" s="73"/>
      <c r="R54" s="73"/>
      <c r="S54" s="73"/>
      <c r="T54" s="73"/>
      <c r="U54" s="73"/>
      <c r="V54" s="73"/>
      <c r="W54" s="73"/>
    </row>
    <row r="55" spans="7:23" s="91" customFormat="1">
      <c r="G55" s="73"/>
      <c r="H55" s="73"/>
      <c r="I55" s="73"/>
      <c r="J55" s="73"/>
      <c r="K55" s="73"/>
      <c r="L55" s="73"/>
      <c r="M55" s="73"/>
      <c r="N55" s="73"/>
      <c r="O55" s="73"/>
      <c r="P55" s="73"/>
      <c r="Q55" s="73"/>
      <c r="R55" s="73"/>
      <c r="S55" s="73"/>
      <c r="T55" s="73"/>
      <c r="U55" s="73"/>
      <c r="V55" s="73"/>
      <c r="W55" s="73"/>
    </row>
    <row r="56" spans="7:23" s="91" customFormat="1">
      <c r="G56" s="73"/>
      <c r="H56" s="73"/>
      <c r="I56" s="73"/>
      <c r="J56" s="73"/>
      <c r="K56" s="73"/>
      <c r="L56" s="73"/>
      <c r="M56" s="73"/>
      <c r="N56" s="73"/>
      <c r="O56" s="73"/>
      <c r="P56" s="73"/>
      <c r="Q56" s="73"/>
      <c r="R56" s="73"/>
      <c r="S56" s="73"/>
      <c r="T56" s="73"/>
      <c r="U56" s="73"/>
      <c r="V56" s="73"/>
      <c r="W56" s="73"/>
    </row>
    <row r="57" spans="7:23" s="91" customFormat="1">
      <c r="G57" s="73"/>
      <c r="H57" s="73"/>
      <c r="I57" s="73"/>
      <c r="J57" s="73"/>
      <c r="K57" s="73"/>
      <c r="L57" s="73"/>
      <c r="M57" s="73"/>
      <c r="N57" s="73"/>
      <c r="O57" s="73"/>
      <c r="P57" s="73"/>
      <c r="Q57" s="73"/>
      <c r="R57" s="73"/>
      <c r="S57" s="73"/>
      <c r="T57" s="73"/>
      <c r="U57" s="73"/>
      <c r="V57" s="73"/>
      <c r="W57" s="73"/>
    </row>
    <row r="58" spans="7:23" s="91" customFormat="1">
      <c r="G58" s="73"/>
      <c r="H58" s="73"/>
      <c r="I58" s="73"/>
      <c r="J58" s="73"/>
      <c r="K58" s="73"/>
      <c r="L58" s="73"/>
      <c r="M58" s="73"/>
      <c r="N58" s="73"/>
      <c r="O58" s="73"/>
      <c r="P58" s="73"/>
      <c r="Q58" s="73"/>
      <c r="R58" s="73"/>
      <c r="S58" s="73"/>
      <c r="T58" s="73"/>
      <c r="U58" s="73"/>
      <c r="V58" s="73"/>
      <c r="W58" s="73"/>
    </row>
    <row r="59" spans="7:23" s="91" customFormat="1">
      <c r="G59" s="73"/>
      <c r="H59" s="73"/>
      <c r="I59" s="73"/>
      <c r="J59" s="73"/>
      <c r="K59" s="73"/>
      <c r="L59" s="73"/>
      <c r="M59" s="73"/>
      <c r="N59" s="73"/>
      <c r="O59" s="73"/>
      <c r="P59" s="73"/>
      <c r="Q59" s="73"/>
      <c r="R59" s="73"/>
      <c r="S59" s="73"/>
      <c r="T59" s="73"/>
      <c r="U59" s="73"/>
      <c r="V59" s="73"/>
      <c r="W59" s="73"/>
    </row>
    <row r="60" spans="7:23" s="91" customFormat="1">
      <c r="G60" s="73"/>
      <c r="H60" s="73"/>
      <c r="I60" s="73"/>
      <c r="J60" s="73"/>
      <c r="K60" s="73"/>
      <c r="L60" s="73"/>
      <c r="M60" s="73"/>
      <c r="N60" s="73"/>
      <c r="O60" s="73"/>
      <c r="P60" s="73"/>
      <c r="Q60" s="73"/>
      <c r="R60" s="73"/>
      <c r="S60" s="73"/>
      <c r="T60" s="73"/>
      <c r="U60" s="73"/>
      <c r="V60" s="73"/>
      <c r="W60" s="73"/>
    </row>
    <row r="61" spans="7:23" s="91" customFormat="1">
      <c r="G61" s="73"/>
      <c r="H61" s="73"/>
      <c r="I61" s="73"/>
      <c r="J61" s="73"/>
      <c r="K61" s="73"/>
      <c r="L61" s="73"/>
      <c r="M61" s="73"/>
      <c r="N61" s="73"/>
      <c r="O61" s="73"/>
      <c r="P61" s="73"/>
      <c r="Q61" s="73"/>
      <c r="R61" s="73"/>
      <c r="S61" s="73"/>
      <c r="T61" s="73"/>
      <c r="U61" s="73"/>
      <c r="V61" s="73"/>
      <c r="W61" s="73"/>
    </row>
    <row r="62" spans="7:23" s="91" customFormat="1">
      <c r="G62" s="73"/>
      <c r="H62" s="73"/>
      <c r="I62" s="73"/>
      <c r="J62" s="73"/>
      <c r="K62" s="73"/>
      <c r="L62" s="73"/>
      <c r="M62" s="73"/>
      <c r="N62" s="73"/>
      <c r="O62" s="73"/>
      <c r="P62" s="73"/>
      <c r="Q62" s="73"/>
      <c r="R62" s="73"/>
      <c r="S62" s="73"/>
      <c r="T62" s="73"/>
      <c r="U62" s="73"/>
      <c r="V62" s="73"/>
      <c r="W62" s="73"/>
    </row>
    <row r="63" spans="7:23" s="91" customFormat="1">
      <c r="G63" s="73"/>
      <c r="H63" s="73"/>
      <c r="I63" s="73"/>
      <c r="J63" s="73"/>
      <c r="K63" s="73"/>
      <c r="L63" s="73"/>
      <c r="M63" s="73"/>
      <c r="N63" s="73"/>
      <c r="O63" s="73"/>
      <c r="P63" s="73"/>
      <c r="Q63" s="73"/>
      <c r="R63" s="73"/>
      <c r="S63" s="73"/>
      <c r="T63" s="73"/>
      <c r="U63" s="73"/>
      <c r="V63" s="73"/>
      <c r="W63" s="73"/>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6400D-FAA8-482B-952C-DB8491EE78C7}">
  <sheetPr codeName="Sheet13">
    <tabColor rgb="FFB682B9"/>
  </sheetPr>
  <dimension ref="A1:V35"/>
  <sheetViews>
    <sheetView zoomScale="70" zoomScaleNormal="70" workbookViewId="0">
      <selection activeCell="A10" sqref="A10:E35"/>
    </sheetView>
    <sheetView workbookViewId="1"/>
  </sheetViews>
  <sheetFormatPr defaultColWidth="8.77734375" defaultRowHeight="13.8"/>
  <cols>
    <col min="1" max="1" width="10.21875" style="78" customWidth="1"/>
    <col min="2" max="2" width="88.77734375" style="78" customWidth="1"/>
    <col min="3" max="4" width="21.44140625" style="78" customWidth="1"/>
    <col min="5" max="6" width="81.21875" style="78" customWidth="1"/>
    <col min="7" max="7" width="23.77734375" style="73" customWidth="1"/>
    <col min="8" max="22" width="8.77734375" style="73"/>
    <col min="23" max="16384" width="8.77734375" style="78"/>
  </cols>
  <sheetData>
    <row r="1" spans="1:22" s="72" customFormat="1" ht="25.8">
      <c r="A1" s="71" t="s">
        <v>250</v>
      </c>
      <c r="C1" s="56"/>
      <c r="G1" s="73"/>
      <c r="H1" s="73"/>
      <c r="I1" s="73"/>
      <c r="J1" s="73"/>
      <c r="K1" s="73"/>
      <c r="L1" s="73"/>
      <c r="M1" s="73"/>
      <c r="N1" s="73"/>
      <c r="O1" s="73"/>
      <c r="P1" s="73"/>
      <c r="Q1" s="73"/>
      <c r="R1" s="73"/>
      <c r="S1" s="73"/>
      <c r="T1" s="73"/>
      <c r="U1" s="73"/>
      <c r="V1" s="73"/>
    </row>
    <row r="2" spans="1:22" s="72" customFormat="1" ht="25.8">
      <c r="A2" s="71" t="s">
        <v>746</v>
      </c>
      <c r="C2" s="56"/>
      <c r="G2" s="73"/>
      <c r="H2" s="73"/>
      <c r="I2" s="73"/>
      <c r="J2" s="73"/>
      <c r="K2" s="73"/>
      <c r="L2" s="73"/>
      <c r="M2" s="73"/>
      <c r="N2" s="73"/>
      <c r="O2" s="73"/>
      <c r="P2" s="73"/>
      <c r="Q2" s="73"/>
      <c r="R2" s="73"/>
      <c r="S2" s="73"/>
      <c r="T2" s="73"/>
      <c r="U2" s="73"/>
      <c r="V2" s="73"/>
    </row>
    <row r="3" spans="1:22" s="72" customFormat="1">
      <c r="A3" s="74" t="s">
        <v>117</v>
      </c>
      <c r="B3" s="72" t="s">
        <v>251</v>
      </c>
      <c r="G3" s="73"/>
      <c r="H3" s="73"/>
      <c r="I3" s="73"/>
      <c r="J3" s="73"/>
      <c r="K3" s="73"/>
      <c r="L3" s="73"/>
      <c r="M3" s="73"/>
      <c r="N3" s="73"/>
      <c r="O3" s="73"/>
      <c r="P3" s="73"/>
      <c r="Q3" s="73"/>
      <c r="R3" s="73"/>
      <c r="S3" s="73"/>
      <c r="T3" s="73"/>
      <c r="U3" s="73"/>
      <c r="V3" s="73"/>
    </row>
    <row r="4" spans="1:22" s="72" customFormat="1">
      <c r="A4" s="74" t="s">
        <v>725</v>
      </c>
      <c r="B4" s="72" t="s">
        <v>747</v>
      </c>
      <c r="G4" s="73"/>
      <c r="H4" s="73"/>
      <c r="I4" s="73"/>
      <c r="J4" s="73"/>
      <c r="K4" s="73"/>
      <c r="L4" s="73"/>
      <c r="M4" s="73"/>
      <c r="N4" s="73"/>
      <c r="O4" s="73"/>
      <c r="P4" s="73"/>
      <c r="Q4" s="73"/>
      <c r="R4" s="73"/>
      <c r="S4" s="73"/>
      <c r="T4" s="73"/>
      <c r="U4" s="73"/>
      <c r="V4" s="73"/>
    </row>
    <row r="5" spans="1:22" s="72" customFormat="1">
      <c r="A5" s="72" t="s">
        <v>118</v>
      </c>
      <c r="B5" s="72" t="s">
        <v>252</v>
      </c>
      <c r="G5" s="73"/>
      <c r="H5" s="73"/>
      <c r="I5" s="73"/>
      <c r="J5" s="73"/>
      <c r="K5" s="73"/>
      <c r="L5" s="73"/>
      <c r="M5" s="73"/>
      <c r="N5" s="73"/>
      <c r="O5" s="73"/>
      <c r="P5" s="73"/>
      <c r="Q5" s="73"/>
      <c r="R5" s="73"/>
      <c r="S5" s="73"/>
      <c r="T5" s="73"/>
      <c r="U5" s="73"/>
      <c r="V5" s="73"/>
    </row>
    <row r="6" spans="1:22" s="72" customFormat="1">
      <c r="A6" s="72" t="s">
        <v>727</v>
      </c>
      <c r="B6" s="72" t="s">
        <v>748</v>
      </c>
      <c r="G6" s="73"/>
      <c r="H6" s="73"/>
      <c r="I6" s="73"/>
      <c r="J6" s="73"/>
      <c r="K6" s="73"/>
      <c r="L6" s="73"/>
      <c r="M6" s="73"/>
      <c r="N6" s="73"/>
      <c r="O6" s="73"/>
      <c r="P6" s="73"/>
      <c r="Q6" s="73"/>
      <c r="R6" s="73"/>
      <c r="S6" s="73"/>
      <c r="T6" s="73"/>
      <c r="U6" s="73"/>
      <c r="V6" s="73"/>
    </row>
    <row r="8" spans="1:22" s="72" customFormat="1">
      <c r="A8" s="103"/>
      <c r="B8" s="103"/>
      <c r="C8" s="103" t="s">
        <v>104</v>
      </c>
      <c r="D8" s="103" t="s">
        <v>654</v>
      </c>
      <c r="E8" s="103" t="s">
        <v>93</v>
      </c>
      <c r="F8" s="103" t="s">
        <v>655</v>
      </c>
      <c r="G8" s="103" t="s">
        <v>691</v>
      </c>
    </row>
    <row r="9" spans="1:22" s="74" customFormat="1">
      <c r="A9" s="104" t="s">
        <v>55</v>
      </c>
      <c r="B9" s="105"/>
      <c r="C9" s="106"/>
      <c r="D9" s="106"/>
      <c r="E9" s="106"/>
      <c r="F9" s="106"/>
      <c r="G9" s="106"/>
    </row>
    <row r="10" spans="1:22" s="74" customFormat="1" ht="41.4">
      <c r="A10" s="3" t="s">
        <v>253</v>
      </c>
      <c r="B10" s="3" t="s">
        <v>749</v>
      </c>
      <c r="C10" s="85" t="s">
        <v>255</v>
      </c>
      <c r="D10" s="85" t="s">
        <v>254</v>
      </c>
      <c r="E10" s="85" t="s">
        <v>256</v>
      </c>
      <c r="F10" s="85"/>
      <c r="G10" s="3"/>
    </row>
    <row r="11" spans="1:22" s="87" customFormat="1" ht="27.6">
      <c r="A11" s="3" t="s">
        <v>257</v>
      </c>
      <c r="B11" s="3" t="s">
        <v>750</v>
      </c>
      <c r="C11" s="85" t="s">
        <v>259</v>
      </c>
      <c r="D11" s="85" t="s">
        <v>258</v>
      </c>
      <c r="E11" s="85" t="s">
        <v>260</v>
      </c>
      <c r="F11" s="85"/>
      <c r="G11" s="3"/>
      <c r="H11" s="74"/>
      <c r="I11" s="74"/>
      <c r="J11" s="74"/>
      <c r="K11" s="74"/>
      <c r="L11" s="74"/>
      <c r="M11" s="74"/>
      <c r="N11" s="74"/>
      <c r="O11" s="74"/>
      <c r="P11" s="74"/>
      <c r="Q11" s="74"/>
      <c r="R11" s="74"/>
      <c r="S11" s="74"/>
      <c r="T11" s="74"/>
      <c r="U11" s="74"/>
      <c r="V11" s="74"/>
    </row>
    <row r="12" spans="1:22" s="87" customFormat="1">
      <c r="A12" s="79" t="s">
        <v>62</v>
      </c>
      <c r="B12" s="79"/>
      <c r="C12" s="80"/>
      <c r="D12" s="80"/>
      <c r="E12" s="80"/>
      <c r="F12" s="80"/>
      <c r="G12" s="80"/>
      <c r="H12" s="74"/>
      <c r="I12" s="74"/>
      <c r="J12" s="74"/>
      <c r="K12" s="74"/>
      <c r="L12" s="74"/>
      <c r="M12" s="74"/>
      <c r="N12" s="74"/>
      <c r="O12" s="74"/>
      <c r="P12" s="74"/>
      <c r="Q12" s="74"/>
      <c r="R12" s="74"/>
      <c r="S12" s="74"/>
      <c r="T12" s="74"/>
      <c r="U12" s="74"/>
      <c r="V12" s="74"/>
    </row>
    <row r="13" spans="1:22" s="74" customFormat="1" ht="55.2">
      <c r="A13" s="3" t="s">
        <v>261</v>
      </c>
      <c r="B13" s="3" t="s">
        <v>751</v>
      </c>
      <c r="C13" s="3"/>
      <c r="D13" s="85" t="s">
        <v>752</v>
      </c>
      <c r="E13" s="85" t="s">
        <v>262</v>
      </c>
      <c r="F13" s="85"/>
      <c r="G13" s="3"/>
    </row>
    <row r="14" spans="1:22" s="74" customFormat="1" ht="55.2">
      <c r="A14" s="3" t="s">
        <v>263</v>
      </c>
      <c r="B14" s="3" t="s">
        <v>753</v>
      </c>
      <c r="C14" s="3"/>
      <c r="D14" s="85" t="s">
        <v>754</v>
      </c>
      <c r="E14" s="85" t="s">
        <v>264</v>
      </c>
      <c r="F14" s="85"/>
      <c r="G14" s="3"/>
    </row>
    <row r="15" spans="1:22" s="87" customFormat="1" ht="27.6">
      <c r="A15" s="3" t="s">
        <v>265</v>
      </c>
      <c r="B15" s="3" t="s">
        <v>755</v>
      </c>
      <c r="C15" s="85" t="s">
        <v>267</v>
      </c>
      <c r="D15" s="85" t="s">
        <v>266</v>
      </c>
      <c r="E15" s="85" t="s">
        <v>268</v>
      </c>
      <c r="F15" s="85"/>
      <c r="G15" s="3"/>
      <c r="H15" s="74"/>
      <c r="I15" s="74"/>
      <c r="J15" s="74"/>
      <c r="K15" s="74"/>
      <c r="L15" s="74"/>
      <c r="M15" s="74"/>
      <c r="N15" s="74"/>
      <c r="O15" s="74"/>
      <c r="P15" s="74"/>
      <c r="Q15" s="74"/>
      <c r="R15" s="74"/>
      <c r="S15" s="74"/>
      <c r="T15" s="74"/>
      <c r="U15" s="74"/>
      <c r="V15" s="74"/>
    </row>
    <row r="16" spans="1:22" s="87" customFormat="1" ht="27.6">
      <c r="A16" s="3" t="s">
        <v>269</v>
      </c>
      <c r="B16" s="3" t="s">
        <v>756</v>
      </c>
      <c r="C16" s="85" t="s">
        <v>271</v>
      </c>
      <c r="D16" s="85" t="s">
        <v>270</v>
      </c>
      <c r="E16" s="85" t="s">
        <v>272</v>
      </c>
      <c r="F16" s="85"/>
      <c r="G16" s="3"/>
      <c r="H16" s="74"/>
      <c r="I16" s="74"/>
      <c r="J16" s="74"/>
      <c r="K16" s="74"/>
      <c r="L16" s="74"/>
      <c r="M16" s="74"/>
      <c r="N16" s="74"/>
      <c r="O16" s="74"/>
      <c r="P16" s="74"/>
      <c r="Q16" s="74"/>
      <c r="R16" s="74"/>
      <c r="S16" s="74"/>
      <c r="T16" s="74"/>
      <c r="U16" s="74"/>
      <c r="V16" s="74"/>
    </row>
    <row r="17" spans="1:22" s="74" customFormat="1" ht="41.4">
      <c r="A17" s="3" t="s">
        <v>273</v>
      </c>
      <c r="B17" s="3" t="s">
        <v>757</v>
      </c>
      <c r="C17" s="85" t="s">
        <v>275</v>
      </c>
      <c r="D17" s="85" t="s">
        <v>274</v>
      </c>
      <c r="E17" s="85" t="s">
        <v>276</v>
      </c>
      <c r="F17" s="85"/>
      <c r="G17" s="3"/>
    </row>
    <row r="18" spans="1:22" s="74" customFormat="1" ht="41.4">
      <c r="A18" s="107" t="s">
        <v>277</v>
      </c>
      <c r="B18" s="108" t="s">
        <v>758</v>
      </c>
      <c r="C18" s="109" t="s">
        <v>279</v>
      </c>
      <c r="D18" s="109" t="s">
        <v>278</v>
      </c>
      <c r="E18" s="109" t="s">
        <v>280</v>
      </c>
      <c r="F18" s="107"/>
      <c r="G18" s="107"/>
    </row>
    <row r="19" spans="1:22" s="74" customFormat="1">
      <c r="A19" s="79" t="s">
        <v>64</v>
      </c>
      <c r="B19" s="79"/>
      <c r="C19" s="80"/>
      <c r="D19" s="80"/>
      <c r="E19" s="80"/>
      <c r="F19" s="80"/>
      <c r="G19" s="80"/>
    </row>
    <row r="20" spans="1:22" s="87" customFormat="1" ht="69">
      <c r="A20" s="3" t="s">
        <v>281</v>
      </c>
      <c r="B20" s="3" t="s">
        <v>759</v>
      </c>
      <c r="C20" s="3"/>
      <c r="D20" s="85" t="s">
        <v>760</v>
      </c>
      <c r="E20" s="85" t="s">
        <v>282</v>
      </c>
      <c r="F20" s="3"/>
      <c r="G20" s="3"/>
      <c r="H20" s="74"/>
      <c r="I20" s="74"/>
      <c r="J20" s="74"/>
      <c r="K20" s="74"/>
      <c r="L20" s="74"/>
      <c r="M20" s="74"/>
      <c r="N20" s="74"/>
      <c r="O20" s="74"/>
      <c r="P20" s="74"/>
      <c r="Q20" s="74"/>
      <c r="R20" s="74"/>
      <c r="S20" s="74"/>
      <c r="T20" s="74"/>
      <c r="U20" s="74"/>
      <c r="V20" s="74"/>
    </row>
    <row r="21" spans="1:22" s="87" customFormat="1" ht="41.4">
      <c r="A21" s="3" t="s">
        <v>283</v>
      </c>
      <c r="B21" s="3" t="s">
        <v>761</v>
      </c>
      <c r="C21" s="3"/>
      <c r="D21" s="85" t="s">
        <v>284</v>
      </c>
      <c r="E21" s="85" t="s">
        <v>285</v>
      </c>
      <c r="F21" s="3"/>
      <c r="G21" s="3"/>
      <c r="H21" s="74"/>
      <c r="I21" s="74"/>
      <c r="J21" s="74"/>
      <c r="K21" s="74"/>
      <c r="L21" s="74"/>
      <c r="M21" s="74"/>
      <c r="N21" s="74"/>
      <c r="O21" s="74"/>
      <c r="P21" s="74"/>
      <c r="Q21" s="74"/>
      <c r="R21" s="74"/>
      <c r="S21" s="74"/>
      <c r="T21" s="74"/>
      <c r="U21" s="74"/>
      <c r="V21" s="74"/>
    </row>
    <row r="22" spans="1:22" s="74" customFormat="1" ht="41.4">
      <c r="A22" s="3" t="s">
        <v>286</v>
      </c>
      <c r="B22" s="3" t="s">
        <v>762</v>
      </c>
      <c r="C22" s="3"/>
      <c r="D22" s="85" t="s">
        <v>287</v>
      </c>
      <c r="E22" s="85" t="s">
        <v>288</v>
      </c>
      <c r="F22" s="3"/>
      <c r="G22" s="3"/>
    </row>
    <row r="23" spans="1:22" s="74" customFormat="1" ht="41.4">
      <c r="A23" s="3" t="s">
        <v>289</v>
      </c>
      <c r="B23" s="3" t="s">
        <v>763</v>
      </c>
      <c r="C23" s="3"/>
      <c r="D23" s="85" t="s">
        <v>290</v>
      </c>
      <c r="E23" s="85" t="s">
        <v>291</v>
      </c>
      <c r="F23" s="3"/>
      <c r="G23" s="3"/>
    </row>
    <row r="24" spans="1:22" s="87" customFormat="1" ht="41.4">
      <c r="A24" s="3" t="s">
        <v>292</v>
      </c>
      <c r="B24" s="3" t="s">
        <v>764</v>
      </c>
      <c r="C24" s="3"/>
      <c r="D24" s="85" t="s">
        <v>293</v>
      </c>
      <c r="E24" s="85" t="s">
        <v>294</v>
      </c>
      <c r="F24" s="3"/>
      <c r="G24" s="3"/>
      <c r="H24" s="74"/>
      <c r="I24" s="74"/>
      <c r="J24" s="74"/>
      <c r="K24" s="74"/>
      <c r="L24" s="74"/>
      <c r="M24" s="74"/>
      <c r="N24" s="74"/>
      <c r="O24" s="74"/>
      <c r="P24" s="74"/>
      <c r="Q24" s="74"/>
      <c r="R24" s="74"/>
      <c r="S24" s="74"/>
      <c r="T24" s="74"/>
      <c r="U24" s="74"/>
      <c r="V24" s="74"/>
    </row>
    <row r="25" spans="1:22" s="87" customFormat="1" ht="27.6">
      <c r="A25" s="3" t="s">
        <v>295</v>
      </c>
      <c r="B25" s="3" t="s">
        <v>765</v>
      </c>
      <c r="C25" s="3"/>
      <c r="D25" s="85" t="s">
        <v>296</v>
      </c>
      <c r="E25" s="85" t="s">
        <v>297</v>
      </c>
      <c r="F25" s="3"/>
      <c r="G25" s="3"/>
      <c r="H25" s="74"/>
      <c r="I25" s="74"/>
      <c r="J25" s="74"/>
      <c r="K25" s="74"/>
      <c r="L25" s="74"/>
      <c r="M25" s="74"/>
      <c r="N25" s="74"/>
      <c r="O25" s="74"/>
      <c r="P25" s="74"/>
      <c r="Q25" s="74"/>
      <c r="R25" s="74"/>
      <c r="S25" s="74"/>
      <c r="T25" s="74"/>
      <c r="U25" s="74"/>
      <c r="V25" s="74"/>
    </row>
    <row r="26" spans="1:22" s="74" customFormat="1">
      <c r="A26" s="79" t="s">
        <v>65</v>
      </c>
      <c r="B26" s="79"/>
      <c r="C26" s="80"/>
      <c r="D26" s="80"/>
      <c r="E26" s="80"/>
      <c r="F26" s="80"/>
      <c r="G26" s="80"/>
    </row>
    <row r="27" spans="1:22" s="74" customFormat="1" ht="69">
      <c r="A27" s="3" t="s">
        <v>298</v>
      </c>
      <c r="B27" s="3" t="s">
        <v>766</v>
      </c>
      <c r="C27" s="3"/>
      <c r="D27" s="85" t="s">
        <v>299</v>
      </c>
      <c r="E27" s="85" t="s">
        <v>767</v>
      </c>
      <c r="F27" s="3"/>
      <c r="G27" s="3"/>
    </row>
    <row r="28" spans="1:22" s="87" customFormat="1" ht="55.2">
      <c r="A28" s="3" t="s">
        <v>300</v>
      </c>
      <c r="B28" s="3" t="s">
        <v>768</v>
      </c>
      <c r="C28" s="3"/>
      <c r="D28" s="85" t="s">
        <v>301</v>
      </c>
      <c r="E28" s="85" t="s">
        <v>302</v>
      </c>
      <c r="F28" s="3"/>
      <c r="G28" s="3"/>
      <c r="H28" s="74"/>
      <c r="I28" s="74"/>
      <c r="J28" s="74"/>
      <c r="K28" s="74"/>
      <c r="L28" s="74"/>
      <c r="M28" s="74"/>
      <c r="N28" s="74"/>
      <c r="O28" s="74"/>
      <c r="P28" s="74"/>
      <c r="Q28" s="74"/>
      <c r="R28" s="74"/>
      <c r="S28" s="74"/>
      <c r="T28" s="74"/>
      <c r="U28" s="74"/>
      <c r="V28" s="74"/>
    </row>
    <row r="29" spans="1:22" s="87" customFormat="1" ht="41.4">
      <c r="A29" s="3" t="s">
        <v>303</v>
      </c>
      <c r="B29" s="3" t="s">
        <v>769</v>
      </c>
      <c r="C29" s="3"/>
      <c r="D29" s="85" t="s">
        <v>304</v>
      </c>
      <c r="E29" s="85" t="s">
        <v>305</v>
      </c>
      <c r="F29" s="3"/>
      <c r="G29" s="3"/>
      <c r="H29" s="74"/>
      <c r="I29" s="74"/>
      <c r="J29" s="74"/>
      <c r="K29" s="74"/>
      <c r="L29" s="74"/>
      <c r="M29" s="74"/>
      <c r="N29" s="74"/>
      <c r="O29" s="74"/>
      <c r="P29" s="74"/>
      <c r="Q29" s="74"/>
      <c r="R29" s="74"/>
      <c r="S29" s="74"/>
      <c r="T29" s="74"/>
      <c r="U29" s="74"/>
      <c r="V29" s="74"/>
    </row>
    <row r="30" spans="1:22" s="87" customFormat="1" ht="41.4">
      <c r="A30" s="3" t="s">
        <v>306</v>
      </c>
      <c r="B30" s="3" t="s">
        <v>770</v>
      </c>
      <c r="C30" s="3"/>
      <c r="D30" s="85" t="s">
        <v>307</v>
      </c>
      <c r="E30" s="85" t="s">
        <v>308</v>
      </c>
      <c r="F30" s="3"/>
      <c r="G30" s="3"/>
      <c r="H30" s="74"/>
      <c r="I30" s="74"/>
      <c r="J30" s="74"/>
      <c r="K30" s="74"/>
      <c r="L30" s="74"/>
      <c r="M30" s="74"/>
      <c r="N30" s="74"/>
      <c r="O30" s="74"/>
      <c r="P30" s="74"/>
      <c r="Q30" s="74"/>
      <c r="R30" s="74"/>
      <c r="S30" s="74"/>
      <c r="T30" s="74"/>
      <c r="U30" s="74"/>
      <c r="V30" s="74"/>
    </row>
    <row r="31" spans="1:22" s="74" customFormat="1" ht="110.4">
      <c r="A31" s="3" t="s">
        <v>309</v>
      </c>
      <c r="B31" s="3" t="s">
        <v>771</v>
      </c>
      <c r="C31" s="3"/>
      <c r="D31" s="85" t="s">
        <v>772</v>
      </c>
      <c r="E31" s="3" t="s">
        <v>773</v>
      </c>
      <c r="F31" s="3"/>
      <c r="G31" s="3"/>
    </row>
    <row r="32" spans="1:22" s="87" customFormat="1">
      <c r="A32" s="79" t="s">
        <v>66</v>
      </c>
      <c r="B32" s="79"/>
      <c r="C32" s="80"/>
      <c r="D32" s="80"/>
      <c r="E32" s="80"/>
      <c r="F32" s="80"/>
      <c r="G32" s="80"/>
      <c r="H32" s="74"/>
      <c r="I32" s="74"/>
      <c r="J32" s="74"/>
      <c r="K32" s="74"/>
      <c r="L32" s="74"/>
      <c r="M32" s="74"/>
      <c r="N32" s="74"/>
      <c r="O32" s="74"/>
      <c r="P32" s="74"/>
      <c r="Q32" s="74"/>
      <c r="R32" s="74"/>
      <c r="S32" s="74"/>
      <c r="T32" s="74"/>
      <c r="U32" s="74"/>
      <c r="V32" s="74"/>
    </row>
    <row r="33" spans="1:22" s="87" customFormat="1" ht="41.4">
      <c r="A33" s="3" t="s">
        <v>310</v>
      </c>
      <c r="B33" s="3" t="s">
        <v>774</v>
      </c>
      <c r="C33" s="3"/>
      <c r="D33" s="85" t="s">
        <v>311</v>
      </c>
      <c r="E33" s="85" t="s">
        <v>312</v>
      </c>
      <c r="F33" s="3"/>
      <c r="G33" s="3"/>
      <c r="H33" s="74"/>
      <c r="I33" s="74"/>
      <c r="J33" s="74"/>
      <c r="K33" s="74"/>
      <c r="L33" s="74"/>
      <c r="M33" s="74"/>
      <c r="N33" s="74"/>
      <c r="O33" s="74"/>
      <c r="P33" s="74"/>
      <c r="Q33" s="74"/>
      <c r="R33" s="74"/>
      <c r="S33" s="74"/>
      <c r="T33" s="74"/>
      <c r="U33" s="74"/>
      <c r="V33" s="74"/>
    </row>
    <row r="34" spans="1:22" s="87" customFormat="1" ht="69">
      <c r="A34" s="3" t="s">
        <v>313</v>
      </c>
      <c r="B34" s="3" t="s">
        <v>775</v>
      </c>
      <c r="C34" s="3"/>
      <c r="D34" s="85" t="s">
        <v>314</v>
      </c>
      <c r="E34" s="85" t="s">
        <v>315</v>
      </c>
      <c r="F34" s="3"/>
      <c r="G34" s="3"/>
      <c r="H34" s="74"/>
      <c r="I34" s="74"/>
      <c r="J34" s="74"/>
      <c r="K34" s="74"/>
      <c r="L34" s="74"/>
      <c r="M34" s="74"/>
      <c r="N34" s="74"/>
      <c r="O34" s="74"/>
      <c r="P34" s="74"/>
      <c r="Q34" s="74"/>
      <c r="R34" s="74"/>
      <c r="S34" s="74"/>
      <c r="T34" s="74"/>
      <c r="U34" s="74"/>
      <c r="V34" s="74"/>
    </row>
    <row r="35" spans="1:22" s="74" customFormat="1" ht="69">
      <c r="A35" s="3" t="s">
        <v>316</v>
      </c>
      <c r="B35" s="3" t="s">
        <v>776</v>
      </c>
      <c r="C35" s="3"/>
      <c r="D35" s="85" t="s">
        <v>317</v>
      </c>
      <c r="E35" s="85" t="s">
        <v>318</v>
      </c>
      <c r="F35" s="3"/>
      <c r="G35" s="3"/>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7CEC1-65D0-4C38-8B77-3C4F561924FB}">
  <sheetPr codeName="Sheet14">
    <tabColor rgb="FF007DC4"/>
  </sheetPr>
  <dimension ref="A1:G49"/>
  <sheetViews>
    <sheetView zoomScale="70" zoomScaleNormal="70" workbookViewId="0">
      <selection activeCell="A10" sqref="A10:XFD24"/>
    </sheetView>
    <sheetView workbookViewId="1"/>
  </sheetViews>
  <sheetFormatPr defaultColWidth="8.77734375" defaultRowHeight="13.8"/>
  <cols>
    <col min="1" max="1" width="10.21875" style="78" customWidth="1"/>
    <col min="2" max="2" width="67.21875" style="78" customWidth="1"/>
    <col min="3" max="4" width="21.44140625" style="78" customWidth="1"/>
    <col min="5" max="6" width="80.44140625" style="78" customWidth="1"/>
    <col min="7" max="7" width="21.44140625" style="73" customWidth="1"/>
    <col min="8" max="16384" width="8.77734375" style="78"/>
  </cols>
  <sheetData>
    <row r="1" spans="1:7" s="72" customFormat="1" ht="25.8">
      <c r="A1" s="71" t="s">
        <v>508</v>
      </c>
      <c r="C1" s="56"/>
      <c r="G1" s="73"/>
    </row>
    <row r="2" spans="1:7" s="72" customFormat="1" ht="25.8">
      <c r="A2" s="71" t="s">
        <v>777</v>
      </c>
      <c r="C2" s="56"/>
      <c r="G2" s="73"/>
    </row>
    <row r="3" spans="1:7" s="72" customFormat="1">
      <c r="A3" s="74" t="s">
        <v>685</v>
      </c>
      <c r="B3" s="72" t="s">
        <v>778</v>
      </c>
      <c r="G3" s="73"/>
    </row>
    <row r="4" spans="1:7" s="72" customFormat="1">
      <c r="A4" s="74" t="s">
        <v>644</v>
      </c>
      <c r="B4" s="72" t="s">
        <v>779</v>
      </c>
      <c r="G4" s="73"/>
    </row>
    <row r="5" spans="1:7" s="72" customFormat="1">
      <c r="A5" s="72" t="s">
        <v>688</v>
      </c>
      <c r="B5" s="72" t="s">
        <v>780</v>
      </c>
      <c r="G5" s="73"/>
    </row>
    <row r="6" spans="1:7" s="72" customFormat="1">
      <c r="A6" s="72" t="s">
        <v>648</v>
      </c>
      <c r="B6" s="72" t="s">
        <v>781</v>
      </c>
      <c r="G6" s="73"/>
    </row>
    <row r="8" spans="1:7" s="72" customFormat="1">
      <c r="A8" s="103"/>
      <c r="B8" s="103"/>
      <c r="C8" s="103" t="s">
        <v>104</v>
      </c>
      <c r="D8" s="103" t="s">
        <v>654</v>
      </c>
      <c r="E8" s="103" t="s">
        <v>93</v>
      </c>
      <c r="F8" s="103"/>
      <c r="G8" s="103" t="s">
        <v>691</v>
      </c>
    </row>
    <row r="9" spans="1:7" s="74" customFormat="1">
      <c r="A9" s="79" t="s">
        <v>55</v>
      </c>
      <c r="B9" s="79"/>
      <c r="C9" s="80"/>
      <c r="D9" s="80"/>
      <c r="E9" s="80"/>
      <c r="F9" s="80"/>
      <c r="G9" s="80"/>
    </row>
    <row r="10" spans="1:7" s="74" customFormat="1" ht="27.6">
      <c r="A10" s="3" t="s">
        <v>509</v>
      </c>
      <c r="B10" s="3" t="s">
        <v>510</v>
      </c>
      <c r="C10" s="3"/>
      <c r="D10" s="85" t="s">
        <v>782</v>
      </c>
      <c r="E10" s="85" t="s">
        <v>783</v>
      </c>
      <c r="F10" s="85"/>
      <c r="G10" s="3"/>
    </row>
    <row r="11" spans="1:7" s="87" customFormat="1">
      <c r="A11" s="79" t="s">
        <v>62</v>
      </c>
      <c r="B11" s="79"/>
      <c r="C11" s="80"/>
      <c r="D11" s="80"/>
      <c r="E11" s="80"/>
      <c r="F11" s="80"/>
      <c r="G11" s="80"/>
    </row>
    <row r="12" spans="1:7" s="87" customFormat="1" ht="82.8">
      <c r="A12" s="3" t="s">
        <v>511</v>
      </c>
      <c r="B12" s="3" t="s">
        <v>784</v>
      </c>
      <c r="C12" s="85" t="s">
        <v>785</v>
      </c>
      <c r="D12" s="85" t="s">
        <v>786</v>
      </c>
      <c r="E12" s="85" t="s">
        <v>787</v>
      </c>
      <c r="F12" s="85"/>
      <c r="G12" s="3"/>
    </row>
    <row r="13" spans="1:7" s="87" customFormat="1" ht="110.4">
      <c r="A13" s="3" t="s">
        <v>512</v>
      </c>
      <c r="B13" s="3" t="s">
        <v>788</v>
      </c>
      <c r="C13" s="85" t="s">
        <v>789</v>
      </c>
      <c r="D13" s="85" t="s">
        <v>790</v>
      </c>
      <c r="E13" s="85" t="s">
        <v>791</v>
      </c>
      <c r="F13" s="85"/>
      <c r="G13" s="3"/>
    </row>
    <row r="14" spans="1:7" s="74" customFormat="1">
      <c r="A14" s="79" t="s">
        <v>64</v>
      </c>
      <c r="B14" s="79"/>
      <c r="C14" s="80"/>
      <c r="D14" s="80"/>
      <c r="E14" s="80"/>
      <c r="F14" s="80"/>
      <c r="G14" s="80"/>
    </row>
    <row r="15" spans="1:7" s="87" customFormat="1" ht="138">
      <c r="A15" s="3" t="s">
        <v>513</v>
      </c>
      <c r="B15" s="3" t="s">
        <v>792</v>
      </c>
      <c r="C15" s="85" t="s">
        <v>793</v>
      </c>
      <c r="D15" s="85" t="s">
        <v>794</v>
      </c>
      <c r="E15" s="85" t="s">
        <v>795</v>
      </c>
      <c r="F15" s="85"/>
      <c r="G15" s="3"/>
    </row>
    <row r="16" spans="1:7" s="87" customFormat="1" ht="27.6">
      <c r="A16" s="3" t="s">
        <v>514</v>
      </c>
      <c r="B16" s="3" t="s">
        <v>796</v>
      </c>
      <c r="C16" s="85" t="s">
        <v>516</v>
      </c>
      <c r="D16" s="85" t="s">
        <v>515</v>
      </c>
      <c r="E16" s="85" t="s">
        <v>797</v>
      </c>
      <c r="F16" s="85"/>
      <c r="G16" s="3"/>
    </row>
    <row r="17" spans="1:7" s="87" customFormat="1" ht="69">
      <c r="A17" s="3" t="s">
        <v>517</v>
      </c>
      <c r="B17" s="3" t="s">
        <v>798</v>
      </c>
      <c r="C17" s="85" t="s">
        <v>518</v>
      </c>
      <c r="D17" s="85" t="s">
        <v>799</v>
      </c>
      <c r="E17" s="85" t="s">
        <v>800</v>
      </c>
      <c r="F17" s="85"/>
      <c r="G17" s="3"/>
    </row>
    <row r="18" spans="1:7" s="87" customFormat="1" ht="41.4">
      <c r="A18" s="3" t="s">
        <v>519</v>
      </c>
      <c r="B18" s="3" t="s">
        <v>801</v>
      </c>
      <c r="C18" s="85" t="s">
        <v>521</v>
      </c>
      <c r="D18" s="85" t="s">
        <v>520</v>
      </c>
      <c r="E18" s="85" t="s">
        <v>802</v>
      </c>
      <c r="F18" s="85"/>
      <c r="G18" s="3"/>
    </row>
    <row r="19" spans="1:7" s="87" customFormat="1" ht="82.8">
      <c r="A19" s="3" t="s">
        <v>522</v>
      </c>
      <c r="B19" s="3" t="s">
        <v>803</v>
      </c>
      <c r="C19" s="85" t="s">
        <v>804</v>
      </c>
      <c r="D19" s="85" t="s">
        <v>805</v>
      </c>
      <c r="E19" s="85" t="s">
        <v>806</v>
      </c>
      <c r="F19" s="85"/>
      <c r="G19" s="3"/>
    </row>
    <row r="20" spans="1:7" s="87" customFormat="1">
      <c r="A20" s="79" t="s">
        <v>65</v>
      </c>
      <c r="B20" s="79"/>
      <c r="C20" s="80"/>
      <c r="D20" s="80"/>
      <c r="E20" s="80"/>
      <c r="F20" s="80"/>
      <c r="G20" s="80"/>
    </row>
    <row r="21" spans="1:7" s="87" customFormat="1" ht="41.4">
      <c r="A21" s="3" t="s">
        <v>523</v>
      </c>
      <c r="B21" s="3" t="s">
        <v>524</v>
      </c>
      <c r="C21" s="85" t="s">
        <v>526</v>
      </c>
      <c r="D21" s="85" t="s">
        <v>525</v>
      </c>
      <c r="E21" s="85" t="s">
        <v>807</v>
      </c>
      <c r="F21" s="85"/>
      <c r="G21" s="3"/>
    </row>
    <row r="22" spans="1:7" s="74" customFormat="1" ht="96.6">
      <c r="A22" s="107" t="s">
        <v>527</v>
      </c>
      <c r="B22" s="108" t="s">
        <v>808</v>
      </c>
      <c r="C22" s="109" t="s">
        <v>809</v>
      </c>
      <c r="D22" s="109" t="s">
        <v>528</v>
      </c>
      <c r="E22" s="109" t="s">
        <v>810</v>
      </c>
      <c r="F22" s="109"/>
      <c r="G22" s="3"/>
    </row>
    <row r="23" spans="1:7" s="74" customFormat="1">
      <c r="A23" s="79" t="s">
        <v>66</v>
      </c>
      <c r="B23" s="79"/>
      <c r="C23" s="80"/>
      <c r="D23" s="80"/>
      <c r="E23" s="80"/>
      <c r="F23" s="80"/>
      <c r="G23" s="80"/>
    </row>
    <row r="24" spans="1:7" s="87" customFormat="1" ht="96.6">
      <c r="A24" s="3" t="s">
        <v>529</v>
      </c>
      <c r="B24" s="3" t="s">
        <v>811</v>
      </c>
      <c r="C24" s="85" t="s">
        <v>531</v>
      </c>
      <c r="D24" s="85" t="s">
        <v>530</v>
      </c>
      <c r="E24" s="85" t="s">
        <v>812</v>
      </c>
      <c r="F24" s="85"/>
      <c r="G24" s="3"/>
    </row>
    <row r="25" spans="1:7" s="90" customFormat="1">
      <c r="G25" s="73"/>
    </row>
    <row r="26" spans="1:7" s="90" customFormat="1">
      <c r="G26" s="73"/>
    </row>
    <row r="27" spans="1:7" s="90" customFormat="1">
      <c r="G27" s="73"/>
    </row>
    <row r="28" spans="1:7" s="90" customFormat="1">
      <c r="G28" s="73"/>
    </row>
    <row r="29" spans="1:7" s="91" customFormat="1">
      <c r="G29" s="73"/>
    </row>
    <row r="30" spans="1:7" s="91" customFormat="1">
      <c r="G30" s="73"/>
    </row>
    <row r="31" spans="1:7" s="91" customFormat="1">
      <c r="G31" s="73"/>
    </row>
    <row r="32" spans="1:7" s="91" customFormat="1">
      <c r="G32" s="73"/>
    </row>
    <row r="33" spans="7:7" s="91" customFormat="1">
      <c r="G33" s="73"/>
    </row>
    <row r="34" spans="7:7" s="91" customFormat="1">
      <c r="G34" s="73"/>
    </row>
    <row r="35" spans="7:7" s="91" customFormat="1">
      <c r="G35" s="73"/>
    </row>
    <row r="36" spans="7:7" s="91" customFormat="1">
      <c r="G36" s="73"/>
    </row>
    <row r="37" spans="7:7" s="91" customFormat="1">
      <c r="G37" s="73"/>
    </row>
    <row r="38" spans="7:7" s="91" customFormat="1">
      <c r="G38" s="73"/>
    </row>
    <row r="39" spans="7:7" s="91" customFormat="1">
      <c r="G39" s="73"/>
    </row>
    <row r="40" spans="7:7" s="91" customFormat="1">
      <c r="G40" s="73"/>
    </row>
    <row r="41" spans="7:7" s="91" customFormat="1">
      <c r="G41" s="73"/>
    </row>
    <row r="42" spans="7:7" s="91" customFormat="1">
      <c r="G42" s="73"/>
    </row>
    <row r="43" spans="7:7" s="91" customFormat="1">
      <c r="G43" s="73"/>
    </row>
    <row r="44" spans="7:7" s="91" customFormat="1">
      <c r="G44" s="73"/>
    </row>
    <row r="45" spans="7:7" s="91" customFormat="1">
      <c r="G45" s="73"/>
    </row>
    <row r="46" spans="7:7" s="91" customFormat="1">
      <c r="G46" s="73"/>
    </row>
    <row r="47" spans="7:7" s="91" customFormat="1">
      <c r="G47" s="73"/>
    </row>
    <row r="48" spans="7:7" s="91" customFormat="1">
      <c r="G48" s="73"/>
    </row>
    <row r="49" spans="7:7" s="91" customFormat="1">
      <c r="G49" s="73"/>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9B9448-9321-4F52-B2D4-3E3CB9F4D3FD}">
  <sheetPr codeName="Sheet15">
    <tabColor rgb="FFB682B9"/>
  </sheetPr>
  <dimension ref="A1:AG23"/>
  <sheetViews>
    <sheetView zoomScale="80" zoomScaleNormal="80" workbookViewId="0">
      <selection activeCell="A10" sqref="A10:E22"/>
    </sheetView>
    <sheetView workbookViewId="1"/>
  </sheetViews>
  <sheetFormatPr defaultColWidth="8.77734375" defaultRowHeight="13.8"/>
  <cols>
    <col min="1" max="1" width="10.21875" style="78" customWidth="1"/>
    <col min="2" max="2" width="88.77734375" style="78" customWidth="1"/>
    <col min="3" max="4" width="21.44140625" style="72" customWidth="1"/>
    <col min="5" max="5" width="67.77734375" style="72" customWidth="1"/>
    <col min="6" max="6" width="38.21875" style="78" customWidth="1"/>
    <col min="7" max="7" width="21.44140625" style="73" customWidth="1"/>
    <col min="8" max="16384" width="8.77734375" style="78"/>
  </cols>
  <sheetData>
    <row r="1" spans="1:33" s="97" customFormat="1" ht="25.8">
      <c r="A1" s="71" t="s">
        <v>813</v>
      </c>
      <c r="B1" s="72"/>
      <c r="C1" s="56"/>
      <c r="D1" s="72"/>
      <c r="E1" s="72"/>
      <c r="F1" s="72"/>
      <c r="G1" s="73"/>
      <c r="H1" s="72"/>
      <c r="I1" s="72"/>
      <c r="J1" s="72"/>
      <c r="K1" s="72"/>
      <c r="L1" s="72"/>
      <c r="M1" s="72"/>
      <c r="N1" s="72"/>
      <c r="O1" s="72"/>
      <c r="P1" s="72"/>
      <c r="Q1" s="72"/>
      <c r="R1" s="72"/>
      <c r="S1" s="72"/>
      <c r="T1" s="72"/>
      <c r="U1" s="72"/>
      <c r="V1" s="72"/>
      <c r="W1" s="72"/>
      <c r="X1" s="72"/>
      <c r="Y1" s="72"/>
      <c r="Z1" s="72"/>
      <c r="AA1" s="72"/>
      <c r="AB1" s="72"/>
      <c r="AC1" s="72"/>
      <c r="AD1" s="72"/>
      <c r="AE1" s="72"/>
      <c r="AF1" s="72"/>
      <c r="AG1" s="72"/>
    </row>
    <row r="2" spans="1:33" s="100" customFormat="1" ht="25.8">
      <c r="A2" s="71" t="s">
        <v>814</v>
      </c>
      <c r="B2" s="72"/>
      <c r="C2" s="56"/>
      <c r="D2" s="72"/>
      <c r="E2" s="72"/>
      <c r="F2" s="72"/>
      <c r="G2" s="73"/>
      <c r="H2" s="72"/>
      <c r="I2" s="72"/>
      <c r="J2" s="72"/>
      <c r="K2" s="72"/>
      <c r="L2" s="72"/>
      <c r="M2" s="72"/>
      <c r="N2" s="72"/>
      <c r="O2" s="72"/>
      <c r="P2" s="72"/>
      <c r="Q2" s="72"/>
      <c r="R2" s="72"/>
      <c r="S2" s="72"/>
      <c r="T2" s="72"/>
      <c r="U2" s="72"/>
      <c r="V2" s="72"/>
      <c r="W2" s="72"/>
      <c r="X2" s="72"/>
      <c r="Y2" s="72"/>
      <c r="Z2" s="72"/>
      <c r="AA2" s="72"/>
      <c r="AB2" s="72"/>
      <c r="AC2" s="72"/>
      <c r="AD2" s="72"/>
      <c r="AE2" s="72"/>
      <c r="AF2" s="72"/>
      <c r="AG2" s="72"/>
    </row>
    <row r="3" spans="1:33" s="100" customFormat="1">
      <c r="A3" s="74" t="s">
        <v>117</v>
      </c>
      <c r="B3" s="72" t="s">
        <v>319</v>
      </c>
      <c r="C3" s="72"/>
      <c r="D3" s="72"/>
      <c r="E3" s="72"/>
      <c r="F3" s="72"/>
      <c r="G3" s="73"/>
      <c r="H3" s="72"/>
      <c r="I3" s="72"/>
      <c r="J3" s="72"/>
      <c r="K3" s="72"/>
      <c r="L3" s="72"/>
      <c r="M3" s="72"/>
      <c r="N3" s="72"/>
      <c r="O3" s="72"/>
      <c r="P3" s="72"/>
      <c r="Q3" s="72"/>
      <c r="R3" s="72"/>
      <c r="S3" s="72"/>
      <c r="T3" s="72"/>
      <c r="U3" s="72"/>
      <c r="V3" s="72"/>
      <c r="W3" s="72"/>
      <c r="X3" s="72"/>
      <c r="Y3" s="72"/>
      <c r="Z3" s="72"/>
      <c r="AA3" s="72"/>
      <c r="AB3" s="72"/>
      <c r="AC3" s="72"/>
      <c r="AD3" s="72"/>
      <c r="AE3" s="72"/>
      <c r="AF3" s="72"/>
      <c r="AG3" s="72"/>
    </row>
    <row r="4" spans="1:33" s="101" customFormat="1">
      <c r="A4" s="74" t="s">
        <v>725</v>
      </c>
      <c r="B4" s="72" t="s">
        <v>815</v>
      </c>
      <c r="C4" s="72"/>
      <c r="D4" s="72"/>
      <c r="E4" s="72"/>
      <c r="F4" s="72"/>
      <c r="G4" s="73"/>
      <c r="H4" s="72"/>
      <c r="I4" s="72"/>
      <c r="J4" s="72"/>
      <c r="K4" s="72"/>
      <c r="L4" s="72"/>
      <c r="M4" s="72"/>
      <c r="N4" s="72"/>
      <c r="O4" s="72"/>
      <c r="P4" s="72"/>
      <c r="Q4" s="72"/>
      <c r="R4" s="72"/>
      <c r="S4" s="72"/>
      <c r="T4" s="72"/>
      <c r="U4" s="72"/>
      <c r="V4" s="72"/>
      <c r="W4" s="72"/>
      <c r="X4" s="72"/>
      <c r="Y4" s="72"/>
      <c r="Z4" s="72"/>
      <c r="AA4" s="72"/>
      <c r="AB4" s="72"/>
      <c r="AC4" s="72"/>
      <c r="AD4" s="72"/>
      <c r="AE4" s="72"/>
      <c r="AF4" s="72"/>
      <c r="AG4" s="72"/>
    </row>
    <row r="5" spans="1:33" s="97" customFormat="1">
      <c r="A5" s="72" t="s">
        <v>118</v>
      </c>
      <c r="B5" s="72" t="s">
        <v>320</v>
      </c>
      <c r="C5" s="72"/>
      <c r="D5" s="72"/>
      <c r="E5" s="72"/>
      <c r="F5" s="72"/>
      <c r="G5" s="73"/>
      <c r="H5" s="72"/>
      <c r="I5" s="72"/>
      <c r="J5" s="72"/>
      <c r="K5" s="72"/>
      <c r="L5" s="72"/>
      <c r="M5" s="72"/>
      <c r="N5" s="72"/>
      <c r="O5" s="72"/>
      <c r="P5" s="72"/>
      <c r="Q5" s="72"/>
      <c r="R5" s="72"/>
      <c r="S5" s="72"/>
      <c r="T5" s="72"/>
      <c r="U5" s="72"/>
      <c r="V5" s="72"/>
      <c r="W5" s="72"/>
      <c r="X5" s="72"/>
      <c r="Y5" s="72"/>
      <c r="Z5" s="72"/>
      <c r="AA5" s="72"/>
      <c r="AB5" s="72"/>
      <c r="AC5" s="72"/>
      <c r="AD5" s="72"/>
      <c r="AE5" s="72"/>
      <c r="AF5" s="72"/>
      <c r="AG5" s="72"/>
    </row>
    <row r="6" spans="1:33" s="97" customFormat="1">
      <c r="A6" s="72" t="s">
        <v>727</v>
      </c>
      <c r="B6" s="72" t="s">
        <v>816</v>
      </c>
      <c r="C6" s="72"/>
      <c r="D6" s="72"/>
      <c r="E6" s="72"/>
      <c r="F6" s="72"/>
      <c r="G6" s="73"/>
      <c r="H6" s="72"/>
      <c r="I6" s="72"/>
      <c r="J6" s="72"/>
      <c r="K6" s="72"/>
      <c r="L6" s="72"/>
      <c r="M6" s="72"/>
      <c r="N6" s="72"/>
      <c r="O6" s="72"/>
      <c r="P6" s="72"/>
      <c r="Q6" s="72"/>
      <c r="R6" s="72"/>
      <c r="S6" s="72"/>
      <c r="T6" s="72"/>
      <c r="U6" s="72"/>
      <c r="V6" s="72"/>
      <c r="W6" s="72"/>
      <c r="X6" s="72"/>
      <c r="Y6" s="72"/>
      <c r="Z6" s="72"/>
      <c r="AA6" s="72"/>
      <c r="AB6" s="72"/>
      <c r="AC6" s="72"/>
      <c r="AD6" s="72"/>
      <c r="AE6" s="72"/>
      <c r="AF6" s="72"/>
      <c r="AG6" s="72"/>
    </row>
    <row r="7" spans="1:33" s="100" customFormat="1">
      <c r="A7" s="78"/>
      <c r="B7" s="78"/>
      <c r="C7" s="72"/>
      <c r="D7" s="72"/>
      <c r="E7" s="72"/>
      <c r="F7" s="78"/>
      <c r="G7" s="73"/>
      <c r="H7" s="78"/>
      <c r="I7" s="78"/>
      <c r="J7" s="78"/>
      <c r="K7" s="78"/>
      <c r="L7" s="78"/>
      <c r="M7" s="78"/>
      <c r="N7" s="78"/>
      <c r="O7" s="78"/>
      <c r="P7" s="78"/>
      <c r="Q7" s="78"/>
      <c r="R7" s="78"/>
      <c r="S7" s="78"/>
      <c r="T7" s="78"/>
      <c r="U7" s="78"/>
      <c r="V7" s="78"/>
      <c r="W7" s="78"/>
      <c r="X7" s="78"/>
      <c r="Y7" s="78"/>
      <c r="Z7" s="78"/>
      <c r="AA7" s="78"/>
      <c r="AB7" s="78"/>
      <c r="AC7" s="78"/>
      <c r="AD7" s="78"/>
      <c r="AE7" s="78"/>
      <c r="AF7" s="78"/>
      <c r="AG7" s="78"/>
    </row>
    <row r="8" spans="1:33" s="100" customFormat="1">
      <c r="A8" s="103"/>
      <c r="B8" s="103"/>
      <c r="C8" s="103" t="s">
        <v>104</v>
      </c>
      <c r="D8" s="103" t="s">
        <v>654</v>
      </c>
      <c r="E8" s="103" t="s">
        <v>93</v>
      </c>
      <c r="F8" s="103" t="s">
        <v>655</v>
      </c>
      <c r="G8" s="103" t="s">
        <v>691</v>
      </c>
      <c r="H8" s="72"/>
      <c r="I8" s="72"/>
      <c r="J8" s="72"/>
      <c r="K8" s="72"/>
      <c r="L8" s="72"/>
      <c r="M8" s="72"/>
      <c r="N8" s="72"/>
      <c r="O8" s="72"/>
      <c r="P8" s="72"/>
      <c r="Q8" s="72"/>
      <c r="R8" s="72"/>
      <c r="S8" s="72"/>
      <c r="T8" s="72"/>
      <c r="U8" s="72"/>
      <c r="V8" s="72"/>
      <c r="W8" s="72"/>
      <c r="X8" s="72"/>
      <c r="Y8" s="72"/>
      <c r="Z8" s="72"/>
      <c r="AA8" s="72"/>
      <c r="AB8" s="72"/>
      <c r="AC8" s="72"/>
      <c r="AD8" s="72"/>
      <c r="AE8" s="72"/>
      <c r="AF8" s="72"/>
      <c r="AG8" s="72"/>
    </row>
    <row r="9" spans="1:33" s="101" customFormat="1">
      <c r="A9" s="110" t="s">
        <v>55</v>
      </c>
      <c r="B9" s="93"/>
      <c r="C9" s="80"/>
      <c r="D9" s="80"/>
      <c r="E9" s="80"/>
      <c r="F9" s="94"/>
      <c r="G9" s="95"/>
      <c r="H9" s="97"/>
      <c r="I9" s="97"/>
      <c r="J9" s="97"/>
      <c r="K9" s="97"/>
      <c r="L9" s="97"/>
      <c r="M9" s="97"/>
      <c r="N9" s="97"/>
      <c r="O9" s="97"/>
      <c r="P9" s="97"/>
      <c r="Q9" s="97"/>
      <c r="R9" s="97"/>
      <c r="S9" s="97"/>
      <c r="T9" s="97"/>
      <c r="U9" s="97"/>
      <c r="V9" s="97"/>
      <c r="W9" s="97"/>
      <c r="X9" s="97"/>
      <c r="Y9" s="97"/>
      <c r="Z9" s="97"/>
      <c r="AA9" s="97"/>
      <c r="AB9" s="97"/>
      <c r="AC9" s="97"/>
      <c r="AD9" s="97"/>
      <c r="AE9" s="97"/>
      <c r="AF9" s="97"/>
      <c r="AG9" s="97"/>
    </row>
    <row r="10" spans="1:33" s="97" customFormat="1" ht="27.6">
      <c r="A10" s="99" t="s">
        <v>321</v>
      </c>
      <c r="B10" s="23" t="s">
        <v>817</v>
      </c>
      <c r="C10" s="85" t="s">
        <v>323</v>
      </c>
      <c r="D10" s="85" t="s">
        <v>322</v>
      </c>
      <c r="E10" s="85" t="s">
        <v>324</v>
      </c>
      <c r="F10" s="98"/>
      <c r="G10" s="99"/>
    </row>
    <row r="11" spans="1:33" s="100" customFormat="1">
      <c r="A11" s="110" t="s">
        <v>62</v>
      </c>
      <c r="B11" s="93"/>
      <c r="C11" s="80"/>
      <c r="D11" s="80"/>
      <c r="E11" s="80"/>
      <c r="F11" s="94"/>
      <c r="G11" s="95"/>
      <c r="H11" s="97"/>
      <c r="I11" s="97"/>
      <c r="J11" s="97"/>
      <c r="K11" s="97"/>
      <c r="L11" s="97"/>
      <c r="M11" s="97"/>
      <c r="N11" s="97"/>
      <c r="O11" s="97"/>
      <c r="P11" s="97"/>
      <c r="Q11" s="97"/>
      <c r="R11" s="97"/>
      <c r="S11" s="97"/>
      <c r="T11" s="97"/>
      <c r="U11" s="97"/>
      <c r="V11" s="97"/>
      <c r="W11" s="97"/>
      <c r="X11" s="97"/>
      <c r="Y11" s="97"/>
      <c r="Z11" s="97"/>
      <c r="AA11" s="97"/>
      <c r="AB11" s="97"/>
      <c r="AC11" s="97"/>
      <c r="AD11" s="97"/>
      <c r="AE11" s="97"/>
      <c r="AF11" s="97"/>
      <c r="AG11" s="97"/>
    </row>
    <row r="12" spans="1:33" s="100" customFormat="1" ht="69">
      <c r="A12" s="99" t="s">
        <v>325</v>
      </c>
      <c r="B12" s="23" t="s">
        <v>818</v>
      </c>
      <c r="C12" s="3"/>
      <c r="D12" s="85" t="s">
        <v>819</v>
      </c>
      <c r="E12" s="85" t="s">
        <v>326</v>
      </c>
      <c r="F12" s="98"/>
      <c r="G12" s="99"/>
      <c r="H12" s="97"/>
      <c r="I12" s="97"/>
      <c r="J12" s="97"/>
      <c r="K12" s="97"/>
      <c r="L12" s="97"/>
      <c r="M12" s="97"/>
      <c r="N12" s="97"/>
      <c r="O12" s="97"/>
      <c r="P12" s="97"/>
      <c r="Q12" s="97"/>
      <c r="R12" s="97"/>
      <c r="S12" s="97"/>
      <c r="T12" s="97"/>
      <c r="U12" s="97"/>
      <c r="V12" s="97"/>
      <c r="W12" s="97"/>
      <c r="X12" s="97"/>
      <c r="Y12" s="97"/>
      <c r="Z12" s="97"/>
      <c r="AA12" s="97"/>
      <c r="AB12" s="97"/>
      <c r="AC12" s="97"/>
      <c r="AD12" s="97"/>
      <c r="AE12" s="97"/>
      <c r="AF12" s="97"/>
      <c r="AG12" s="97"/>
    </row>
    <row r="13" spans="1:33" s="101" customFormat="1" ht="69">
      <c r="A13" s="99" t="s">
        <v>327</v>
      </c>
      <c r="B13" s="23" t="s">
        <v>820</v>
      </c>
      <c r="C13" s="3"/>
      <c r="D13" s="85" t="s">
        <v>821</v>
      </c>
      <c r="E13" s="85" t="s">
        <v>328</v>
      </c>
      <c r="F13" s="98"/>
      <c r="G13" s="99"/>
      <c r="H13" s="97"/>
      <c r="I13" s="97"/>
      <c r="J13" s="97"/>
      <c r="K13" s="97"/>
      <c r="L13" s="97"/>
      <c r="M13" s="97"/>
      <c r="N13" s="97"/>
      <c r="O13" s="97"/>
      <c r="P13" s="97"/>
      <c r="Q13" s="97"/>
      <c r="R13" s="97"/>
      <c r="S13" s="97"/>
      <c r="T13" s="97"/>
      <c r="U13" s="97"/>
      <c r="V13" s="97"/>
      <c r="W13" s="97"/>
      <c r="X13" s="97"/>
      <c r="Y13" s="97"/>
      <c r="Z13" s="97"/>
      <c r="AA13" s="97"/>
      <c r="AB13" s="97"/>
      <c r="AC13" s="97"/>
      <c r="AD13" s="97"/>
      <c r="AE13" s="97"/>
      <c r="AF13" s="97"/>
      <c r="AG13" s="97"/>
    </row>
    <row r="14" spans="1:33" s="97" customFormat="1" ht="77.25" customHeight="1">
      <c r="A14" s="99" t="s">
        <v>329</v>
      </c>
      <c r="B14" s="23" t="s">
        <v>822</v>
      </c>
      <c r="C14" s="3"/>
      <c r="D14" s="85" t="s">
        <v>330</v>
      </c>
      <c r="E14" s="85" t="s">
        <v>331</v>
      </c>
      <c r="F14" s="98"/>
      <c r="G14" s="99"/>
    </row>
    <row r="15" spans="1:33" s="100" customFormat="1">
      <c r="A15" s="110" t="s">
        <v>64</v>
      </c>
      <c r="B15" s="93"/>
      <c r="C15" s="80"/>
      <c r="D15" s="80"/>
      <c r="E15" s="80"/>
      <c r="F15" s="94"/>
      <c r="G15" s="95"/>
      <c r="H15" s="97"/>
      <c r="I15" s="97"/>
      <c r="J15" s="97"/>
      <c r="K15" s="97"/>
      <c r="L15" s="97"/>
      <c r="M15" s="97"/>
      <c r="N15" s="97"/>
      <c r="O15" s="97"/>
      <c r="P15" s="97"/>
      <c r="Q15" s="97"/>
      <c r="R15" s="97"/>
      <c r="S15" s="97"/>
      <c r="T15" s="97"/>
      <c r="U15" s="97"/>
      <c r="V15" s="97"/>
      <c r="W15" s="97"/>
      <c r="X15" s="97"/>
      <c r="Y15" s="97"/>
      <c r="Z15" s="97"/>
      <c r="AA15" s="97"/>
      <c r="AB15" s="97"/>
      <c r="AC15" s="97"/>
      <c r="AD15" s="97"/>
      <c r="AE15" s="97"/>
      <c r="AF15" s="97"/>
      <c r="AG15" s="97"/>
    </row>
    <row r="16" spans="1:33" s="100" customFormat="1" ht="75.75" customHeight="1">
      <c r="A16" s="99" t="s">
        <v>332</v>
      </c>
      <c r="B16" s="23" t="s">
        <v>823</v>
      </c>
      <c r="C16" s="3"/>
      <c r="D16" s="85" t="s">
        <v>333</v>
      </c>
      <c r="E16" s="85" t="s">
        <v>334</v>
      </c>
      <c r="F16" s="98"/>
      <c r="G16" s="99"/>
      <c r="H16" s="97"/>
      <c r="I16" s="97"/>
      <c r="J16" s="97"/>
      <c r="K16" s="97"/>
      <c r="L16" s="97"/>
      <c r="M16" s="97"/>
      <c r="N16" s="97"/>
      <c r="O16" s="97"/>
      <c r="P16" s="97"/>
      <c r="Q16" s="97"/>
      <c r="R16" s="97"/>
      <c r="S16" s="97"/>
      <c r="T16" s="97"/>
      <c r="U16" s="97"/>
      <c r="V16" s="97"/>
      <c r="W16" s="97"/>
      <c r="X16" s="97"/>
      <c r="Y16" s="97"/>
      <c r="Z16" s="97"/>
      <c r="AA16" s="97"/>
      <c r="AB16" s="97"/>
      <c r="AC16" s="97"/>
      <c r="AD16" s="97"/>
      <c r="AE16" s="97"/>
      <c r="AF16" s="97"/>
      <c r="AG16" s="97"/>
    </row>
    <row r="17" spans="1:33" s="100" customFormat="1" ht="110.4">
      <c r="A17" s="99" t="s">
        <v>335</v>
      </c>
      <c r="B17" s="23" t="s">
        <v>824</v>
      </c>
      <c r="C17" s="3"/>
      <c r="D17" s="85" t="s">
        <v>825</v>
      </c>
      <c r="E17" s="85" t="s">
        <v>336</v>
      </c>
      <c r="F17" s="98"/>
      <c r="G17" s="99"/>
      <c r="H17" s="97"/>
      <c r="I17" s="97"/>
      <c r="J17" s="97"/>
      <c r="K17" s="97"/>
      <c r="L17" s="97"/>
      <c r="M17" s="97"/>
      <c r="N17" s="97"/>
      <c r="O17" s="97"/>
      <c r="P17" s="97"/>
      <c r="Q17" s="97"/>
      <c r="R17" s="97"/>
      <c r="S17" s="97"/>
      <c r="T17" s="97"/>
      <c r="U17" s="97"/>
      <c r="V17" s="97"/>
      <c r="W17" s="97"/>
      <c r="X17" s="97"/>
      <c r="Y17" s="97"/>
      <c r="Z17" s="97"/>
      <c r="AA17" s="97"/>
      <c r="AB17" s="97"/>
      <c r="AC17" s="97"/>
      <c r="AD17" s="97"/>
      <c r="AE17" s="97"/>
      <c r="AF17" s="97"/>
      <c r="AG17" s="97"/>
    </row>
    <row r="18" spans="1:33" s="101" customFormat="1" ht="82.8">
      <c r="A18" s="99" t="s">
        <v>337</v>
      </c>
      <c r="B18" s="23" t="s">
        <v>826</v>
      </c>
      <c r="C18" s="85" t="s">
        <v>338</v>
      </c>
      <c r="D18" s="85" t="s">
        <v>827</v>
      </c>
      <c r="E18" s="85" t="s">
        <v>339</v>
      </c>
      <c r="F18" s="98"/>
      <c r="G18" s="99"/>
      <c r="H18" s="97"/>
      <c r="I18" s="97"/>
      <c r="J18" s="97"/>
      <c r="K18" s="97"/>
      <c r="L18" s="97"/>
      <c r="M18" s="97"/>
      <c r="N18" s="97"/>
      <c r="O18" s="97"/>
      <c r="P18" s="97"/>
      <c r="Q18" s="97"/>
      <c r="R18" s="97"/>
      <c r="S18" s="97"/>
      <c r="T18" s="97"/>
      <c r="U18" s="97"/>
      <c r="V18" s="97"/>
      <c r="W18" s="97"/>
      <c r="X18" s="97"/>
      <c r="Y18" s="97"/>
      <c r="Z18" s="97"/>
      <c r="AA18" s="97"/>
      <c r="AB18" s="97"/>
      <c r="AC18" s="97"/>
      <c r="AD18" s="97"/>
      <c r="AE18" s="97"/>
      <c r="AF18" s="97"/>
      <c r="AG18" s="97"/>
    </row>
    <row r="19" spans="1:33" s="97" customFormat="1" ht="27.6">
      <c r="A19" s="99" t="s">
        <v>340</v>
      </c>
      <c r="B19" s="23" t="s">
        <v>828</v>
      </c>
      <c r="C19" s="3"/>
      <c r="D19" s="3"/>
      <c r="E19" s="85" t="s">
        <v>341</v>
      </c>
      <c r="F19" s="98"/>
      <c r="G19" s="99"/>
    </row>
    <row r="20" spans="1:33" s="100" customFormat="1" ht="27.6">
      <c r="A20" s="99" t="s">
        <v>342</v>
      </c>
      <c r="B20" s="23" t="s">
        <v>829</v>
      </c>
      <c r="C20" s="3"/>
      <c r="D20" s="3"/>
      <c r="E20" s="85" t="s">
        <v>339</v>
      </c>
      <c r="F20" s="98"/>
      <c r="G20" s="99"/>
      <c r="H20" s="97"/>
      <c r="I20" s="97"/>
      <c r="J20" s="97"/>
      <c r="K20" s="97"/>
      <c r="L20" s="97"/>
      <c r="M20" s="97"/>
      <c r="N20" s="97"/>
      <c r="O20" s="97"/>
      <c r="P20" s="97"/>
      <c r="Q20" s="97"/>
      <c r="R20" s="97"/>
      <c r="S20" s="97"/>
      <c r="T20" s="97"/>
      <c r="U20" s="97"/>
      <c r="V20" s="97"/>
      <c r="W20" s="97"/>
      <c r="X20" s="97"/>
      <c r="Y20" s="97"/>
      <c r="Z20" s="97"/>
      <c r="AA20" s="97"/>
      <c r="AB20" s="97"/>
      <c r="AC20" s="97"/>
      <c r="AD20" s="97"/>
      <c r="AE20" s="97"/>
      <c r="AF20" s="97"/>
      <c r="AG20" s="97"/>
    </row>
    <row r="21" spans="1:33" s="100" customFormat="1" ht="27.6">
      <c r="A21" s="99" t="s">
        <v>343</v>
      </c>
      <c r="B21" s="23" t="s">
        <v>830</v>
      </c>
      <c r="C21" s="3"/>
      <c r="D21" s="3"/>
      <c r="E21" s="85" t="s">
        <v>344</v>
      </c>
      <c r="F21" s="98"/>
      <c r="G21" s="99"/>
      <c r="H21" s="97"/>
      <c r="I21" s="97"/>
      <c r="J21" s="97"/>
      <c r="K21" s="97"/>
      <c r="L21" s="97"/>
      <c r="M21" s="97"/>
      <c r="N21" s="97"/>
      <c r="O21" s="97"/>
      <c r="P21" s="97"/>
      <c r="Q21" s="97"/>
      <c r="R21" s="97"/>
      <c r="S21" s="97"/>
      <c r="T21" s="97"/>
      <c r="U21" s="97"/>
      <c r="V21" s="97"/>
      <c r="W21" s="97"/>
      <c r="X21" s="97"/>
      <c r="Y21" s="97"/>
      <c r="Z21" s="97"/>
      <c r="AA21" s="97"/>
      <c r="AB21" s="97"/>
      <c r="AC21" s="97"/>
      <c r="AD21" s="97"/>
      <c r="AE21" s="97"/>
      <c r="AF21" s="97"/>
      <c r="AG21" s="97"/>
    </row>
    <row r="22" spans="1:33" s="101" customFormat="1" ht="27.6">
      <c r="A22" s="99" t="s">
        <v>345</v>
      </c>
      <c r="B22" s="23" t="s">
        <v>831</v>
      </c>
      <c r="C22" s="3"/>
      <c r="D22" s="3"/>
      <c r="E22" s="85" t="s">
        <v>346</v>
      </c>
      <c r="F22" s="98"/>
      <c r="G22" s="99"/>
      <c r="H22" s="97"/>
      <c r="I22" s="97"/>
      <c r="J22" s="97"/>
      <c r="K22" s="97"/>
      <c r="L22" s="97"/>
      <c r="M22" s="97"/>
      <c r="N22" s="97"/>
      <c r="O22" s="97"/>
      <c r="P22" s="97"/>
      <c r="Q22" s="97"/>
      <c r="R22" s="97"/>
      <c r="S22" s="97"/>
      <c r="T22" s="97"/>
      <c r="U22" s="97"/>
      <c r="V22" s="97"/>
      <c r="W22" s="97"/>
      <c r="X22" s="97"/>
      <c r="Y22" s="97"/>
      <c r="Z22" s="97"/>
      <c r="AA22" s="97"/>
      <c r="AB22" s="97"/>
      <c r="AC22" s="97"/>
      <c r="AD22" s="97"/>
      <c r="AE22" s="97"/>
      <c r="AF22" s="97"/>
      <c r="AG22" s="97"/>
    </row>
    <row r="23" spans="1:33">
      <c r="A23" s="111"/>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F17C8D-648F-4FE3-95AD-163F4C4C7F51}">
  <sheetPr codeName="Sheet16">
    <tabColor rgb="FF008050"/>
  </sheetPr>
  <dimension ref="A1:R64"/>
  <sheetViews>
    <sheetView workbookViewId="0">
      <pane xSplit="2" ySplit="8" topLeftCell="E9" activePane="bottomRight" state="frozen"/>
      <selection activeCell="I11" sqref="I11:J14"/>
      <selection pane="topRight" activeCell="I11" sqref="I11:J14"/>
      <selection pane="bottomLeft" activeCell="I11" sqref="I11:J14"/>
      <selection pane="bottomRight" activeCell="I11" sqref="I11:J14"/>
    </sheetView>
    <sheetView workbookViewId="1">
      <selection activeCell="A10" sqref="A10:E17"/>
    </sheetView>
  </sheetViews>
  <sheetFormatPr defaultColWidth="8.77734375" defaultRowHeight="13.8"/>
  <cols>
    <col min="1" max="1" width="10.21875" style="78" customWidth="1"/>
    <col min="2" max="2" width="46.77734375" style="78" customWidth="1"/>
    <col min="3" max="4" width="21.44140625" style="78" customWidth="1"/>
    <col min="5" max="5" width="43.77734375" style="78" customWidth="1"/>
    <col min="6" max="6" width="56.44140625" style="78" customWidth="1"/>
    <col min="7" max="7" width="21.44140625" style="73" customWidth="1"/>
    <col min="8" max="9" width="8.77734375" style="72" customWidth="1"/>
    <col min="10" max="10" width="8.77734375" style="73" customWidth="1"/>
    <col min="11" max="11" width="8.77734375" style="73"/>
    <col min="12" max="12" width="8.77734375" style="72"/>
    <col min="13" max="18" width="8.77734375" style="73"/>
    <col min="19" max="16384" width="8.77734375" style="78"/>
  </cols>
  <sheetData>
    <row r="1" spans="1:18" s="101" customFormat="1" ht="25.8">
      <c r="A1" s="71" t="s">
        <v>427</v>
      </c>
      <c r="B1" s="72"/>
      <c r="C1" s="56"/>
      <c r="D1" s="72"/>
      <c r="E1" s="72"/>
      <c r="F1" s="72"/>
      <c r="G1" s="73"/>
      <c r="H1" s="72"/>
      <c r="I1" s="72"/>
      <c r="J1" s="73"/>
      <c r="K1" s="73"/>
      <c r="L1" s="72"/>
      <c r="M1" s="73"/>
      <c r="N1" s="73"/>
      <c r="O1" s="73"/>
      <c r="P1" s="73"/>
      <c r="Q1" s="73"/>
      <c r="R1" s="73"/>
    </row>
    <row r="2" spans="1:18" s="97" customFormat="1" ht="25.8">
      <c r="A2" s="71" t="s">
        <v>832</v>
      </c>
      <c r="B2" s="72"/>
      <c r="C2" s="56"/>
      <c r="D2" s="72"/>
      <c r="E2" s="72"/>
      <c r="F2" s="72"/>
      <c r="G2" s="73"/>
      <c r="H2" s="72"/>
      <c r="I2" s="72"/>
      <c r="J2" s="73"/>
      <c r="K2" s="73"/>
      <c r="L2" s="72"/>
      <c r="M2" s="73"/>
      <c r="N2" s="73"/>
      <c r="O2" s="73"/>
      <c r="P2" s="73"/>
      <c r="Q2" s="73"/>
      <c r="R2" s="73"/>
    </row>
    <row r="3" spans="1:18" s="97" customFormat="1">
      <c r="A3" s="74" t="s">
        <v>650</v>
      </c>
      <c r="B3" s="72" t="s">
        <v>833</v>
      </c>
      <c r="C3" s="72"/>
      <c r="D3" s="72"/>
      <c r="E3" s="72"/>
      <c r="F3" s="72"/>
      <c r="G3" s="73"/>
      <c r="H3" s="72"/>
      <c r="I3" s="72"/>
      <c r="J3" s="73"/>
      <c r="K3" s="73"/>
      <c r="L3" s="72"/>
      <c r="M3" s="73"/>
      <c r="N3" s="73"/>
      <c r="O3" s="73"/>
      <c r="P3" s="73"/>
      <c r="Q3" s="73"/>
      <c r="R3" s="73"/>
    </row>
    <row r="4" spans="1:18" s="100" customFormat="1">
      <c r="A4" s="74" t="s">
        <v>644</v>
      </c>
      <c r="B4" s="72" t="s">
        <v>834</v>
      </c>
      <c r="C4" s="72"/>
      <c r="D4" s="72"/>
      <c r="E4" s="72"/>
      <c r="F4" s="72"/>
      <c r="G4" s="73"/>
      <c r="H4" s="72"/>
      <c r="I4" s="72"/>
      <c r="J4" s="73"/>
      <c r="K4" s="73"/>
      <c r="L4" s="72"/>
      <c r="M4" s="73"/>
      <c r="N4" s="73"/>
      <c r="O4" s="73"/>
      <c r="P4" s="73"/>
      <c r="Q4" s="73"/>
      <c r="R4" s="73"/>
    </row>
    <row r="5" spans="1:18" s="100" customFormat="1">
      <c r="A5" s="72" t="s">
        <v>652</v>
      </c>
      <c r="B5" s="72" t="s">
        <v>835</v>
      </c>
      <c r="C5" s="72"/>
      <c r="D5" s="72"/>
      <c r="E5" s="72"/>
      <c r="F5" s="72"/>
      <c r="G5" s="73"/>
      <c r="H5" s="72"/>
      <c r="I5" s="72"/>
      <c r="J5" s="73"/>
      <c r="K5" s="73"/>
      <c r="L5" s="72"/>
      <c r="M5" s="73"/>
      <c r="N5" s="73"/>
      <c r="O5" s="73"/>
      <c r="P5" s="73"/>
      <c r="Q5" s="73"/>
      <c r="R5" s="73"/>
    </row>
    <row r="6" spans="1:18" s="101" customFormat="1">
      <c r="A6" s="72" t="s">
        <v>648</v>
      </c>
      <c r="B6" s="72" t="s">
        <v>836</v>
      </c>
      <c r="C6" s="72"/>
      <c r="D6" s="72"/>
      <c r="E6" s="72"/>
      <c r="F6" s="72"/>
      <c r="G6" s="73"/>
      <c r="H6" s="72"/>
      <c r="I6" s="72"/>
      <c r="J6" s="73"/>
      <c r="K6" s="73"/>
      <c r="L6" s="72"/>
      <c r="M6" s="73"/>
      <c r="N6" s="73"/>
      <c r="O6" s="73"/>
      <c r="P6" s="73"/>
      <c r="Q6" s="73"/>
      <c r="R6" s="73"/>
    </row>
    <row r="7" spans="1:18" s="97" customFormat="1">
      <c r="A7" s="78"/>
      <c r="B7" s="78"/>
      <c r="C7" s="78"/>
      <c r="D7" s="78"/>
      <c r="E7" s="72"/>
      <c r="F7" s="72"/>
      <c r="G7" s="112" t="e">
        <f>#REF!</f>
        <v>#REF!</v>
      </c>
      <c r="H7" s="72"/>
      <c r="I7" s="72"/>
      <c r="J7" s="73"/>
      <c r="K7" s="73"/>
      <c r="L7" s="72"/>
      <c r="M7" s="73"/>
      <c r="N7" s="73"/>
      <c r="O7" s="73"/>
      <c r="P7" s="73"/>
      <c r="Q7" s="73"/>
      <c r="R7" s="73"/>
    </row>
    <row r="8" spans="1:18" s="100" customFormat="1">
      <c r="A8" s="103"/>
      <c r="B8" s="103"/>
      <c r="C8" s="103" t="s">
        <v>104</v>
      </c>
      <c r="D8" s="103" t="s">
        <v>654</v>
      </c>
      <c r="E8" s="103" t="s">
        <v>93</v>
      </c>
      <c r="F8" s="103"/>
      <c r="G8" s="103" t="s">
        <v>691</v>
      </c>
      <c r="H8" s="72"/>
      <c r="I8" s="72"/>
      <c r="J8" s="72"/>
      <c r="K8" s="72"/>
      <c r="L8" s="72"/>
      <c r="M8" s="72"/>
      <c r="N8" s="72"/>
      <c r="O8" s="72"/>
      <c r="P8" s="72"/>
      <c r="Q8" s="72"/>
      <c r="R8" s="72"/>
    </row>
    <row r="9" spans="1:18" s="100" customFormat="1">
      <c r="A9" s="93" t="s">
        <v>55</v>
      </c>
      <c r="B9" s="93"/>
      <c r="C9" s="94"/>
      <c r="D9" s="94"/>
      <c r="E9" s="94"/>
      <c r="F9" s="94"/>
      <c r="G9" s="95"/>
      <c r="H9" s="72"/>
      <c r="I9" s="72"/>
      <c r="J9" s="96"/>
      <c r="K9" s="96"/>
      <c r="L9" s="72"/>
      <c r="M9" s="96"/>
      <c r="N9" s="96"/>
      <c r="O9" s="96"/>
      <c r="P9" s="96"/>
      <c r="Q9" s="96"/>
      <c r="R9" s="96"/>
    </row>
    <row r="10" spans="1:18" s="101" customFormat="1" ht="41.4">
      <c r="A10" s="23" t="s">
        <v>428</v>
      </c>
      <c r="B10" s="23" t="s">
        <v>837</v>
      </c>
      <c r="C10" s="98" t="s">
        <v>429</v>
      </c>
      <c r="D10" s="98" t="s">
        <v>838</v>
      </c>
      <c r="E10" s="98" t="s">
        <v>430</v>
      </c>
      <c r="F10" s="98"/>
      <c r="G10" s="99"/>
      <c r="H10" s="84"/>
      <c r="I10" s="72"/>
      <c r="J10" s="96"/>
      <c r="K10" s="96"/>
      <c r="L10" s="72"/>
      <c r="M10" s="96"/>
      <c r="N10" s="96"/>
      <c r="O10" s="96"/>
      <c r="P10" s="96"/>
      <c r="Q10" s="96"/>
      <c r="R10" s="96"/>
    </row>
    <row r="11" spans="1:18" s="97" customFormat="1">
      <c r="A11" s="93" t="s">
        <v>62</v>
      </c>
      <c r="B11" s="93"/>
      <c r="C11" s="94"/>
      <c r="D11" s="94"/>
      <c r="E11" s="94" t="s">
        <v>839</v>
      </c>
      <c r="F11" s="94"/>
      <c r="G11" s="95"/>
      <c r="H11" s="72"/>
      <c r="I11" s="72"/>
      <c r="J11" s="96"/>
      <c r="K11" s="96"/>
      <c r="L11" s="72"/>
      <c r="M11" s="96"/>
      <c r="N11" s="96"/>
      <c r="O11" s="96"/>
      <c r="P11" s="96"/>
      <c r="Q11" s="96"/>
      <c r="R11" s="96"/>
    </row>
    <row r="12" spans="1:18" s="100" customFormat="1" ht="41.4">
      <c r="A12" s="23" t="s">
        <v>431</v>
      </c>
      <c r="B12" s="23" t="s">
        <v>840</v>
      </c>
      <c r="C12" s="98" t="s">
        <v>432</v>
      </c>
      <c r="D12" s="98" t="s">
        <v>841</v>
      </c>
      <c r="E12" s="98" t="s">
        <v>433</v>
      </c>
      <c r="F12" s="98"/>
      <c r="G12" s="99"/>
      <c r="H12" s="72"/>
      <c r="I12" s="72"/>
      <c r="J12" s="96"/>
      <c r="K12" s="96"/>
      <c r="L12" s="72"/>
      <c r="M12" s="96"/>
      <c r="N12" s="96"/>
      <c r="O12" s="96"/>
      <c r="P12" s="96"/>
      <c r="Q12" s="96"/>
      <c r="R12" s="96"/>
    </row>
    <row r="13" spans="1:18" s="101" customFormat="1" ht="69">
      <c r="A13" s="23" t="s">
        <v>434</v>
      </c>
      <c r="B13" s="23" t="s">
        <v>842</v>
      </c>
      <c r="C13" s="98" t="s">
        <v>436</v>
      </c>
      <c r="D13" s="98" t="s">
        <v>435</v>
      </c>
      <c r="E13" s="98" t="s">
        <v>437</v>
      </c>
      <c r="F13" s="98"/>
      <c r="G13" s="99"/>
      <c r="H13" s="72"/>
      <c r="I13" s="113"/>
      <c r="J13" s="96"/>
      <c r="K13" s="96"/>
      <c r="L13" s="72"/>
      <c r="M13" s="96"/>
      <c r="N13" s="96"/>
      <c r="O13" s="96"/>
      <c r="P13" s="96"/>
      <c r="Q13" s="96"/>
      <c r="R13" s="96"/>
    </row>
    <row r="14" spans="1:18" s="97" customFormat="1" ht="82.8">
      <c r="A14" s="23" t="s">
        <v>438</v>
      </c>
      <c r="B14" s="23" t="s">
        <v>843</v>
      </c>
      <c r="C14" s="98" t="s">
        <v>439</v>
      </c>
      <c r="D14" s="98" t="s">
        <v>844</v>
      </c>
      <c r="E14" s="98" t="s">
        <v>440</v>
      </c>
      <c r="F14" s="98"/>
      <c r="G14" s="99"/>
      <c r="H14" s="72"/>
      <c r="I14" s="72"/>
      <c r="J14" s="96"/>
      <c r="K14" s="96"/>
      <c r="L14" s="72"/>
      <c r="M14" s="96"/>
      <c r="N14" s="96"/>
      <c r="O14" s="96"/>
      <c r="P14" s="96"/>
      <c r="Q14" s="96"/>
      <c r="R14" s="96"/>
    </row>
    <row r="15" spans="1:18" s="100" customFormat="1">
      <c r="A15" s="93" t="s">
        <v>64</v>
      </c>
      <c r="B15" s="93"/>
      <c r="C15" s="94"/>
      <c r="D15" s="94"/>
      <c r="E15" s="94" t="s">
        <v>839</v>
      </c>
      <c r="F15" s="94"/>
      <c r="G15" s="95"/>
      <c r="H15" s="72"/>
      <c r="I15" s="72"/>
      <c r="J15" s="96"/>
      <c r="K15" s="96"/>
      <c r="L15" s="72"/>
      <c r="M15" s="96"/>
      <c r="N15" s="96"/>
      <c r="O15" s="96"/>
      <c r="P15" s="96"/>
      <c r="Q15" s="96"/>
      <c r="R15" s="96"/>
    </row>
    <row r="16" spans="1:18" s="100" customFormat="1" ht="41.4">
      <c r="A16" s="23" t="s">
        <v>441</v>
      </c>
      <c r="B16" s="23" t="s">
        <v>845</v>
      </c>
      <c r="C16" s="23"/>
      <c r="D16" s="98" t="s">
        <v>442</v>
      </c>
      <c r="E16" s="98" t="s">
        <v>443</v>
      </c>
      <c r="F16" s="98"/>
      <c r="G16" s="99"/>
      <c r="H16" s="72"/>
      <c r="I16" s="72"/>
      <c r="J16" s="96"/>
      <c r="K16" s="96"/>
      <c r="L16" s="72"/>
      <c r="M16" s="96"/>
      <c r="N16" s="96"/>
      <c r="O16" s="96"/>
      <c r="P16" s="96"/>
      <c r="Q16" s="96"/>
      <c r="R16" s="96"/>
    </row>
    <row r="17" spans="1:18" s="101" customFormat="1" ht="96.6">
      <c r="A17" s="23" t="s">
        <v>444</v>
      </c>
      <c r="B17" s="23" t="s">
        <v>846</v>
      </c>
      <c r="C17" s="98" t="s">
        <v>446</v>
      </c>
      <c r="D17" s="98" t="s">
        <v>445</v>
      </c>
      <c r="E17" s="98" t="s">
        <v>447</v>
      </c>
      <c r="F17" s="98"/>
      <c r="G17" s="99"/>
      <c r="H17" s="72"/>
      <c r="I17" s="72"/>
      <c r="J17" s="96"/>
      <c r="K17" s="96"/>
      <c r="L17" s="72"/>
      <c r="M17" s="96"/>
      <c r="N17" s="96"/>
      <c r="O17" s="96"/>
      <c r="P17" s="96"/>
      <c r="Q17" s="96"/>
      <c r="R17" s="96"/>
    </row>
    <row r="18" spans="1:18" s="90" customFormat="1">
      <c r="G18" s="73"/>
      <c r="H18" s="72"/>
      <c r="I18" s="72"/>
      <c r="J18" s="73"/>
      <c r="K18" s="73"/>
      <c r="L18" s="72"/>
      <c r="M18" s="73"/>
      <c r="N18" s="73"/>
      <c r="O18" s="73"/>
      <c r="P18" s="73"/>
      <c r="Q18" s="73"/>
      <c r="R18" s="73"/>
    </row>
    <row r="19" spans="1:18" s="90" customFormat="1">
      <c r="G19" s="73"/>
      <c r="H19" s="72"/>
      <c r="I19" s="72"/>
      <c r="J19" s="73"/>
      <c r="K19" s="73"/>
      <c r="L19" s="72"/>
      <c r="M19" s="73"/>
      <c r="N19" s="73"/>
      <c r="O19" s="73"/>
      <c r="P19" s="73"/>
      <c r="Q19" s="73"/>
      <c r="R19" s="73"/>
    </row>
    <row r="20" spans="1:18" s="90" customFormat="1">
      <c r="G20" s="73"/>
      <c r="H20" s="72"/>
      <c r="I20" s="72"/>
      <c r="J20" s="73"/>
      <c r="K20" s="73"/>
      <c r="L20" s="72"/>
      <c r="M20" s="73"/>
      <c r="N20" s="73"/>
      <c r="O20" s="73"/>
      <c r="P20" s="73"/>
      <c r="Q20" s="73"/>
      <c r="R20" s="73"/>
    </row>
    <row r="21" spans="1:18" s="90" customFormat="1">
      <c r="G21" s="73"/>
      <c r="H21" s="72"/>
      <c r="I21" s="72"/>
      <c r="J21" s="73"/>
      <c r="K21" s="73"/>
      <c r="L21" s="72"/>
      <c r="M21" s="73"/>
      <c r="N21" s="73"/>
      <c r="O21" s="73"/>
      <c r="P21" s="73"/>
      <c r="Q21" s="73"/>
      <c r="R21" s="73"/>
    </row>
    <row r="22" spans="1:18" s="90" customFormat="1">
      <c r="G22" s="73"/>
      <c r="H22" s="72"/>
      <c r="I22" s="72"/>
      <c r="J22" s="73"/>
      <c r="K22" s="73"/>
      <c r="L22" s="72"/>
      <c r="M22" s="73"/>
      <c r="N22" s="73"/>
      <c r="O22" s="73"/>
      <c r="P22" s="73"/>
      <c r="Q22" s="73"/>
      <c r="R22" s="73"/>
    </row>
    <row r="23" spans="1:18" s="90" customFormat="1">
      <c r="G23" s="73"/>
      <c r="H23" s="72"/>
      <c r="I23" s="72"/>
      <c r="J23" s="73"/>
      <c r="K23" s="73"/>
      <c r="L23" s="72"/>
      <c r="M23" s="73"/>
      <c r="N23" s="73"/>
      <c r="O23" s="73"/>
      <c r="P23" s="73"/>
      <c r="Q23" s="73"/>
      <c r="R23" s="73"/>
    </row>
    <row r="24" spans="1:18" s="90" customFormat="1">
      <c r="G24" s="73"/>
      <c r="H24" s="72"/>
      <c r="I24" s="72"/>
      <c r="J24" s="73"/>
      <c r="K24" s="73"/>
      <c r="L24" s="72"/>
      <c r="M24" s="73"/>
      <c r="N24" s="73"/>
      <c r="O24" s="73"/>
      <c r="P24" s="73"/>
      <c r="Q24" s="73"/>
      <c r="R24" s="73"/>
    </row>
    <row r="25" spans="1:18" s="90" customFormat="1">
      <c r="G25" s="73"/>
      <c r="H25" s="72"/>
      <c r="I25" s="72"/>
      <c r="J25" s="73"/>
      <c r="K25" s="73"/>
      <c r="L25" s="72"/>
      <c r="M25" s="73"/>
      <c r="N25" s="73"/>
      <c r="O25" s="73"/>
      <c r="P25" s="73"/>
      <c r="Q25" s="73"/>
      <c r="R25" s="73"/>
    </row>
    <row r="26" spans="1:18" s="90" customFormat="1">
      <c r="G26" s="73"/>
      <c r="H26" s="72"/>
      <c r="I26" s="72"/>
      <c r="J26" s="73"/>
      <c r="K26" s="73"/>
      <c r="L26" s="72"/>
      <c r="M26" s="73"/>
      <c r="N26" s="73"/>
      <c r="O26" s="73"/>
      <c r="P26" s="73"/>
      <c r="Q26" s="73"/>
      <c r="R26" s="73"/>
    </row>
    <row r="27" spans="1:18" s="90" customFormat="1">
      <c r="G27" s="73"/>
      <c r="H27" s="72"/>
      <c r="I27" s="72"/>
      <c r="J27" s="73"/>
      <c r="K27" s="73"/>
      <c r="L27" s="72"/>
      <c r="M27" s="73"/>
      <c r="N27" s="73"/>
      <c r="O27" s="73"/>
      <c r="P27" s="73"/>
      <c r="Q27" s="73"/>
      <c r="R27" s="73"/>
    </row>
    <row r="28" spans="1:18" s="90" customFormat="1">
      <c r="G28" s="73"/>
      <c r="H28" s="72"/>
      <c r="I28" s="72"/>
      <c r="J28" s="73"/>
      <c r="K28" s="73"/>
      <c r="L28" s="72"/>
      <c r="M28" s="73"/>
      <c r="N28" s="73"/>
      <c r="O28" s="73"/>
      <c r="P28" s="73"/>
      <c r="Q28" s="73"/>
      <c r="R28" s="73"/>
    </row>
    <row r="29" spans="1:18" s="90" customFormat="1">
      <c r="G29" s="73"/>
      <c r="H29" s="72"/>
      <c r="I29" s="72"/>
      <c r="J29" s="73"/>
      <c r="K29" s="73"/>
      <c r="L29" s="72"/>
      <c r="M29" s="73"/>
      <c r="N29" s="73"/>
      <c r="O29" s="73"/>
      <c r="P29" s="73"/>
      <c r="Q29" s="73"/>
      <c r="R29" s="73"/>
    </row>
    <row r="30" spans="1:18" s="90" customFormat="1">
      <c r="G30" s="73"/>
      <c r="H30" s="72"/>
      <c r="I30" s="72"/>
      <c r="J30" s="73"/>
      <c r="K30" s="73"/>
      <c r="L30" s="72"/>
      <c r="M30" s="73"/>
      <c r="N30" s="73"/>
      <c r="O30" s="73"/>
      <c r="P30" s="73"/>
      <c r="Q30" s="73"/>
      <c r="R30" s="73"/>
    </row>
    <row r="31" spans="1:18" s="90" customFormat="1">
      <c r="G31" s="73"/>
      <c r="H31" s="72"/>
      <c r="I31" s="72"/>
      <c r="J31" s="73"/>
      <c r="K31" s="73"/>
      <c r="L31" s="72"/>
      <c r="M31" s="73"/>
      <c r="N31" s="73"/>
      <c r="O31" s="73"/>
      <c r="P31" s="73"/>
      <c r="Q31" s="73"/>
      <c r="R31" s="73"/>
    </row>
    <row r="32" spans="1:18" s="90" customFormat="1">
      <c r="G32" s="73"/>
      <c r="H32" s="72"/>
      <c r="I32" s="72"/>
      <c r="J32" s="73"/>
      <c r="K32" s="73"/>
      <c r="L32" s="72"/>
      <c r="M32" s="73"/>
      <c r="N32" s="73"/>
      <c r="O32" s="73"/>
      <c r="P32" s="73"/>
      <c r="Q32" s="73"/>
      <c r="R32" s="73"/>
    </row>
    <row r="33" spans="7:18" s="90" customFormat="1">
      <c r="G33" s="73"/>
      <c r="H33" s="72"/>
      <c r="I33" s="72"/>
      <c r="J33" s="73"/>
      <c r="K33" s="73"/>
      <c r="L33" s="72"/>
      <c r="M33" s="73"/>
      <c r="N33" s="73"/>
      <c r="O33" s="73"/>
      <c r="P33" s="73"/>
      <c r="Q33" s="73"/>
      <c r="R33" s="73"/>
    </row>
    <row r="34" spans="7:18" s="90" customFormat="1">
      <c r="G34" s="73"/>
      <c r="H34" s="72"/>
      <c r="I34" s="72"/>
      <c r="J34" s="73"/>
      <c r="K34" s="73"/>
      <c r="L34" s="72"/>
      <c r="M34" s="73"/>
      <c r="N34" s="73"/>
      <c r="O34" s="73"/>
      <c r="P34" s="73"/>
      <c r="Q34" s="73"/>
      <c r="R34" s="73"/>
    </row>
    <row r="35" spans="7:18" s="90" customFormat="1">
      <c r="G35" s="73"/>
      <c r="H35" s="72"/>
      <c r="I35" s="72"/>
      <c r="J35" s="73"/>
      <c r="K35" s="73"/>
      <c r="L35" s="72"/>
      <c r="M35" s="73"/>
      <c r="N35" s="73"/>
      <c r="O35" s="73"/>
      <c r="P35" s="73"/>
      <c r="Q35" s="73"/>
      <c r="R35" s="73"/>
    </row>
    <row r="36" spans="7:18" s="90" customFormat="1">
      <c r="G36" s="73"/>
      <c r="H36" s="72"/>
      <c r="I36" s="72"/>
      <c r="J36" s="73"/>
      <c r="K36" s="73"/>
      <c r="L36" s="72"/>
      <c r="M36" s="73"/>
      <c r="N36" s="73"/>
      <c r="O36" s="73"/>
      <c r="P36" s="73"/>
      <c r="Q36" s="73"/>
      <c r="R36" s="73"/>
    </row>
    <row r="37" spans="7:18" s="90" customFormat="1">
      <c r="G37" s="73"/>
      <c r="H37" s="72"/>
      <c r="I37" s="72"/>
      <c r="J37" s="73"/>
      <c r="K37" s="73"/>
      <c r="L37" s="72"/>
      <c r="M37" s="73"/>
      <c r="N37" s="73"/>
      <c r="O37" s="73"/>
      <c r="P37" s="73"/>
      <c r="Q37" s="73"/>
      <c r="R37" s="73"/>
    </row>
    <row r="38" spans="7:18" s="90" customFormat="1">
      <c r="G38" s="73"/>
      <c r="H38" s="72"/>
      <c r="I38" s="72"/>
      <c r="J38" s="73"/>
      <c r="K38" s="73"/>
      <c r="L38" s="72"/>
      <c r="M38" s="73"/>
      <c r="N38" s="73"/>
      <c r="O38" s="73"/>
      <c r="P38" s="73"/>
      <c r="Q38" s="73"/>
      <c r="R38" s="73"/>
    </row>
    <row r="39" spans="7:18" s="90" customFormat="1">
      <c r="G39" s="73"/>
      <c r="H39" s="72"/>
      <c r="I39" s="72"/>
      <c r="J39" s="73"/>
      <c r="K39" s="73"/>
      <c r="L39" s="72"/>
      <c r="M39" s="73"/>
      <c r="N39" s="73"/>
      <c r="O39" s="73"/>
      <c r="P39" s="73"/>
      <c r="Q39" s="73"/>
      <c r="R39" s="73"/>
    </row>
    <row r="40" spans="7:18" s="90" customFormat="1">
      <c r="G40" s="73"/>
      <c r="H40" s="72"/>
      <c r="I40" s="72"/>
      <c r="J40" s="73"/>
      <c r="K40" s="73"/>
      <c r="L40" s="72"/>
      <c r="M40" s="73"/>
      <c r="N40" s="73"/>
      <c r="O40" s="73"/>
      <c r="P40" s="73"/>
      <c r="Q40" s="73"/>
      <c r="R40" s="73"/>
    </row>
    <row r="41" spans="7:18" s="90" customFormat="1">
      <c r="G41" s="73"/>
      <c r="H41" s="72"/>
      <c r="I41" s="72"/>
      <c r="J41" s="73"/>
      <c r="K41" s="73"/>
      <c r="L41" s="72"/>
      <c r="M41" s="73"/>
      <c r="N41" s="73"/>
      <c r="O41" s="73"/>
      <c r="P41" s="73"/>
      <c r="Q41" s="73"/>
      <c r="R41" s="73"/>
    </row>
    <row r="42" spans="7:18" s="90" customFormat="1">
      <c r="G42" s="73"/>
      <c r="H42" s="72"/>
      <c r="I42" s="72"/>
      <c r="J42" s="73"/>
      <c r="K42" s="73"/>
      <c r="L42" s="72"/>
      <c r="M42" s="73"/>
      <c r="N42" s="73"/>
      <c r="O42" s="73"/>
      <c r="P42" s="73"/>
      <c r="Q42" s="73"/>
      <c r="R42" s="73"/>
    </row>
    <row r="43" spans="7:18" s="90" customFormat="1">
      <c r="G43" s="73"/>
      <c r="H43" s="72"/>
      <c r="I43" s="72"/>
      <c r="J43" s="73"/>
      <c r="K43" s="73"/>
      <c r="L43" s="72"/>
      <c r="M43" s="73"/>
      <c r="N43" s="73"/>
      <c r="O43" s="73"/>
      <c r="P43" s="73"/>
      <c r="Q43" s="73"/>
      <c r="R43" s="73"/>
    </row>
    <row r="44" spans="7:18" s="91" customFormat="1">
      <c r="G44" s="73"/>
      <c r="H44" s="72"/>
      <c r="I44" s="72"/>
      <c r="J44" s="73"/>
      <c r="K44" s="73"/>
      <c r="L44" s="72"/>
      <c r="M44" s="73"/>
      <c r="N44" s="73"/>
      <c r="O44" s="73"/>
      <c r="P44" s="73"/>
      <c r="Q44" s="73"/>
      <c r="R44" s="73"/>
    </row>
    <row r="45" spans="7:18" s="91" customFormat="1">
      <c r="G45" s="73"/>
      <c r="H45" s="72"/>
      <c r="I45" s="72"/>
      <c r="J45" s="73"/>
      <c r="K45" s="73"/>
      <c r="L45" s="72"/>
      <c r="M45" s="73"/>
      <c r="N45" s="73"/>
      <c r="O45" s="73"/>
      <c r="P45" s="73"/>
      <c r="Q45" s="73"/>
      <c r="R45" s="73"/>
    </row>
    <row r="46" spans="7:18" s="91" customFormat="1">
      <c r="G46" s="73"/>
      <c r="H46" s="72"/>
      <c r="I46" s="72"/>
      <c r="J46" s="73"/>
      <c r="K46" s="73"/>
      <c r="L46" s="72"/>
      <c r="M46" s="73"/>
      <c r="N46" s="73"/>
      <c r="O46" s="73"/>
      <c r="P46" s="73"/>
      <c r="Q46" s="73"/>
      <c r="R46" s="73"/>
    </row>
    <row r="47" spans="7:18" s="91" customFormat="1">
      <c r="G47" s="73"/>
      <c r="H47" s="72"/>
      <c r="I47" s="72"/>
      <c r="J47" s="73"/>
      <c r="K47" s="73"/>
      <c r="L47" s="72"/>
      <c r="M47" s="73"/>
      <c r="N47" s="73"/>
      <c r="O47" s="73"/>
      <c r="P47" s="73"/>
      <c r="Q47" s="73"/>
      <c r="R47" s="73"/>
    </row>
    <row r="48" spans="7:18" s="91" customFormat="1">
      <c r="G48" s="73"/>
      <c r="H48" s="72"/>
      <c r="I48" s="72"/>
      <c r="J48" s="73"/>
      <c r="K48" s="73"/>
      <c r="L48" s="72"/>
      <c r="M48" s="73"/>
      <c r="N48" s="73"/>
      <c r="O48" s="73"/>
      <c r="P48" s="73"/>
      <c r="Q48" s="73"/>
      <c r="R48" s="73"/>
    </row>
    <row r="49" spans="7:18" s="91" customFormat="1">
      <c r="G49" s="73"/>
      <c r="H49" s="72"/>
      <c r="I49" s="72"/>
      <c r="J49" s="73"/>
      <c r="K49" s="73"/>
      <c r="L49" s="72"/>
      <c r="M49" s="73"/>
      <c r="N49" s="73"/>
      <c r="O49" s="73"/>
      <c r="P49" s="73"/>
      <c r="Q49" s="73"/>
      <c r="R49" s="73"/>
    </row>
    <row r="50" spans="7:18" s="91" customFormat="1">
      <c r="G50" s="73"/>
      <c r="H50" s="72"/>
      <c r="I50" s="72"/>
      <c r="J50" s="73"/>
      <c r="K50" s="73"/>
      <c r="L50" s="72"/>
      <c r="M50" s="73"/>
      <c r="N50" s="73"/>
      <c r="O50" s="73"/>
      <c r="P50" s="73"/>
      <c r="Q50" s="73"/>
      <c r="R50" s="73"/>
    </row>
    <row r="51" spans="7:18" s="91" customFormat="1">
      <c r="G51" s="73"/>
      <c r="H51" s="72"/>
      <c r="I51" s="72"/>
      <c r="J51" s="73"/>
      <c r="K51" s="73"/>
      <c r="L51" s="72"/>
      <c r="M51" s="73"/>
      <c r="N51" s="73"/>
      <c r="O51" s="73"/>
      <c r="P51" s="73"/>
      <c r="Q51" s="73"/>
      <c r="R51" s="73"/>
    </row>
    <row r="52" spans="7:18" s="91" customFormat="1">
      <c r="G52" s="73"/>
      <c r="H52" s="72"/>
      <c r="I52" s="72"/>
      <c r="J52" s="73"/>
      <c r="K52" s="73"/>
      <c r="L52" s="72"/>
      <c r="M52" s="73"/>
      <c r="N52" s="73"/>
      <c r="O52" s="73"/>
      <c r="P52" s="73"/>
      <c r="Q52" s="73"/>
      <c r="R52" s="73"/>
    </row>
    <row r="53" spans="7:18" s="91" customFormat="1">
      <c r="G53" s="73"/>
      <c r="H53" s="72"/>
      <c r="I53" s="72"/>
      <c r="J53" s="73"/>
      <c r="K53" s="73"/>
      <c r="L53" s="72"/>
      <c r="M53" s="73"/>
      <c r="N53" s="73"/>
      <c r="O53" s="73"/>
      <c r="P53" s="73"/>
      <c r="Q53" s="73"/>
      <c r="R53" s="73"/>
    </row>
    <row r="54" spans="7:18" s="91" customFormat="1">
      <c r="G54" s="73"/>
      <c r="H54" s="72"/>
      <c r="I54" s="72"/>
      <c r="J54" s="73"/>
      <c r="K54" s="73"/>
      <c r="L54" s="72"/>
      <c r="M54" s="73"/>
      <c r="N54" s="73"/>
      <c r="O54" s="73"/>
      <c r="P54" s="73"/>
      <c r="Q54" s="73"/>
      <c r="R54" s="73"/>
    </row>
    <row r="55" spans="7:18" s="91" customFormat="1">
      <c r="G55" s="73"/>
      <c r="H55" s="72"/>
      <c r="I55" s="72"/>
      <c r="J55" s="73"/>
      <c r="K55" s="73"/>
      <c r="L55" s="72"/>
      <c r="M55" s="73"/>
      <c r="N55" s="73"/>
      <c r="O55" s="73"/>
      <c r="P55" s="73"/>
      <c r="Q55" s="73"/>
      <c r="R55" s="73"/>
    </row>
    <row r="56" spans="7:18" s="91" customFormat="1">
      <c r="G56" s="73"/>
      <c r="H56" s="72"/>
      <c r="I56" s="72"/>
      <c r="J56" s="73"/>
      <c r="K56" s="73"/>
      <c r="L56" s="72"/>
      <c r="M56" s="73"/>
      <c r="N56" s="73"/>
      <c r="O56" s="73"/>
      <c r="P56" s="73"/>
      <c r="Q56" s="73"/>
      <c r="R56" s="73"/>
    </row>
    <row r="57" spans="7:18" s="91" customFormat="1">
      <c r="G57" s="73"/>
      <c r="H57" s="72"/>
      <c r="I57" s="72"/>
      <c r="J57" s="73"/>
      <c r="K57" s="73"/>
      <c r="L57" s="72"/>
      <c r="M57" s="73"/>
      <c r="N57" s="73"/>
      <c r="O57" s="73"/>
      <c r="P57" s="73"/>
      <c r="Q57" s="73"/>
      <c r="R57" s="73"/>
    </row>
    <row r="58" spans="7:18" s="91" customFormat="1">
      <c r="G58" s="73"/>
      <c r="H58" s="72"/>
      <c r="I58" s="72"/>
      <c r="J58" s="73"/>
      <c r="K58" s="73"/>
      <c r="L58" s="72"/>
      <c r="M58" s="73"/>
      <c r="N58" s="73"/>
      <c r="O58" s="73"/>
      <c r="P58" s="73"/>
      <c r="Q58" s="73"/>
      <c r="R58" s="73"/>
    </row>
    <row r="59" spans="7:18" s="91" customFormat="1">
      <c r="G59" s="73"/>
      <c r="H59" s="72"/>
      <c r="I59" s="72"/>
      <c r="J59" s="73"/>
      <c r="K59" s="73"/>
      <c r="L59" s="72"/>
      <c r="M59" s="73"/>
      <c r="N59" s="73"/>
      <c r="O59" s="73"/>
      <c r="P59" s="73"/>
      <c r="Q59" s="73"/>
      <c r="R59" s="73"/>
    </row>
    <row r="60" spans="7:18" s="91" customFormat="1">
      <c r="G60" s="73"/>
      <c r="H60" s="72"/>
      <c r="I60" s="72"/>
      <c r="J60" s="73"/>
      <c r="K60" s="73"/>
      <c r="L60" s="72"/>
      <c r="M60" s="73"/>
      <c r="N60" s="73"/>
      <c r="O60" s="73"/>
      <c r="P60" s="73"/>
      <c r="Q60" s="73"/>
      <c r="R60" s="73"/>
    </row>
    <row r="61" spans="7:18" s="91" customFormat="1">
      <c r="G61" s="73"/>
      <c r="H61" s="72"/>
      <c r="I61" s="72"/>
      <c r="J61" s="73"/>
      <c r="K61" s="73"/>
      <c r="L61" s="72"/>
      <c r="M61" s="73"/>
      <c r="N61" s="73"/>
      <c r="O61" s="73"/>
      <c r="P61" s="73"/>
      <c r="Q61" s="73"/>
      <c r="R61" s="73"/>
    </row>
    <row r="62" spans="7:18" s="91" customFormat="1">
      <c r="G62" s="73"/>
      <c r="H62" s="72"/>
      <c r="I62" s="72"/>
      <c r="J62" s="73"/>
      <c r="K62" s="73"/>
      <c r="L62" s="72"/>
      <c r="M62" s="73"/>
      <c r="N62" s="73"/>
      <c r="O62" s="73"/>
      <c r="P62" s="73"/>
      <c r="Q62" s="73"/>
      <c r="R62" s="73"/>
    </row>
    <row r="63" spans="7:18" s="91" customFormat="1">
      <c r="G63" s="73"/>
      <c r="H63" s="72"/>
      <c r="I63" s="72"/>
      <c r="J63" s="73"/>
      <c r="K63" s="73"/>
      <c r="L63" s="72"/>
      <c r="M63" s="73"/>
      <c r="N63" s="73"/>
      <c r="O63" s="73"/>
      <c r="P63" s="73"/>
      <c r="Q63" s="73"/>
      <c r="R63" s="73"/>
    </row>
    <row r="64" spans="7:18" s="91" customFormat="1">
      <c r="G64" s="73"/>
      <c r="H64" s="72"/>
      <c r="I64" s="72"/>
      <c r="J64" s="73"/>
      <c r="K64" s="73"/>
      <c r="L64" s="72"/>
      <c r="M64" s="73"/>
      <c r="N64" s="73"/>
      <c r="O64" s="73"/>
      <c r="P64" s="73"/>
      <c r="Q64" s="73"/>
      <c r="R64" s="73"/>
    </row>
  </sheetData>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7DD7EB-3C14-4B43-A3DF-BC0DD990A50A}">
  <sheetPr codeName="Sheet17">
    <tabColor rgb="FFB682B9"/>
  </sheetPr>
  <dimension ref="A1:I24"/>
  <sheetViews>
    <sheetView zoomScale="85" zoomScaleNormal="85" workbookViewId="0">
      <selection activeCell="I11" sqref="I11:J14"/>
    </sheetView>
    <sheetView workbookViewId="1">
      <selection activeCell="A10" sqref="A10:E24"/>
    </sheetView>
  </sheetViews>
  <sheetFormatPr defaultColWidth="8.77734375" defaultRowHeight="13.8"/>
  <cols>
    <col min="1" max="1" width="10.21875" style="78" customWidth="1"/>
    <col min="2" max="2" width="88.77734375" style="78" customWidth="1"/>
    <col min="3" max="4" width="21.44140625" style="78" customWidth="1"/>
    <col min="5" max="5" width="54.5546875" style="78" customWidth="1"/>
    <col min="6" max="6" width="47.77734375" style="78" customWidth="1"/>
    <col min="7" max="7" width="21.44140625" style="73" customWidth="1"/>
    <col min="8" max="9" width="8.77734375" style="73"/>
    <col min="10" max="16384" width="8.77734375" style="78"/>
  </cols>
  <sheetData>
    <row r="1" spans="1:9" s="72" customFormat="1" ht="25.8">
      <c r="A1" s="71" t="s">
        <v>347</v>
      </c>
      <c r="C1" s="56"/>
      <c r="G1" s="73"/>
      <c r="H1" s="73"/>
      <c r="I1" s="73"/>
    </row>
    <row r="2" spans="1:9" s="72" customFormat="1" ht="25.8">
      <c r="A2" s="71" t="s">
        <v>847</v>
      </c>
      <c r="C2" s="56"/>
      <c r="G2" s="73"/>
      <c r="H2" s="73"/>
      <c r="I2" s="73"/>
    </row>
    <row r="3" spans="1:9" s="72" customFormat="1" ht="55.2">
      <c r="A3" s="74" t="s">
        <v>117</v>
      </c>
      <c r="B3" s="74" t="s">
        <v>348</v>
      </c>
      <c r="G3" s="73"/>
      <c r="H3" s="73"/>
      <c r="I3" s="73"/>
    </row>
    <row r="4" spans="1:9" s="72" customFormat="1" ht="27.6">
      <c r="A4" s="74" t="s">
        <v>725</v>
      </c>
      <c r="B4" s="74" t="s">
        <v>848</v>
      </c>
      <c r="G4" s="73"/>
      <c r="H4" s="73"/>
      <c r="I4" s="73"/>
    </row>
    <row r="5" spans="1:9" s="72" customFormat="1">
      <c r="A5" s="72" t="s">
        <v>118</v>
      </c>
      <c r="B5" s="72" t="s">
        <v>849</v>
      </c>
      <c r="G5" s="73"/>
      <c r="H5" s="73"/>
      <c r="I5" s="73"/>
    </row>
    <row r="6" spans="1:9" s="72" customFormat="1">
      <c r="A6" s="72" t="s">
        <v>727</v>
      </c>
      <c r="B6" s="72" t="s">
        <v>850</v>
      </c>
      <c r="G6" s="73"/>
      <c r="H6" s="73"/>
      <c r="I6" s="73"/>
    </row>
    <row r="8" spans="1:9" s="89" customFormat="1">
      <c r="A8" s="103"/>
      <c r="B8" s="103"/>
      <c r="C8" s="103" t="s">
        <v>104</v>
      </c>
      <c r="D8" s="103" t="s">
        <v>654</v>
      </c>
      <c r="E8" s="103" t="s">
        <v>93</v>
      </c>
      <c r="F8" s="103" t="s">
        <v>655</v>
      </c>
      <c r="G8" s="103" t="s">
        <v>691</v>
      </c>
      <c r="H8" s="72"/>
      <c r="I8" s="72"/>
    </row>
    <row r="9" spans="1:9" s="74" customFormat="1">
      <c r="A9" s="79" t="s">
        <v>55</v>
      </c>
      <c r="B9" s="79"/>
      <c r="C9" s="80"/>
      <c r="D9" s="80"/>
      <c r="E9" s="80"/>
      <c r="F9" s="80"/>
      <c r="G9" s="80"/>
    </row>
    <row r="10" spans="1:9" s="74" customFormat="1" ht="41.4">
      <c r="A10" s="3" t="s">
        <v>349</v>
      </c>
      <c r="B10" s="3" t="s">
        <v>851</v>
      </c>
      <c r="C10" s="85" t="s">
        <v>351</v>
      </c>
      <c r="D10" s="85" t="s">
        <v>350</v>
      </c>
      <c r="E10" s="85" t="s">
        <v>352</v>
      </c>
      <c r="F10" s="3"/>
      <c r="G10" s="3"/>
    </row>
    <row r="11" spans="1:9" s="87" customFormat="1" ht="41.4">
      <c r="A11" s="3" t="s">
        <v>353</v>
      </c>
      <c r="B11" s="3" t="s">
        <v>852</v>
      </c>
      <c r="C11" s="3"/>
      <c r="D11" s="85" t="s">
        <v>354</v>
      </c>
      <c r="E11" s="85" t="s">
        <v>355</v>
      </c>
      <c r="F11" s="114"/>
      <c r="G11" s="3"/>
      <c r="H11" s="74"/>
      <c r="I11" s="74"/>
    </row>
    <row r="12" spans="1:9" s="87" customFormat="1" ht="69">
      <c r="A12" s="3" t="s">
        <v>356</v>
      </c>
      <c r="B12" s="3" t="s">
        <v>853</v>
      </c>
      <c r="C12" s="3"/>
      <c r="D12" s="85" t="s">
        <v>357</v>
      </c>
      <c r="E12" s="85" t="s">
        <v>854</v>
      </c>
      <c r="F12" s="114"/>
      <c r="G12" s="3"/>
      <c r="H12" s="74"/>
      <c r="I12" s="74"/>
    </row>
    <row r="13" spans="1:9" s="89" customFormat="1">
      <c r="A13" s="79" t="s">
        <v>62</v>
      </c>
      <c r="B13" s="79"/>
      <c r="C13" s="80"/>
      <c r="D13" s="80"/>
      <c r="E13" s="80" t="s">
        <v>839</v>
      </c>
      <c r="F13" s="80"/>
      <c r="G13" s="80"/>
      <c r="H13" s="74"/>
      <c r="I13" s="74"/>
    </row>
    <row r="14" spans="1:9" s="74" customFormat="1" ht="69">
      <c r="A14" s="3" t="s">
        <v>358</v>
      </c>
      <c r="B14" s="3" t="s">
        <v>855</v>
      </c>
      <c r="C14" s="85" t="s">
        <v>360</v>
      </c>
      <c r="D14" s="85" t="s">
        <v>359</v>
      </c>
      <c r="E14" s="85" t="s">
        <v>856</v>
      </c>
      <c r="F14" s="114"/>
      <c r="G14" s="3"/>
    </row>
    <row r="15" spans="1:9" s="87" customFormat="1" ht="69">
      <c r="A15" s="3" t="s">
        <v>361</v>
      </c>
      <c r="B15" s="3" t="s">
        <v>857</v>
      </c>
      <c r="C15" s="85" t="s">
        <v>858</v>
      </c>
      <c r="D15" s="85" t="s">
        <v>362</v>
      </c>
      <c r="E15" s="85" t="s">
        <v>363</v>
      </c>
      <c r="F15" s="3"/>
      <c r="G15" s="3"/>
      <c r="H15" s="74"/>
      <c r="I15" s="74"/>
    </row>
    <row r="16" spans="1:9" s="87" customFormat="1">
      <c r="A16" s="79" t="s">
        <v>64</v>
      </c>
      <c r="B16" s="79"/>
      <c r="C16" s="80"/>
      <c r="D16" s="80"/>
      <c r="E16" s="80" t="s">
        <v>839</v>
      </c>
      <c r="F16" s="80"/>
      <c r="G16" s="80"/>
      <c r="H16" s="74"/>
      <c r="I16" s="74"/>
    </row>
    <row r="17" spans="1:9" s="89" customFormat="1" ht="69">
      <c r="A17" s="3" t="s">
        <v>364</v>
      </c>
      <c r="B17" s="3" t="s">
        <v>859</v>
      </c>
      <c r="C17" s="85" t="s">
        <v>860</v>
      </c>
      <c r="D17" s="85" t="s">
        <v>365</v>
      </c>
      <c r="E17" s="85" t="s">
        <v>366</v>
      </c>
      <c r="F17" s="114"/>
      <c r="G17" s="3"/>
      <c r="H17" s="74"/>
      <c r="I17" s="74"/>
    </row>
    <row r="18" spans="1:9" s="74" customFormat="1" ht="55.2">
      <c r="A18" s="3" t="s">
        <v>367</v>
      </c>
      <c r="B18" s="3" t="s">
        <v>861</v>
      </c>
      <c r="C18" s="85" t="s">
        <v>369</v>
      </c>
      <c r="D18" s="85" t="s">
        <v>368</v>
      </c>
      <c r="E18" s="85" t="s">
        <v>370</v>
      </c>
      <c r="F18" s="3"/>
      <c r="G18" s="3"/>
    </row>
    <row r="19" spans="1:9" s="87" customFormat="1" ht="69">
      <c r="A19" s="3" t="s">
        <v>371</v>
      </c>
      <c r="B19" s="3" t="s">
        <v>862</v>
      </c>
      <c r="C19" s="3"/>
      <c r="D19" s="85" t="s">
        <v>372</v>
      </c>
      <c r="E19" s="85" t="s">
        <v>373</v>
      </c>
      <c r="F19" s="3"/>
      <c r="G19" s="3"/>
      <c r="H19" s="74"/>
      <c r="I19" s="74"/>
    </row>
    <row r="20" spans="1:9" s="87" customFormat="1" ht="69">
      <c r="A20" s="3" t="s">
        <v>374</v>
      </c>
      <c r="B20" s="3" t="s">
        <v>863</v>
      </c>
      <c r="C20" s="85" t="s">
        <v>864</v>
      </c>
      <c r="D20" s="85" t="s">
        <v>865</v>
      </c>
      <c r="E20" s="85" t="s">
        <v>375</v>
      </c>
      <c r="F20" s="3"/>
      <c r="G20" s="3"/>
      <c r="H20" s="74"/>
      <c r="I20" s="74"/>
    </row>
    <row r="21" spans="1:9" s="89" customFormat="1" ht="55.2">
      <c r="A21" s="3" t="s">
        <v>376</v>
      </c>
      <c r="B21" s="3" t="s">
        <v>866</v>
      </c>
      <c r="C21" s="85" t="s">
        <v>378</v>
      </c>
      <c r="D21" s="85" t="s">
        <v>377</v>
      </c>
      <c r="E21" s="85" t="s">
        <v>379</v>
      </c>
      <c r="F21" s="3"/>
      <c r="G21" s="3"/>
      <c r="H21" s="74"/>
      <c r="I21" s="74"/>
    </row>
    <row r="22" spans="1:9" s="89" customFormat="1" ht="55.2">
      <c r="A22" s="3" t="s">
        <v>380</v>
      </c>
      <c r="B22" s="3" t="s">
        <v>867</v>
      </c>
      <c r="C22" s="3"/>
      <c r="D22" s="85" t="s">
        <v>381</v>
      </c>
      <c r="E22" s="85" t="s">
        <v>382</v>
      </c>
      <c r="F22" s="3"/>
      <c r="G22" s="3"/>
      <c r="H22" s="74"/>
      <c r="I22" s="74"/>
    </row>
    <row r="23" spans="1:9" s="87" customFormat="1">
      <c r="A23" s="79" t="s">
        <v>65</v>
      </c>
      <c r="B23" s="79"/>
      <c r="C23" s="80"/>
      <c r="D23" s="80"/>
      <c r="E23" s="80" t="s">
        <v>839</v>
      </c>
      <c r="F23" s="80"/>
      <c r="G23" s="80"/>
      <c r="H23" s="74"/>
      <c r="I23" s="74"/>
    </row>
    <row r="24" spans="1:9" s="89" customFormat="1" ht="165.6">
      <c r="A24" s="3" t="s">
        <v>383</v>
      </c>
      <c r="B24" s="3" t="s">
        <v>384</v>
      </c>
      <c r="C24" s="85" t="s">
        <v>868</v>
      </c>
      <c r="D24" s="85" t="s">
        <v>385</v>
      </c>
      <c r="E24" s="85" t="s">
        <v>386</v>
      </c>
      <c r="F24" s="3"/>
      <c r="G24" s="3"/>
      <c r="H24" s="74"/>
      <c r="I24" s="74"/>
    </row>
  </sheetData>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F8196C-4E5F-4102-AC40-349C0390A0B5}">
  <sheetPr codeName="Sheet18">
    <tabColor rgb="FF70BF65"/>
  </sheetPr>
  <dimension ref="A1:I55"/>
  <sheetViews>
    <sheetView workbookViewId="0">
      <selection activeCell="I11" sqref="I11:J14"/>
    </sheetView>
    <sheetView workbookViewId="1">
      <selection activeCell="A10" sqref="A10:E20"/>
    </sheetView>
  </sheetViews>
  <sheetFormatPr defaultColWidth="8.77734375" defaultRowHeight="13.8"/>
  <cols>
    <col min="1" max="1" width="10.21875" style="78" customWidth="1"/>
    <col min="2" max="2" width="88.77734375" style="78" customWidth="1"/>
    <col min="3" max="4" width="21.44140625" style="78" customWidth="1"/>
    <col min="5" max="5" width="57.21875" style="115" customWidth="1"/>
    <col min="6" max="6" width="80.44140625" style="78" customWidth="1"/>
    <col min="7" max="7" width="21.44140625" style="73" customWidth="1"/>
    <col min="8" max="9" width="8.77734375" style="73"/>
    <col min="10" max="16384" width="8.77734375" style="78"/>
  </cols>
  <sheetData>
    <row r="1" spans="1:9" s="97" customFormat="1" ht="25.8">
      <c r="A1" s="71" t="s">
        <v>406</v>
      </c>
      <c r="B1" s="72"/>
      <c r="C1" s="56"/>
      <c r="D1" s="72"/>
      <c r="E1" s="74"/>
      <c r="F1" s="72"/>
      <c r="G1" s="73"/>
      <c r="H1" s="73"/>
      <c r="I1" s="73"/>
    </row>
    <row r="2" spans="1:9" s="100" customFormat="1" ht="25.8">
      <c r="A2" s="71" t="s">
        <v>869</v>
      </c>
      <c r="B2" s="72"/>
      <c r="C2" s="56"/>
      <c r="D2" s="72"/>
      <c r="E2" s="74"/>
      <c r="F2" s="72"/>
      <c r="G2" s="73"/>
      <c r="H2" s="73"/>
      <c r="I2" s="73"/>
    </row>
    <row r="3" spans="1:9" s="100" customFormat="1">
      <c r="A3" s="74" t="s">
        <v>117</v>
      </c>
      <c r="B3" s="72" t="s">
        <v>407</v>
      </c>
      <c r="C3" s="72"/>
      <c r="D3" s="72"/>
      <c r="E3" s="74"/>
      <c r="F3" s="72"/>
      <c r="G3" s="73"/>
      <c r="H3" s="73"/>
      <c r="I3" s="73"/>
    </row>
    <row r="4" spans="1:9" s="101" customFormat="1">
      <c r="A4" s="74" t="s">
        <v>725</v>
      </c>
      <c r="B4" s="72" t="s">
        <v>870</v>
      </c>
      <c r="C4" s="72"/>
      <c r="D4" s="72"/>
      <c r="E4" s="74"/>
      <c r="F4" s="72"/>
      <c r="G4" s="73"/>
      <c r="H4" s="73"/>
      <c r="I4" s="73"/>
    </row>
    <row r="5" spans="1:9" s="97" customFormat="1">
      <c r="A5" s="72" t="s">
        <v>118</v>
      </c>
      <c r="B5" s="72" t="s">
        <v>408</v>
      </c>
      <c r="C5" s="72"/>
      <c r="D5" s="72"/>
      <c r="E5" s="74"/>
      <c r="F5" s="72"/>
      <c r="G5" s="73"/>
      <c r="H5" s="73"/>
      <c r="I5" s="73"/>
    </row>
    <row r="6" spans="1:9" s="97" customFormat="1">
      <c r="A6" s="72" t="s">
        <v>727</v>
      </c>
      <c r="B6" s="72" t="s">
        <v>871</v>
      </c>
      <c r="C6" s="72"/>
      <c r="D6" s="72"/>
      <c r="E6" s="74"/>
      <c r="F6" s="72"/>
      <c r="G6" s="73"/>
      <c r="H6" s="73"/>
      <c r="I6" s="73"/>
    </row>
    <row r="7" spans="1:9" s="100" customFormat="1">
      <c r="A7" s="78"/>
      <c r="B7" s="78"/>
      <c r="C7" s="78"/>
      <c r="D7" s="78"/>
      <c r="E7" s="115"/>
      <c r="F7" s="78"/>
      <c r="G7" s="73"/>
      <c r="H7" s="73"/>
      <c r="I7" s="73"/>
    </row>
    <row r="8" spans="1:9" s="100" customFormat="1">
      <c r="A8" s="103"/>
      <c r="B8" s="103"/>
      <c r="C8" s="103" t="s">
        <v>104</v>
      </c>
      <c r="D8" s="103" t="s">
        <v>654</v>
      </c>
      <c r="E8" s="116" t="s">
        <v>93</v>
      </c>
      <c r="F8" s="103" t="s">
        <v>655</v>
      </c>
      <c r="G8" s="103" t="s">
        <v>691</v>
      </c>
      <c r="H8" s="72"/>
      <c r="I8" s="72"/>
    </row>
    <row r="9" spans="1:9" s="101" customFormat="1">
      <c r="A9" s="93" t="s">
        <v>55</v>
      </c>
      <c r="B9" s="93"/>
      <c r="C9" s="94"/>
      <c r="D9" s="94"/>
      <c r="E9" s="94"/>
      <c r="F9" s="94"/>
      <c r="G9" s="95"/>
      <c r="H9" s="96"/>
      <c r="I9" s="96"/>
    </row>
    <row r="10" spans="1:9" s="97" customFormat="1" ht="27.6">
      <c r="A10" s="23" t="s">
        <v>409</v>
      </c>
      <c r="B10" s="23" t="s">
        <v>872</v>
      </c>
      <c r="C10" s="23"/>
      <c r="D10" s="23"/>
      <c r="E10" s="98" t="s">
        <v>410</v>
      </c>
      <c r="F10" s="98"/>
      <c r="G10" s="99"/>
      <c r="H10" s="96"/>
      <c r="I10" s="96"/>
    </row>
    <row r="11" spans="1:9" s="100" customFormat="1">
      <c r="A11" s="93" t="s">
        <v>62</v>
      </c>
      <c r="B11" s="93"/>
      <c r="C11" s="94"/>
      <c r="D11" s="94"/>
      <c r="E11" s="94"/>
      <c r="F11" s="94"/>
      <c r="G11" s="95"/>
      <c r="H11" s="96"/>
      <c r="I11" s="96"/>
    </row>
    <row r="12" spans="1:9" s="100" customFormat="1" ht="27.6">
      <c r="A12" s="23" t="s">
        <v>411</v>
      </c>
      <c r="B12" s="23" t="s">
        <v>873</v>
      </c>
      <c r="C12" s="23"/>
      <c r="D12" s="23"/>
      <c r="E12" s="98" t="s">
        <v>412</v>
      </c>
      <c r="F12" s="98"/>
      <c r="G12" s="99"/>
      <c r="H12" s="96"/>
      <c r="I12" s="96"/>
    </row>
    <row r="13" spans="1:9" s="101" customFormat="1" ht="27.6">
      <c r="A13" s="23" t="s">
        <v>413</v>
      </c>
      <c r="B13" s="23" t="s">
        <v>874</v>
      </c>
      <c r="C13" s="23"/>
      <c r="D13" s="23"/>
      <c r="E13" s="98" t="s">
        <v>414</v>
      </c>
      <c r="F13" s="98"/>
      <c r="G13" s="99"/>
      <c r="H13" s="96"/>
      <c r="I13" s="96"/>
    </row>
    <row r="14" spans="1:9" s="97" customFormat="1">
      <c r="A14" s="93" t="s">
        <v>64</v>
      </c>
      <c r="B14" s="93"/>
      <c r="C14" s="94"/>
      <c r="D14" s="94"/>
      <c r="E14" s="94" t="s">
        <v>839</v>
      </c>
      <c r="F14" s="94"/>
      <c r="G14" s="95"/>
      <c r="H14" s="96"/>
      <c r="I14" s="96"/>
    </row>
    <row r="15" spans="1:9" s="100" customFormat="1" ht="27.6">
      <c r="A15" s="23" t="s">
        <v>415</v>
      </c>
      <c r="B15" s="23" t="s">
        <v>875</v>
      </c>
      <c r="C15" s="23"/>
      <c r="D15" s="23"/>
      <c r="E15" s="98" t="s">
        <v>876</v>
      </c>
      <c r="F15" s="98"/>
      <c r="G15" s="99"/>
      <c r="H15" s="96"/>
      <c r="I15" s="96"/>
    </row>
    <row r="16" spans="1:9" s="101" customFormat="1" ht="55.2">
      <c r="A16" s="23" t="s">
        <v>416</v>
      </c>
      <c r="B16" s="23" t="s">
        <v>877</v>
      </c>
      <c r="C16" s="23"/>
      <c r="D16" s="23"/>
      <c r="E16" s="98" t="s">
        <v>417</v>
      </c>
      <c r="F16" s="98"/>
      <c r="G16" s="99"/>
      <c r="H16" s="96"/>
      <c r="I16" s="96"/>
    </row>
    <row r="17" spans="1:9" s="97" customFormat="1" ht="27.6">
      <c r="A17" s="23" t="s">
        <v>418</v>
      </c>
      <c r="B17" s="23" t="s">
        <v>878</v>
      </c>
      <c r="C17" s="23"/>
      <c r="D17" s="23"/>
      <c r="E17" s="98" t="s">
        <v>419</v>
      </c>
      <c r="F17" s="98"/>
      <c r="G17" s="99"/>
      <c r="H17" s="96"/>
      <c r="I17" s="96"/>
    </row>
    <row r="18" spans="1:9" s="100" customFormat="1" ht="55.2">
      <c r="A18" s="23" t="s">
        <v>420</v>
      </c>
      <c r="B18" s="23" t="s">
        <v>421</v>
      </c>
      <c r="C18" s="23"/>
      <c r="D18" s="98" t="s">
        <v>879</v>
      </c>
      <c r="E18" s="98" t="s">
        <v>422</v>
      </c>
      <c r="F18" s="98"/>
      <c r="G18" s="99"/>
      <c r="H18" s="96"/>
      <c r="I18" s="96"/>
    </row>
    <row r="19" spans="1:9" s="100" customFormat="1" ht="41.4">
      <c r="A19" s="23" t="s">
        <v>423</v>
      </c>
      <c r="B19" s="23" t="s">
        <v>880</v>
      </c>
      <c r="C19" s="23"/>
      <c r="D19" s="23"/>
      <c r="E19" s="98" t="s">
        <v>424</v>
      </c>
      <c r="F19" s="98"/>
      <c r="G19" s="99"/>
      <c r="H19" s="96"/>
      <c r="I19" s="96"/>
    </row>
    <row r="20" spans="1:9" s="101" customFormat="1" ht="27.6">
      <c r="A20" s="23" t="s">
        <v>425</v>
      </c>
      <c r="B20" s="23" t="s">
        <v>881</v>
      </c>
      <c r="C20" s="23"/>
      <c r="D20" s="23"/>
      <c r="E20" s="98" t="s">
        <v>426</v>
      </c>
      <c r="F20" s="98"/>
      <c r="G20" s="99"/>
      <c r="H20" s="96"/>
      <c r="I20" s="96"/>
    </row>
    <row r="21" spans="1:9" s="90" customFormat="1">
      <c r="E21" s="97"/>
      <c r="G21" s="73"/>
      <c r="H21" s="73"/>
      <c r="I21" s="73"/>
    </row>
    <row r="22" spans="1:9" s="90" customFormat="1">
      <c r="E22" s="97"/>
      <c r="G22" s="73"/>
      <c r="H22" s="73"/>
      <c r="I22" s="73"/>
    </row>
    <row r="23" spans="1:9" s="90" customFormat="1">
      <c r="E23" s="97"/>
      <c r="G23" s="73"/>
      <c r="H23" s="73"/>
      <c r="I23" s="73"/>
    </row>
    <row r="24" spans="1:9" s="90" customFormat="1">
      <c r="E24" s="97"/>
      <c r="G24" s="73"/>
      <c r="H24" s="73"/>
      <c r="I24" s="73"/>
    </row>
    <row r="25" spans="1:9" s="90" customFormat="1">
      <c r="E25" s="97"/>
      <c r="G25" s="73"/>
      <c r="H25" s="73"/>
      <c r="I25" s="73"/>
    </row>
    <row r="26" spans="1:9" s="90" customFormat="1">
      <c r="E26" s="97"/>
      <c r="G26" s="73"/>
      <c r="H26" s="73"/>
      <c r="I26" s="73"/>
    </row>
    <row r="27" spans="1:9" s="90" customFormat="1">
      <c r="E27" s="97"/>
      <c r="G27" s="73"/>
      <c r="H27" s="73"/>
      <c r="I27" s="73"/>
    </row>
    <row r="28" spans="1:9" s="90" customFormat="1">
      <c r="E28" s="97"/>
      <c r="G28" s="73"/>
      <c r="H28" s="73"/>
      <c r="I28" s="73"/>
    </row>
    <row r="29" spans="1:9" s="90" customFormat="1">
      <c r="E29" s="97"/>
      <c r="G29" s="73"/>
      <c r="H29" s="73"/>
      <c r="I29" s="73"/>
    </row>
    <row r="30" spans="1:9" s="90" customFormat="1">
      <c r="E30" s="97"/>
      <c r="G30" s="73"/>
      <c r="H30" s="73"/>
      <c r="I30" s="73"/>
    </row>
    <row r="31" spans="1:9" s="90" customFormat="1">
      <c r="E31" s="97"/>
      <c r="G31" s="73"/>
      <c r="H31" s="73"/>
      <c r="I31" s="73"/>
    </row>
    <row r="32" spans="1:9" s="90" customFormat="1">
      <c r="E32" s="97"/>
      <c r="G32" s="73"/>
      <c r="H32" s="73"/>
      <c r="I32" s="73"/>
    </row>
    <row r="33" spans="5:9" s="90" customFormat="1">
      <c r="E33" s="97"/>
      <c r="G33" s="73"/>
      <c r="H33" s="73"/>
      <c r="I33" s="73"/>
    </row>
    <row r="34" spans="5:9" s="90" customFormat="1">
      <c r="E34" s="97"/>
      <c r="G34" s="73"/>
      <c r="H34" s="73"/>
      <c r="I34" s="73"/>
    </row>
    <row r="35" spans="5:9" s="91" customFormat="1">
      <c r="E35" s="117"/>
      <c r="G35" s="73"/>
      <c r="H35" s="73"/>
      <c r="I35" s="73"/>
    </row>
    <row r="36" spans="5:9" s="91" customFormat="1">
      <c r="E36" s="117"/>
      <c r="G36" s="73"/>
      <c r="H36" s="73"/>
      <c r="I36" s="73"/>
    </row>
    <row r="37" spans="5:9" s="91" customFormat="1">
      <c r="E37" s="117"/>
      <c r="G37" s="73"/>
      <c r="H37" s="73"/>
      <c r="I37" s="73"/>
    </row>
    <row r="38" spans="5:9" s="91" customFormat="1">
      <c r="E38" s="117"/>
      <c r="G38" s="73"/>
      <c r="H38" s="73"/>
      <c r="I38" s="73"/>
    </row>
    <row r="39" spans="5:9" s="91" customFormat="1">
      <c r="E39" s="117"/>
      <c r="G39" s="73"/>
      <c r="H39" s="73"/>
      <c r="I39" s="73"/>
    </row>
    <row r="40" spans="5:9" s="91" customFormat="1">
      <c r="E40" s="117"/>
      <c r="G40" s="73"/>
      <c r="H40" s="73"/>
      <c r="I40" s="73"/>
    </row>
    <row r="41" spans="5:9" s="91" customFormat="1">
      <c r="E41" s="117"/>
      <c r="G41" s="73"/>
      <c r="H41" s="73"/>
      <c r="I41" s="73"/>
    </row>
    <row r="42" spans="5:9" s="91" customFormat="1">
      <c r="E42" s="117"/>
      <c r="G42" s="73"/>
      <c r="H42" s="73"/>
      <c r="I42" s="73"/>
    </row>
    <row r="43" spans="5:9" s="91" customFormat="1">
      <c r="E43" s="117"/>
      <c r="G43" s="73"/>
      <c r="H43" s="73"/>
      <c r="I43" s="73"/>
    </row>
    <row r="44" spans="5:9" s="91" customFormat="1">
      <c r="E44" s="117"/>
      <c r="G44" s="73"/>
      <c r="H44" s="73"/>
      <c r="I44" s="73"/>
    </row>
    <row r="45" spans="5:9" s="91" customFormat="1">
      <c r="E45" s="117"/>
      <c r="G45" s="73"/>
      <c r="H45" s="73"/>
      <c r="I45" s="73"/>
    </row>
    <row r="46" spans="5:9" s="91" customFormat="1">
      <c r="E46" s="117"/>
      <c r="G46" s="73"/>
      <c r="H46" s="73"/>
      <c r="I46" s="73"/>
    </row>
    <row r="47" spans="5:9" s="91" customFormat="1">
      <c r="E47" s="117"/>
      <c r="G47" s="73"/>
      <c r="H47" s="73"/>
      <c r="I47" s="73"/>
    </row>
    <row r="48" spans="5:9" s="91" customFormat="1">
      <c r="E48" s="117"/>
      <c r="G48" s="73"/>
      <c r="H48" s="73"/>
      <c r="I48" s="73"/>
    </row>
    <row r="49" spans="5:9" s="91" customFormat="1">
      <c r="E49" s="117"/>
      <c r="G49" s="73"/>
      <c r="H49" s="73"/>
      <c r="I49" s="73"/>
    </row>
    <row r="50" spans="5:9" s="91" customFormat="1">
      <c r="E50" s="117"/>
      <c r="G50" s="73"/>
      <c r="H50" s="73"/>
      <c r="I50" s="73"/>
    </row>
    <row r="51" spans="5:9" s="91" customFormat="1">
      <c r="E51" s="117"/>
      <c r="G51" s="73"/>
      <c r="H51" s="73"/>
      <c r="I51" s="73"/>
    </row>
    <row r="52" spans="5:9" s="91" customFormat="1">
      <c r="E52" s="117"/>
      <c r="G52" s="73"/>
      <c r="H52" s="73"/>
      <c r="I52" s="73"/>
    </row>
    <row r="53" spans="5:9" s="91" customFormat="1">
      <c r="E53" s="117"/>
      <c r="G53" s="73"/>
      <c r="H53" s="73"/>
      <c r="I53" s="73"/>
    </row>
    <row r="54" spans="5:9" s="91" customFormat="1">
      <c r="E54" s="117"/>
      <c r="G54" s="73"/>
      <c r="H54" s="73"/>
      <c r="I54" s="73"/>
    </row>
    <row r="55" spans="5:9" s="91" customFormat="1">
      <c r="E55" s="117"/>
      <c r="G55" s="73"/>
      <c r="H55" s="73"/>
      <c r="I55" s="73"/>
    </row>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D2A9-61C0-424F-872A-8DF4BF5A8BB0}">
  <sheetPr codeName="Sheet19">
    <tabColor rgb="FF007DC4"/>
  </sheetPr>
  <dimension ref="A1:R58"/>
  <sheetViews>
    <sheetView topLeftCell="A4" workbookViewId="0">
      <pane xSplit="2" ySplit="5" topLeftCell="D15" activePane="bottomRight" state="frozen"/>
      <selection activeCell="I11" sqref="I11:J14"/>
      <selection pane="topRight" activeCell="I11" sqref="I11:J14"/>
      <selection pane="bottomLeft" activeCell="I11" sqref="I11:J14"/>
      <selection pane="bottomRight" activeCell="I11" sqref="I11:J14"/>
    </sheetView>
    <sheetView workbookViewId="1">
      <selection activeCell="A10" sqref="A10:E19"/>
    </sheetView>
  </sheetViews>
  <sheetFormatPr defaultColWidth="8.77734375" defaultRowHeight="13.8"/>
  <cols>
    <col min="1" max="1" width="10.21875" style="78" customWidth="1"/>
    <col min="2" max="2" width="57.44140625" style="78" customWidth="1"/>
    <col min="3" max="4" width="21.44140625" style="78" customWidth="1"/>
    <col min="5" max="5" width="60.21875" style="78" customWidth="1"/>
    <col min="6" max="6" width="41.77734375" style="78" customWidth="1"/>
    <col min="7" max="7" width="21.44140625" style="73" customWidth="1"/>
    <col min="8" max="10" width="8.77734375" style="72"/>
    <col min="11" max="18" width="8.77734375" style="73"/>
    <col min="19" max="16384" width="8.77734375" style="78"/>
  </cols>
  <sheetData>
    <row r="1" spans="1:18" s="101" customFormat="1" ht="25.8">
      <c r="A1" s="71" t="s">
        <v>556</v>
      </c>
      <c r="B1" s="72"/>
      <c r="C1" s="56"/>
      <c r="D1" s="72"/>
      <c r="E1" s="72"/>
      <c r="F1" s="72"/>
      <c r="G1" s="73"/>
      <c r="H1" s="72"/>
      <c r="I1" s="72"/>
      <c r="J1" s="72"/>
      <c r="K1" s="73"/>
      <c r="L1" s="73"/>
      <c r="M1" s="73"/>
      <c r="N1" s="73"/>
      <c r="O1" s="73"/>
      <c r="P1" s="73"/>
      <c r="Q1" s="73"/>
      <c r="R1" s="73"/>
    </row>
    <row r="2" spans="1:18" s="97" customFormat="1" ht="25.8">
      <c r="A2" s="71" t="s">
        <v>882</v>
      </c>
      <c r="B2" s="72"/>
      <c r="C2" s="56"/>
      <c r="D2" s="72"/>
      <c r="E2" s="72"/>
      <c r="F2" s="72"/>
      <c r="G2" s="73"/>
      <c r="H2" s="72"/>
      <c r="I2" s="72"/>
      <c r="J2" s="72"/>
      <c r="K2" s="73"/>
      <c r="L2" s="73"/>
      <c r="M2" s="73"/>
      <c r="N2" s="73"/>
      <c r="O2" s="73"/>
      <c r="P2" s="73"/>
      <c r="Q2" s="73"/>
      <c r="R2" s="73"/>
    </row>
    <row r="3" spans="1:18" s="97" customFormat="1">
      <c r="A3" s="74" t="s">
        <v>685</v>
      </c>
      <c r="B3" s="72" t="s">
        <v>883</v>
      </c>
      <c r="C3" s="72"/>
      <c r="D3" s="72"/>
      <c r="E3" s="72"/>
      <c r="F3" s="72"/>
      <c r="G3" s="73"/>
      <c r="H3" s="72"/>
      <c r="I3" s="72"/>
      <c r="J3" s="72"/>
      <c r="K3" s="73"/>
      <c r="L3" s="73"/>
      <c r="M3" s="73"/>
      <c r="N3" s="73"/>
      <c r="O3" s="73"/>
      <c r="P3" s="73"/>
      <c r="Q3" s="73"/>
      <c r="R3" s="73"/>
    </row>
    <row r="4" spans="1:18" s="100" customFormat="1">
      <c r="A4" s="74" t="s">
        <v>644</v>
      </c>
      <c r="B4" s="72" t="s">
        <v>884</v>
      </c>
      <c r="C4" s="72"/>
      <c r="D4" s="72"/>
      <c r="E4" s="72"/>
      <c r="F4" s="72"/>
      <c r="G4" s="73"/>
      <c r="H4" s="72"/>
      <c r="I4" s="72"/>
      <c r="J4" s="72"/>
      <c r="K4" s="73"/>
      <c r="L4" s="73"/>
      <c r="M4" s="73"/>
      <c r="N4" s="73"/>
      <c r="O4" s="73"/>
      <c r="P4" s="73"/>
      <c r="Q4" s="73"/>
      <c r="R4" s="73"/>
    </row>
    <row r="5" spans="1:18" s="100" customFormat="1">
      <c r="A5" s="72" t="s">
        <v>688</v>
      </c>
      <c r="B5" s="72" t="s">
        <v>885</v>
      </c>
      <c r="C5" s="72"/>
      <c r="D5" s="72"/>
      <c r="E5" s="72"/>
      <c r="F5" s="72"/>
      <c r="G5" s="73"/>
      <c r="H5" s="72"/>
      <c r="I5" s="72"/>
      <c r="J5" s="72"/>
      <c r="K5" s="73"/>
      <c r="L5" s="73"/>
      <c r="M5" s="73"/>
      <c r="N5" s="73"/>
      <c r="O5" s="73"/>
      <c r="P5" s="73"/>
      <c r="Q5" s="73"/>
      <c r="R5" s="73"/>
    </row>
    <row r="6" spans="1:18" s="101" customFormat="1">
      <c r="A6" s="72" t="s">
        <v>648</v>
      </c>
      <c r="B6" s="72" t="s">
        <v>886</v>
      </c>
      <c r="C6" s="72"/>
      <c r="D6" s="72"/>
      <c r="E6" s="72"/>
      <c r="F6" s="72"/>
      <c r="G6" s="73"/>
      <c r="H6" s="72"/>
      <c r="I6" s="72"/>
      <c r="J6" s="72"/>
      <c r="K6" s="73"/>
      <c r="L6" s="73"/>
      <c r="M6" s="73"/>
      <c r="N6" s="73"/>
      <c r="O6" s="73"/>
      <c r="P6" s="73"/>
      <c r="Q6" s="73"/>
      <c r="R6" s="73"/>
    </row>
    <row r="7" spans="1:18" s="97" customFormat="1">
      <c r="A7" s="78"/>
      <c r="B7" s="78"/>
      <c r="C7" s="78"/>
      <c r="D7" s="78"/>
      <c r="E7" s="72"/>
      <c r="F7" s="72"/>
      <c r="G7" s="112"/>
      <c r="H7" s="72"/>
      <c r="I7" s="72"/>
      <c r="J7" s="72"/>
      <c r="K7" s="73"/>
      <c r="L7" s="73"/>
      <c r="M7" s="73"/>
      <c r="N7" s="73"/>
      <c r="O7" s="73"/>
      <c r="P7" s="73"/>
      <c r="Q7" s="73"/>
      <c r="R7" s="73"/>
    </row>
    <row r="8" spans="1:18" s="87" customFormat="1">
      <c r="A8" s="103"/>
      <c r="B8" s="103"/>
      <c r="C8" s="103" t="s">
        <v>104</v>
      </c>
      <c r="D8" s="103" t="s">
        <v>654</v>
      </c>
      <c r="E8" s="103" t="s">
        <v>93</v>
      </c>
      <c r="F8" s="103" t="s">
        <v>655</v>
      </c>
      <c r="G8" s="103" t="s">
        <v>691</v>
      </c>
      <c r="H8" s="72"/>
      <c r="I8" s="72"/>
      <c r="J8" s="72"/>
      <c r="K8" s="72"/>
      <c r="L8" s="72"/>
      <c r="M8" s="72"/>
      <c r="N8" s="72"/>
      <c r="O8" s="72"/>
      <c r="P8" s="72"/>
      <c r="Q8" s="72"/>
      <c r="R8" s="72"/>
    </row>
    <row r="9" spans="1:18" s="87" customFormat="1">
      <c r="A9" s="79" t="s">
        <v>55</v>
      </c>
      <c r="B9" s="79"/>
      <c r="C9" s="80"/>
      <c r="D9" s="80"/>
      <c r="E9" s="80"/>
      <c r="F9" s="80"/>
      <c r="G9" s="80"/>
      <c r="H9" s="72"/>
      <c r="I9" s="72"/>
      <c r="J9" s="72"/>
      <c r="K9" s="74"/>
      <c r="L9" s="74"/>
      <c r="M9" s="74"/>
      <c r="N9" s="74"/>
      <c r="O9" s="74"/>
      <c r="P9" s="74"/>
      <c r="Q9" s="74"/>
      <c r="R9" s="74"/>
    </row>
    <row r="10" spans="1:18" s="89" customFormat="1" ht="69">
      <c r="A10" s="3" t="s">
        <v>557</v>
      </c>
      <c r="B10" s="3" t="s">
        <v>887</v>
      </c>
      <c r="C10" s="3"/>
      <c r="D10" s="3"/>
      <c r="E10" s="85" t="s">
        <v>888</v>
      </c>
      <c r="F10" s="85"/>
      <c r="G10" s="3"/>
      <c r="H10" s="72"/>
      <c r="I10" s="72"/>
      <c r="J10" s="72"/>
      <c r="K10" s="74"/>
      <c r="L10" s="74"/>
      <c r="M10" s="74"/>
      <c r="N10" s="74"/>
      <c r="O10" s="74"/>
      <c r="P10" s="74"/>
      <c r="Q10" s="74"/>
      <c r="R10" s="74"/>
    </row>
    <row r="11" spans="1:18" s="74" customFormat="1" ht="69">
      <c r="A11" s="3" t="s">
        <v>558</v>
      </c>
      <c r="B11" s="3" t="s">
        <v>889</v>
      </c>
      <c r="C11" s="3"/>
      <c r="D11" s="3"/>
      <c r="E11" s="85" t="s">
        <v>890</v>
      </c>
      <c r="F11" s="85"/>
      <c r="G11" s="3"/>
      <c r="H11" s="72"/>
      <c r="I11" s="72"/>
      <c r="J11" s="72"/>
    </row>
    <row r="12" spans="1:18" s="87" customFormat="1">
      <c r="A12" s="79" t="s">
        <v>62</v>
      </c>
      <c r="B12" s="79"/>
      <c r="C12" s="80"/>
      <c r="D12" s="80"/>
      <c r="E12" s="80" t="s">
        <v>839</v>
      </c>
      <c r="F12" s="80"/>
      <c r="G12" s="80"/>
      <c r="H12" s="72"/>
      <c r="I12" s="72"/>
      <c r="J12" s="72"/>
      <c r="K12" s="74"/>
      <c r="L12" s="74"/>
      <c r="M12" s="74"/>
      <c r="N12" s="74"/>
      <c r="O12" s="74"/>
      <c r="P12" s="74"/>
      <c r="Q12" s="74"/>
      <c r="R12" s="74"/>
    </row>
    <row r="13" spans="1:18" s="87" customFormat="1" ht="82.8">
      <c r="A13" s="3" t="s">
        <v>559</v>
      </c>
      <c r="B13" s="3" t="s">
        <v>891</v>
      </c>
      <c r="C13" s="3"/>
      <c r="D13" s="85" t="s">
        <v>892</v>
      </c>
      <c r="E13" s="85" t="s">
        <v>893</v>
      </c>
      <c r="F13" s="85"/>
      <c r="G13" s="3"/>
      <c r="H13" s="72"/>
      <c r="I13" s="72"/>
      <c r="J13" s="72"/>
      <c r="K13" s="74"/>
      <c r="L13" s="74"/>
      <c r="M13" s="74"/>
      <c r="N13" s="74"/>
      <c r="O13" s="74"/>
      <c r="P13" s="74"/>
      <c r="Q13" s="74"/>
      <c r="R13" s="74"/>
    </row>
    <row r="14" spans="1:18" s="89" customFormat="1" ht="82.8">
      <c r="A14" s="3" t="s">
        <v>560</v>
      </c>
      <c r="B14" s="3" t="s">
        <v>894</v>
      </c>
      <c r="C14" s="3"/>
      <c r="D14" s="3"/>
      <c r="E14" s="85" t="s">
        <v>895</v>
      </c>
      <c r="F14" s="85"/>
      <c r="G14" s="3"/>
      <c r="H14" s="72"/>
      <c r="I14" s="72"/>
      <c r="J14" s="72"/>
      <c r="K14" s="74"/>
      <c r="L14" s="74"/>
      <c r="M14" s="74"/>
      <c r="N14" s="74"/>
      <c r="O14" s="74"/>
      <c r="P14" s="74"/>
      <c r="Q14" s="74"/>
      <c r="R14" s="74"/>
    </row>
    <row r="15" spans="1:18" s="74" customFormat="1" ht="55.2">
      <c r="A15" s="3" t="s">
        <v>561</v>
      </c>
      <c r="B15" s="3" t="s">
        <v>896</v>
      </c>
      <c r="C15" s="3"/>
      <c r="D15" s="3"/>
      <c r="E15" s="85" t="s">
        <v>897</v>
      </c>
      <c r="F15" s="85"/>
      <c r="G15" s="3"/>
      <c r="H15" s="72"/>
      <c r="I15" s="72"/>
      <c r="J15" s="72"/>
    </row>
    <row r="16" spans="1:18" s="74" customFormat="1" ht="69">
      <c r="A16" s="3" t="s">
        <v>562</v>
      </c>
      <c r="B16" s="3" t="s">
        <v>898</v>
      </c>
      <c r="C16" s="3"/>
      <c r="D16" s="3"/>
      <c r="E16" s="85" t="s">
        <v>899</v>
      </c>
      <c r="F16" s="85"/>
      <c r="G16" s="3"/>
      <c r="H16" s="72"/>
      <c r="I16" s="72"/>
      <c r="J16" s="72"/>
    </row>
    <row r="17" spans="1:18" s="87" customFormat="1" ht="96.6">
      <c r="A17" s="3" t="s">
        <v>563</v>
      </c>
      <c r="B17" s="3" t="s">
        <v>900</v>
      </c>
      <c r="C17" s="3"/>
      <c r="D17" s="3"/>
      <c r="E17" s="85" t="s">
        <v>901</v>
      </c>
      <c r="F17" s="85"/>
      <c r="G17" s="3"/>
      <c r="H17" s="72"/>
      <c r="I17" s="72"/>
      <c r="J17" s="72"/>
      <c r="K17" s="74"/>
      <c r="L17" s="74"/>
      <c r="M17" s="74"/>
      <c r="N17" s="74"/>
      <c r="O17" s="74"/>
      <c r="P17" s="74"/>
      <c r="Q17" s="74"/>
      <c r="R17" s="74"/>
    </row>
    <row r="18" spans="1:18" s="87" customFormat="1">
      <c r="A18" s="79" t="s">
        <v>64</v>
      </c>
      <c r="B18" s="79"/>
      <c r="C18" s="80"/>
      <c r="D18" s="80"/>
      <c r="E18" s="80"/>
      <c r="F18" s="80"/>
      <c r="G18" s="80"/>
      <c r="H18" s="72"/>
      <c r="I18" s="72"/>
      <c r="J18" s="72"/>
      <c r="K18" s="74"/>
      <c r="L18" s="74"/>
      <c r="M18" s="74"/>
      <c r="N18" s="74"/>
      <c r="O18" s="74"/>
      <c r="P18" s="74"/>
      <c r="Q18" s="74"/>
      <c r="R18" s="74"/>
    </row>
    <row r="19" spans="1:18" s="89" customFormat="1" ht="55.2">
      <c r="A19" s="3" t="s">
        <v>564</v>
      </c>
      <c r="B19" s="3" t="s">
        <v>902</v>
      </c>
      <c r="C19" s="3"/>
      <c r="D19" s="85" t="s">
        <v>565</v>
      </c>
      <c r="E19" s="85" t="s">
        <v>903</v>
      </c>
      <c r="F19" s="85"/>
      <c r="G19" s="3"/>
      <c r="H19" s="72"/>
      <c r="I19" s="72"/>
      <c r="J19" s="72"/>
      <c r="K19" s="74"/>
      <c r="L19" s="74"/>
      <c r="M19" s="74"/>
      <c r="N19" s="74"/>
      <c r="O19" s="74"/>
      <c r="P19" s="74"/>
      <c r="Q19" s="74"/>
      <c r="R19" s="74"/>
    </row>
    <row r="20" spans="1:18" s="90" customFormat="1">
      <c r="G20" s="73"/>
      <c r="H20" s="72"/>
      <c r="I20" s="72"/>
      <c r="J20" s="72"/>
      <c r="K20" s="73"/>
      <c r="L20" s="73"/>
      <c r="M20" s="73"/>
      <c r="N20" s="73"/>
      <c r="O20" s="73"/>
      <c r="P20" s="73"/>
      <c r="Q20" s="73"/>
      <c r="R20" s="73"/>
    </row>
    <row r="21" spans="1:18" s="90" customFormat="1">
      <c r="G21" s="73"/>
      <c r="H21" s="72"/>
      <c r="I21" s="72"/>
      <c r="J21" s="72"/>
      <c r="K21" s="73"/>
      <c r="L21" s="73"/>
      <c r="M21" s="73"/>
      <c r="N21" s="73"/>
      <c r="O21" s="73"/>
      <c r="P21" s="73"/>
      <c r="Q21" s="73"/>
      <c r="R21" s="73"/>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1" customFormat="1">
      <c r="G38" s="73"/>
      <c r="H38" s="72"/>
      <c r="I38" s="72"/>
      <c r="J38" s="72"/>
      <c r="K38" s="73"/>
      <c r="L38" s="73"/>
      <c r="M38" s="73"/>
      <c r="N38" s="73"/>
      <c r="O38" s="73"/>
      <c r="P38" s="73"/>
      <c r="Q38" s="73"/>
      <c r="R38" s="73"/>
    </row>
    <row r="39" spans="7:18" s="91" customFormat="1">
      <c r="G39" s="73"/>
      <c r="H39" s="72"/>
      <c r="I39" s="72"/>
      <c r="J39" s="72"/>
      <c r="K39" s="73"/>
      <c r="L39" s="73"/>
      <c r="M39" s="73"/>
      <c r="N39" s="73"/>
      <c r="O39" s="73"/>
      <c r="P39" s="73"/>
      <c r="Q39" s="73"/>
      <c r="R39" s="73"/>
    </row>
    <row r="40" spans="7:18" s="91" customFormat="1">
      <c r="G40" s="73"/>
      <c r="H40" s="72"/>
      <c r="I40" s="72"/>
      <c r="J40" s="72"/>
      <c r="K40" s="73"/>
      <c r="L40" s="73"/>
      <c r="M40" s="73"/>
      <c r="N40" s="73"/>
      <c r="O40" s="73"/>
      <c r="P40" s="73"/>
      <c r="Q40" s="73"/>
      <c r="R40" s="73"/>
    </row>
    <row r="41" spans="7:18" s="91" customFormat="1">
      <c r="G41" s="73"/>
      <c r="H41" s="72"/>
      <c r="I41" s="72"/>
      <c r="J41" s="72"/>
      <c r="K41" s="73"/>
      <c r="L41" s="73"/>
      <c r="M41" s="73"/>
      <c r="N41" s="73"/>
      <c r="O41" s="73"/>
      <c r="P41" s="73"/>
      <c r="Q41" s="73"/>
      <c r="R41" s="73"/>
    </row>
    <row r="42" spans="7:18" s="91" customFormat="1">
      <c r="G42" s="73"/>
      <c r="H42" s="72"/>
      <c r="I42" s="72"/>
      <c r="J42" s="72"/>
      <c r="K42" s="73"/>
      <c r="L42" s="73"/>
      <c r="M42" s="73"/>
      <c r="N42" s="73"/>
      <c r="O42" s="73"/>
      <c r="P42" s="73"/>
      <c r="Q42" s="73"/>
      <c r="R42" s="73"/>
    </row>
    <row r="43" spans="7:18" s="91" customFormat="1">
      <c r="G43" s="73"/>
      <c r="H43" s="72"/>
      <c r="I43" s="72"/>
      <c r="J43" s="72"/>
      <c r="K43" s="73"/>
      <c r="L43" s="73"/>
      <c r="M43" s="73"/>
      <c r="N43" s="73"/>
      <c r="O43" s="73"/>
      <c r="P43" s="73"/>
      <c r="Q43" s="73"/>
      <c r="R43" s="73"/>
    </row>
    <row r="44" spans="7:18" s="91" customFormat="1">
      <c r="G44" s="73"/>
      <c r="H44" s="72"/>
      <c r="I44" s="72"/>
      <c r="J44" s="72"/>
      <c r="K44" s="73"/>
      <c r="L44" s="73"/>
      <c r="M44" s="73"/>
      <c r="N44" s="73"/>
      <c r="O44" s="73"/>
      <c r="P44" s="73"/>
      <c r="Q44" s="73"/>
      <c r="R44" s="73"/>
    </row>
    <row r="45" spans="7:18" s="91" customFormat="1">
      <c r="G45" s="73"/>
      <c r="H45" s="72"/>
      <c r="I45" s="72"/>
      <c r="J45" s="72"/>
      <c r="K45" s="73"/>
      <c r="L45" s="73"/>
      <c r="M45" s="73"/>
      <c r="N45" s="73"/>
      <c r="O45" s="73"/>
      <c r="P45" s="73"/>
      <c r="Q45" s="73"/>
      <c r="R45" s="73"/>
    </row>
    <row r="46" spans="7:18" s="91" customFormat="1">
      <c r="G46" s="73"/>
      <c r="H46" s="72"/>
      <c r="I46" s="72"/>
      <c r="J46" s="72"/>
      <c r="K46" s="73"/>
      <c r="L46" s="73"/>
      <c r="M46" s="73"/>
      <c r="N46" s="73"/>
      <c r="O46" s="73"/>
      <c r="P46" s="73"/>
      <c r="Q46" s="73"/>
      <c r="R46" s="73"/>
    </row>
    <row r="47" spans="7:18" s="91"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6FE8F-A4BE-4E9D-9113-411D5BE5B9B2}">
  <sheetPr codeName="Sheet20">
    <tabColor rgb="FF008050"/>
  </sheetPr>
  <dimension ref="A1:R52"/>
  <sheetViews>
    <sheetView topLeftCell="A3" zoomScale="85" zoomScaleNormal="85" workbookViewId="0">
      <pane xSplit="2" ySplit="6" topLeftCell="C17" activePane="bottomRight" state="frozen"/>
      <selection activeCell="I11" sqref="I11:J14"/>
      <selection pane="topRight" activeCell="I11" sqref="I11:J14"/>
      <selection pane="bottomLeft" activeCell="I11" sqref="I11:J14"/>
      <selection pane="bottomRight" activeCell="I11" sqref="I11:J14"/>
    </sheetView>
    <sheetView workbookViewId="1">
      <selection activeCell="A10" sqref="A10:E21"/>
    </sheetView>
  </sheetViews>
  <sheetFormatPr defaultColWidth="8.77734375" defaultRowHeight="13.8"/>
  <cols>
    <col min="1" max="1" width="10.21875" style="78" customWidth="1"/>
    <col min="2" max="2" width="65.21875" style="115" customWidth="1"/>
    <col min="3" max="4" width="21.44140625" style="78" customWidth="1"/>
    <col min="5" max="5" width="48.77734375" style="78" customWidth="1"/>
    <col min="6" max="6" width="34.77734375" style="78" customWidth="1"/>
    <col min="7" max="7" width="21.44140625" style="73" customWidth="1"/>
    <col min="8" max="9" width="17.77734375" style="90" customWidth="1"/>
    <col min="10" max="18" width="8.77734375" style="73"/>
    <col min="19" max="16384" width="8.77734375" style="78"/>
  </cols>
  <sheetData>
    <row r="1" spans="1:18" s="100" customFormat="1" ht="25.8">
      <c r="A1" s="71" t="s">
        <v>448</v>
      </c>
      <c r="B1" s="74"/>
      <c r="C1" s="56"/>
      <c r="D1" s="72"/>
      <c r="E1" s="72"/>
      <c r="F1" s="72"/>
      <c r="G1" s="73"/>
      <c r="H1" s="90"/>
      <c r="I1" s="90"/>
      <c r="J1" s="73"/>
      <c r="K1" s="73"/>
      <c r="L1" s="73"/>
      <c r="M1" s="73"/>
      <c r="N1" s="73"/>
      <c r="O1" s="73"/>
      <c r="P1" s="73"/>
      <c r="Q1" s="73"/>
      <c r="R1" s="73"/>
    </row>
    <row r="2" spans="1:18" s="101" customFormat="1" ht="25.8">
      <c r="A2" s="71" t="s">
        <v>904</v>
      </c>
      <c r="B2" s="74"/>
      <c r="C2" s="56"/>
      <c r="D2" s="72"/>
      <c r="E2" s="72"/>
      <c r="F2" s="72"/>
      <c r="G2" s="73"/>
      <c r="H2" s="90"/>
      <c r="I2" s="90"/>
      <c r="J2" s="73"/>
      <c r="K2" s="73"/>
      <c r="L2" s="73"/>
      <c r="M2" s="73"/>
      <c r="N2" s="73"/>
      <c r="O2" s="73"/>
      <c r="P2" s="73"/>
      <c r="Q2" s="73"/>
      <c r="R2" s="73"/>
    </row>
    <row r="3" spans="1:18" s="97" customFormat="1" ht="27.6">
      <c r="A3" s="74" t="s">
        <v>117</v>
      </c>
      <c r="B3" s="74" t="s">
        <v>449</v>
      </c>
      <c r="C3" s="72"/>
      <c r="D3" s="72"/>
      <c r="E3" s="72"/>
      <c r="F3" s="72"/>
      <c r="G3" s="73"/>
      <c r="H3" s="90"/>
      <c r="I3" s="90"/>
      <c r="J3" s="73"/>
      <c r="K3" s="73"/>
      <c r="L3" s="73"/>
      <c r="M3" s="73"/>
      <c r="N3" s="73"/>
      <c r="O3" s="73"/>
      <c r="P3" s="73"/>
      <c r="Q3" s="73"/>
      <c r="R3" s="73"/>
    </row>
    <row r="4" spans="1:18" s="100" customFormat="1" ht="27.6">
      <c r="A4" s="74" t="s">
        <v>725</v>
      </c>
      <c r="B4" s="74" t="s">
        <v>905</v>
      </c>
      <c r="C4" s="72"/>
      <c r="D4" s="72"/>
      <c r="E4" s="72"/>
      <c r="F4" s="72"/>
      <c r="G4" s="73"/>
      <c r="H4" s="90"/>
      <c r="I4" s="90"/>
      <c r="J4" s="73"/>
      <c r="K4" s="73"/>
      <c r="L4" s="73"/>
      <c r="M4" s="73"/>
      <c r="N4" s="73"/>
      <c r="O4" s="73"/>
      <c r="P4" s="73"/>
      <c r="Q4" s="73"/>
      <c r="R4" s="73"/>
    </row>
    <row r="5" spans="1:18" s="100" customFormat="1" ht="27.6">
      <c r="A5" s="72" t="s">
        <v>118</v>
      </c>
      <c r="B5" s="74" t="s">
        <v>450</v>
      </c>
      <c r="C5" s="72"/>
      <c r="D5" s="72"/>
      <c r="E5" s="72"/>
      <c r="F5" s="72"/>
      <c r="G5" s="73"/>
      <c r="H5" s="90"/>
      <c r="I5" s="90"/>
      <c r="J5" s="73"/>
      <c r="K5" s="73"/>
      <c r="L5" s="73"/>
      <c r="M5" s="73"/>
      <c r="N5" s="73"/>
      <c r="O5" s="73"/>
      <c r="P5" s="73"/>
      <c r="Q5" s="73"/>
      <c r="R5" s="73"/>
    </row>
    <row r="6" spans="1:18" s="101" customFormat="1">
      <c r="A6" s="72" t="s">
        <v>727</v>
      </c>
      <c r="B6" s="74" t="s">
        <v>906</v>
      </c>
      <c r="C6" s="72"/>
      <c r="D6" s="72"/>
      <c r="E6" s="72"/>
      <c r="F6" s="72"/>
      <c r="G6" s="73"/>
      <c r="H6" s="90"/>
      <c r="I6" s="90"/>
      <c r="J6" s="73"/>
      <c r="K6" s="73"/>
      <c r="L6" s="73"/>
      <c r="M6" s="73"/>
      <c r="N6" s="73"/>
      <c r="O6" s="73"/>
      <c r="P6" s="73"/>
      <c r="Q6" s="73"/>
      <c r="R6" s="73"/>
    </row>
    <row r="7" spans="1:18" s="97" customFormat="1">
      <c r="A7" s="78"/>
      <c r="B7" s="115"/>
      <c r="C7" s="78"/>
      <c r="D7" s="78"/>
      <c r="E7" s="72"/>
      <c r="F7" s="72"/>
      <c r="G7" s="112" t="e">
        <f>#REF!</f>
        <v>#REF!</v>
      </c>
      <c r="H7" s="90"/>
      <c r="I7" s="90"/>
      <c r="J7" s="73"/>
      <c r="K7" s="73"/>
      <c r="L7" s="73"/>
      <c r="M7" s="73"/>
      <c r="N7" s="73"/>
      <c r="O7" s="73"/>
      <c r="P7" s="73"/>
      <c r="Q7" s="73"/>
      <c r="R7" s="73"/>
    </row>
    <row r="8" spans="1:18" s="100" customFormat="1">
      <c r="A8" s="103"/>
      <c r="B8" s="116"/>
      <c r="C8" s="103" t="s">
        <v>104</v>
      </c>
      <c r="D8" s="103" t="s">
        <v>654</v>
      </c>
      <c r="E8" s="103" t="s">
        <v>93</v>
      </c>
      <c r="F8" s="103" t="s">
        <v>655</v>
      </c>
      <c r="G8" s="103" t="s">
        <v>691</v>
      </c>
      <c r="H8" s="72"/>
      <c r="I8" s="72"/>
      <c r="J8" s="72"/>
      <c r="K8" s="72"/>
      <c r="L8" s="72"/>
      <c r="M8" s="72"/>
      <c r="N8" s="72"/>
      <c r="O8" s="72"/>
      <c r="P8" s="72"/>
      <c r="Q8" s="72"/>
      <c r="R8" s="72"/>
    </row>
    <row r="9" spans="1:18" s="100" customFormat="1">
      <c r="A9" s="93" t="s">
        <v>55</v>
      </c>
      <c r="B9" s="93"/>
      <c r="C9" s="94"/>
      <c r="D9" s="94"/>
      <c r="E9" s="94"/>
      <c r="F9" s="94"/>
      <c r="G9" s="95"/>
      <c r="H9" s="90"/>
      <c r="I9" s="90"/>
      <c r="J9" s="96"/>
      <c r="K9" s="96"/>
      <c r="L9" s="96"/>
      <c r="M9" s="96"/>
      <c r="N9" s="96"/>
      <c r="O9" s="96"/>
      <c r="P9" s="96"/>
      <c r="Q9" s="96"/>
      <c r="R9" s="96"/>
    </row>
    <row r="10" spans="1:18" s="101" customFormat="1" ht="55.2">
      <c r="A10" s="23" t="s">
        <v>451</v>
      </c>
      <c r="B10" s="23" t="s">
        <v>907</v>
      </c>
      <c r="C10" s="23"/>
      <c r="D10" s="98" t="s">
        <v>908</v>
      </c>
      <c r="E10" s="98" t="s">
        <v>452</v>
      </c>
      <c r="F10" s="98"/>
      <c r="G10" s="99"/>
      <c r="H10" s="90"/>
      <c r="I10" s="90"/>
      <c r="J10" s="96"/>
      <c r="K10" s="96"/>
      <c r="L10" s="96"/>
      <c r="M10" s="96"/>
      <c r="N10" s="96"/>
      <c r="O10" s="96"/>
      <c r="P10" s="96"/>
      <c r="Q10" s="96"/>
      <c r="R10" s="96"/>
    </row>
    <row r="11" spans="1:18" s="97" customFormat="1" ht="27.6">
      <c r="A11" s="23" t="s">
        <v>453</v>
      </c>
      <c r="B11" s="23" t="s">
        <v>909</v>
      </c>
      <c r="C11" s="23"/>
      <c r="D11" s="98" t="s">
        <v>454</v>
      </c>
      <c r="E11" s="98" t="s">
        <v>455</v>
      </c>
      <c r="F11" s="98"/>
      <c r="G11" s="99"/>
      <c r="H11" s="90"/>
      <c r="I11" s="90"/>
      <c r="J11" s="96"/>
      <c r="K11" s="96"/>
      <c r="L11" s="96"/>
      <c r="M11" s="96"/>
      <c r="N11" s="96"/>
      <c r="O11" s="96"/>
      <c r="P11" s="96"/>
      <c r="Q11" s="96"/>
      <c r="R11" s="96"/>
    </row>
    <row r="12" spans="1:18" s="100" customFormat="1">
      <c r="A12" s="93" t="s">
        <v>62</v>
      </c>
      <c r="B12" s="93"/>
      <c r="C12" s="94"/>
      <c r="D12" s="94"/>
      <c r="E12" s="94" t="s">
        <v>839</v>
      </c>
      <c r="F12" s="94"/>
      <c r="G12" s="95"/>
      <c r="H12" s="90"/>
      <c r="I12" s="90"/>
      <c r="J12" s="96"/>
      <c r="K12" s="96"/>
      <c r="L12" s="96"/>
      <c r="M12" s="96"/>
      <c r="N12" s="96"/>
      <c r="O12" s="96"/>
      <c r="P12" s="96"/>
      <c r="Q12" s="96"/>
      <c r="R12" s="96"/>
    </row>
    <row r="13" spans="1:18" s="100" customFormat="1" ht="55.2">
      <c r="A13" s="23" t="s">
        <v>456</v>
      </c>
      <c r="B13" s="23" t="s">
        <v>910</v>
      </c>
      <c r="C13" s="23"/>
      <c r="D13" s="23"/>
      <c r="E13" s="98" t="s">
        <v>457</v>
      </c>
      <c r="F13" s="98"/>
      <c r="G13" s="99"/>
      <c r="H13" s="90"/>
      <c r="I13" s="90"/>
      <c r="J13" s="96"/>
      <c r="K13" s="96"/>
      <c r="L13" s="96"/>
      <c r="M13" s="96"/>
      <c r="N13" s="96"/>
      <c r="O13" s="96"/>
      <c r="P13" s="96"/>
      <c r="Q13" s="96"/>
      <c r="R13" s="96"/>
    </row>
    <row r="14" spans="1:18" s="101" customFormat="1" ht="69">
      <c r="A14" s="23" t="s">
        <v>458</v>
      </c>
      <c r="B14" s="23" t="s">
        <v>911</v>
      </c>
      <c r="C14" s="23"/>
      <c r="D14" s="98" t="s">
        <v>459</v>
      </c>
      <c r="E14" s="98" t="s">
        <v>912</v>
      </c>
      <c r="F14" s="98"/>
      <c r="G14" s="99"/>
      <c r="H14" s="90"/>
      <c r="I14" s="90"/>
      <c r="J14" s="96"/>
      <c r="K14" s="96"/>
      <c r="L14" s="96"/>
      <c r="M14" s="96"/>
      <c r="N14" s="96"/>
      <c r="O14" s="96"/>
      <c r="P14" s="96"/>
      <c r="Q14" s="96"/>
      <c r="R14" s="96"/>
    </row>
    <row r="15" spans="1:18" s="97" customFormat="1" ht="124.2">
      <c r="A15" s="23" t="s">
        <v>460</v>
      </c>
      <c r="B15" s="23" t="s">
        <v>913</v>
      </c>
      <c r="C15" s="98" t="s">
        <v>914</v>
      </c>
      <c r="D15" s="98" t="s">
        <v>915</v>
      </c>
      <c r="E15" s="98" t="s">
        <v>461</v>
      </c>
      <c r="F15" s="98"/>
      <c r="G15" s="99"/>
      <c r="H15" s="90"/>
      <c r="I15" s="90"/>
      <c r="J15" s="96"/>
      <c r="K15" s="96"/>
      <c r="L15" s="96"/>
      <c r="M15" s="96"/>
      <c r="N15" s="96"/>
      <c r="O15" s="96"/>
      <c r="P15" s="96"/>
      <c r="Q15" s="96"/>
      <c r="R15" s="96"/>
    </row>
    <row r="16" spans="1:18" s="100" customFormat="1" ht="55.2">
      <c r="A16" s="23" t="s">
        <v>462</v>
      </c>
      <c r="B16" s="23" t="s">
        <v>916</v>
      </c>
      <c r="C16" s="98" t="s">
        <v>464</v>
      </c>
      <c r="D16" s="98" t="s">
        <v>463</v>
      </c>
      <c r="E16" s="98" t="s">
        <v>465</v>
      </c>
      <c r="F16" s="98"/>
      <c r="G16" s="99"/>
      <c r="H16" s="90"/>
      <c r="I16" s="90"/>
      <c r="J16" s="96"/>
      <c r="K16" s="96"/>
      <c r="L16" s="96"/>
      <c r="M16" s="96"/>
      <c r="N16" s="96"/>
      <c r="O16" s="96"/>
      <c r="P16" s="96"/>
      <c r="Q16" s="96"/>
      <c r="R16" s="96"/>
    </row>
    <row r="17" spans="1:18" s="101" customFormat="1">
      <c r="A17" s="93" t="s">
        <v>64</v>
      </c>
      <c r="B17" s="93"/>
      <c r="C17" s="94"/>
      <c r="D17" s="94"/>
      <c r="E17" s="94" t="s">
        <v>839</v>
      </c>
      <c r="F17" s="94"/>
      <c r="G17" s="95"/>
      <c r="H17" s="90"/>
      <c r="I17" s="90"/>
      <c r="J17" s="96"/>
      <c r="K17" s="96"/>
      <c r="L17" s="96"/>
      <c r="M17" s="96"/>
      <c r="N17" s="96"/>
      <c r="O17" s="96"/>
      <c r="P17" s="96"/>
      <c r="Q17" s="96"/>
      <c r="R17" s="96"/>
    </row>
    <row r="18" spans="1:18" s="97" customFormat="1" ht="82.8">
      <c r="A18" s="23" t="s">
        <v>466</v>
      </c>
      <c r="B18" s="23" t="s">
        <v>917</v>
      </c>
      <c r="C18" s="98" t="s">
        <v>467</v>
      </c>
      <c r="D18" s="98" t="s">
        <v>918</v>
      </c>
      <c r="E18" s="98" t="s">
        <v>919</v>
      </c>
      <c r="F18" s="98"/>
      <c r="G18" s="99"/>
      <c r="H18" s="118"/>
      <c r="I18" s="118"/>
      <c r="J18" s="96"/>
      <c r="K18" s="96"/>
      <c r="L18" s="96"/>
      <c r="M18" s="96"/>
      <c r="N18" s="96"/>
      <c r="O18" s="96"/>
      <c r="P18" s="96"/>
      <c r="Q18" s="96"/>
      <c r="R18" s="96"/>
    </row>
    <row r="19" spans="1:18" s="100" customFormat="1" ht="41.4">
      <c r="A19" s="23" t="s">
        <v>468</v>
      </c>
      <c r="B19" s="23" t="s">
        <v>920</v>
      </c>
      <c r="C19" s="23"/>
      <c r="D19" s="98" t="s">
        <v>469</v>
      </c>
      <c r="E19" s="98" t="s">
        <v>470</v>
      </c>
      <c r="F19" s="98"/>
      <c r="G19" s="99"/>
      <c r="H19" s="90"/>
      <c r="I19" s="90"/>
      <c r="J19" s="96"/>
      <c r="K19" s="96"/>
      <c r="L19" s="96"/>
      <c r="M19" s="96"/>
      <c r="N19" s="96"/>
      <c r="O19" s="96"/>
      <c r="P19" s="96"/>
      <c r="Q19" s="96"/>
      <c r="R19" s="96"/>
    </row>
    <row r="20" spans="1:18" s="100" customFormat="1" ht="41.4">
      <c r="A20" s="23" t="s">
        <v>471</v>
      </c>
      <c r="B20" s="23" t="s">
        <v>472</v>
      </c>
      <c r="C20" s="23"/>
      <c r="D20" s="98" t="s">
        <v>473</v>
      </c>
      <c r="E20" s="98" t="s">
        <v>474</v>
      </c>
      <c r="F20" s="98"/>
      <c r="G20" s="99"/>
      <c r="H20" s="90"/>
      <c r="I20" s="90"/>
      <c r="J20" s="96"/>
      <c r="K20" s="96"/>
      <c r="L20" s="96"/>
      <c r="M20" s="96"/>
      <c r="N20" s="96"/>
      <c r="O20" s="96"/>
      <c r="P20" s="96"/>
      <c r="Q20" s="96"/>
      <c r="R20" s="96"/>
    </row>
    <row r="21" spans="1:18" s="101" customFormat="1" ht="96.6">
      <c r="A21" s="23" t="s">
        <v>475</v>
      </c>
      <c r="B21" s="23" t="s">
        <v>921</v>
      </c>
      <c r="C21" s="23"/>
      <c r="D21" s="98" t="s">
        <v>476</v>
      </c>
      <c r="E21" s="98" t="s">
        <v>922</v>
      </c>
      <c r="F21" s="98"/>
      <c r="G21" s="99"/>
      <c r="H21" s="118"/>
      <c r="I21" s="90"/>
      <c r="J21" s="96"/>
      <c r="K21" s="96"/>
      <c r="L21" s="96"/>
      <c r="M21" s="96"/>
      <c r="N21" s="96"/>
      <c r="O21" s="96"/>
      <c r="P21" s="96"/>
      <c r="Q21" s="96"/>
      <c r="R21" s="96"/>
    </row>
    <row r="22" spans="1:18" s="90" customFormat="1">
      <c r="B22" s="97"/>
      <c r="G22" s="73"/>
      <c r="H22" s="118"/>
      <c r="I22" s="118"/>
      <c r="J22" s="73"/>
      <c r="K22" s="73"/>
      <c r="L22" s="73"/>
      <c r="M22" s="73"/>
      <c r="N22" s="73"/>
      <c r="O22" s="73"/>
      <c r="P22" s="73"/>
      <c r="Q22" s="73"/>
      <c r="R22" s="73"/>
    </row>
    <row r="23" spans="1:18" s="90" customFormat="1">
      <c r="B23" s="97"/>
      <c r="G23" s="73"/>
      <c r="J23" s="73"/>
      <c r="K23" s="73"/>
      <c r="L23" s="73"/>
      <c r="M23" s="73"/>
      <c r="N23" s="73"/>
      <c r="O23" s="73"/>
      <c r="P23" s="73"/>
      <c r="Q23" s="73"/>
      <c r="R23" s="73"/>
    </row>
    <row r="24" spans="1:18" s="90" customFormat="1">
      <c r="B24" s="97"/>
      <c r="G24" s="73"/>
      <c r="J24" s="73"/>
      <c r="K24" s="73"/>
      <c r="L24" s="73"/>
      <c r="M24" s="73"/>
      <c r="N24" s="73"/>
      <c r="O24" s="73"/>
      <c r="P24" s="73"/>
      <c r="Q24" s="73"/>
      <c r="R24" s="73"/>
    </row>
    <row r="25" spans="1:18" s="90" customFormat="1">
      <c r="B25" s="97"/>
      <c r="G25" s="73"/>
      <c r="J25" s="73"/>
      <c r="K25" s="73"/>
      <c r="L25" s="73"/>
      <c r="M25" s="73"/>
      <c r="N25" s="73"/>
      <c r="O25" s="73"/>
      <c r="P25" s="73"/>
      <c r="Q25" s="73"/>
      <c r="R25" s="73"/>
    </row>
    <row r="26" spans="1:18" s="90" customFormat="1">
      <c r="B26" s="97"/>
      <c r="G26" s="73"/>
      <c r="J26" s="73"/>
      <c r="K26" s="73"/>
      <c r="L26" s="73"/>
      <c r="M26" s="73"/>
      <c r="N26" s="73"/>
      <c r="O26" s="73"/>
      <c r="P26" s="73"/>
      <c r="Q26" s="73"/>
      <c r="R26" s="73"/>
    </row>
    <row r="27" spans="1:18" s="90" customFormat="1">
      <c r="B27" s="97"/>
      <c r="G27" s="73"/>
      <c r="J27" s="73"/>
      <c r="K27" s="73"/>
      <c r="L27" s="73"/>
      <c r="M27" s="73"/>
      <c r="N27" s="73"/>
      <c r="O27" s="73"/>
      <c r="P27" s="73"/>
      <c r="Q27" s="73"/>
      <c r="R27" s="73"/>
    </row>
    <row r="28" spans="1:18" s="90" customFormat="1">
      <c r="B28" s="97"/>
      <c r="G28" s="73"/>
      <c r="J28" s="73"/>
      <c r="K28" s="73"/>
      <c r="L28" s="73"/>
      <c r="M28" s="73"/>
      <c r="N28" s="73"/>
      <c r="O28" s="73"/>
      <c r="P28" s="73"/>
      <c r="Q28" s="73"/>
      <c r="R28" s="73"/>
    </row>
    <row r="29" spans="1:18" s="90" customFormat="1">
      <c r="B29" s="97"/>
      <c r="G29" s="73"/>
      <c r="J29" s="73"/>
      <c r="K29" s="73"/>
      <c r="L29" s="73"/>
      <c r="M29" s="73"/>
      <c r="N29" s="73"/>
      <c r="O29" s="73"/>
      <c r="P29" s="73"/>
      <c r="Q29" s="73"/>
      <c r="R29" s="73"/>
    </row>
    <row r="30" spans="1:18" s="90" customFormat="1">
      <c r="B30" s="97"/>
      <c r="G30" s="73"/>
      <c r="J30" s="73"/>
      <c r="K30" s="73"/>
      <c r="L30" s="73"/>
      <c r="M30" s="73"/>
      <c r="N30" s="73"/>
      <c r="O30" s="73"/>
      <c r="P30" s="73"/>
      <c r="Q30" s="73"/>
      <c r="R30" s="73"/>
    </row>
    <row r="31" spans="1:18" s="90" customFormat="1">
      <c r="B31" s="97"/>
      <c r="G31" s="73"/>
      <c r="J31" s="73"/>
      <c r="K31" s="73"/>
      <c r="L31" s="73"/>
      <c r="M31" s="73"/>
      <c r="N31" s="73"/>
      <c r="O31" s="73"/>
      <c r="P31" s="73"/>
      <c r="Q31" s="73"/>
      <c r="R31" s="73"/>
    </row>
    <row r="32" spans="1:18" s="91" customFormat="1">
      <c r="B32" s="117"/>
      <c r="G32" s="73"/>
      <c r="H32" s="90"/>
      <c r="I32" s="90"/>
      <c r="J32" s="73"/>
      <c r="K32" s="73"/>
      <c r="L32" s="73"/>
      <c r="M32" s="73"/>
      <c r="N32" s="73"/>
      <c r="O32" s="73"/>
      <c r="P32" s="73"/>
      <c r="Q32" s="73"/>
      <c r="R32" s="73"/>
    </row>
    <row r="33" spans="2:18" s="91" customFormat="1">
      <c r="B33" s="117"/>
      <c r="G33" s="73"/>
      <c r="H33" s="90"/>
      <c r="I33" s="90"/>
      <c r="J33" s="73"/>
      <c r="K33" s="73"/>
      <c r="L33" s="73"/>
      <c r="M33" s="73"/>
      <c r="N33" s="73"/>
      <c r="O33" s="73"/>
      <c r="P33" s="73"/>
      <c r="Q33" s="73"/>
      <c r="R33" s="73"/>
    </row>
    <row r="34" spans="2:18" s="91" customFormat="1">
      <c r="B34" s="117"/>
      <c r="G34" s="73"/>
      <c r="H34" s="90"/>
      <c r="I34" s="90"/>
      <c r="J34" s="73"/>
      <c r="K34" s="73"/>
      <c r="L34" s="73"/>
      <c r="M34" s="73"/>
      <c r="N34" s="73"/>
      <c r="O34" s="73"/>
      <c r="P34" s="73"/>
      <c r="Q34" s="73"/>
      <c r="R34" s="73"/>
    </row>
    <row r="35" spans="2:18" s="91" customFormat="1">
      <c r="B35" s="117"/>
      <c r="G35" s="73"/>
      <c r="H35" s="90"/>
      <c r="I35" s="90"/>
      <c r="J35" s="73"/>
      <c r="K35" s="73"/>
      <c r="L35" s="73"/>
      <c r="M35" s="73"/>
      <c r="N35" s="73"/>
      <c r="O35" s="73"/>
      <c r="P35" s="73"/>
      <c r="Q35" s="73"/>
      <c r="R35" s="73"/>
    </row>
    <row r="36" spans="2:18" s="91" customFormat="1">
      <c r="B36" s="117"/>
      <c r="G36" s="73"/>
      <c r="H36" s="90"/>
      <c r="I36" s="90"/>
      <c r="J36" s="73"/>
      <c r="K36" s="73"/>
      <c r="L36" s="73"/>
      <c r="M36" s="73"/>
      <c r="N36" s="73"/>
      <c r="O36" s="73"/>
      <c r="P36" s="73"/>
      <c r="Q36" s="73"/>
      <c r="R36" s="73"/>
    </row>
    <row r="37" spans="2:18" s="91" customFormat="1">
      <c r="B37" s="117"/>
      <c r="G37" s="73"/>
      <c r="H37" s="90"/>
      <c r="I37" s="90"/>
      <c r="J37" s="73"/>
      <c r="K37" s="73"/>
      <c r="L37" s="73"/>
      <c r="M37" s="73"/>
      <c r="N37" s="73"/>
      <c r="O37" s="73"/>
      <c r="P37" s="73"/>
      <c r="Q37" s="73"/>
      <c r="R37" s="73"/>
    </row>
    <row r="38" spans="2:18" s="91" customFormat="1">
      <c r="B38" s="117"/>
      <c r="G38" s="73"/>
      <c r="H38" s="90"/>
      <c r="I38" s="90"/>
      <c r="J38" s="73"/>
      <c r="K38" s="73"/>
      <c r="L38" s="73"/>
      <c r="M38" s="73"/>
      <c r="N38" s="73"/>
      <c r="O38" s="73"/>
      <c r="P38" s="73"/>
      <c r="Q38" s="73"/>
      <c r="R38" s="73"/>
    </row>
    <row r="39" spans="2:18" s="91" customFormat="1">
      <c r="B39" s="117"/>
      <c r="G39" s="73"/>
      <c r="H39" s="90"/>
      <c r="I39" s="90"/>
      <c r="J39" s="73"/>
      <c r="K39" s="73"/>
      <c r="L39" s="73"/>
      <c r="M39" s="73"/>
      <c r="N39" s="73"/>
      <c r="O39" s="73"/>
      <c r="P39" s="73"/>
      <c r="Q39" s="73"/>
      <c r="R39" s="73"/>
    </row>
    <row r="40" spans="2:18" s="91" customFormat="1">
      <c r="B40" s="117"/>
      <c r="G40" s="73"/>
      <c r="H40" s="90"/>
      <c r="I40" s="90"/>
      <c r="J40" s="73"/>
      <c r="K40" s="73"/>
      <c r="L40" s="73"/>
      <c r="M40" s="73"/>
      <c r="N40" s="73"/>
      <c r="O40" s="73"/>
      <c r="P40" s="73"/>
      <c r="Q40" s="73"/>
      <c r="R40" s="73"/>
    </row>
    <row r="41" spans="2:18" s="91" customFormat="1">
      <c r="B41" s="117"/>
      <c r="G41" s="73"/>
      <c r="H41" s="90"/>
      <c r="I41" s="90"/>
      <c r="J41" s="73"/>
      <c r="K41" s="73"/>
      <c r="L41" s="73"/>
      <c r="M41" s="73"/>
      <c r="N41" s="73"/>
      <c r="O41" s="73"/>
      <c r="P41" s="73"/>
      <c r="Q41" s="73"/>
      <c r="R41" s="73"/>
    </row>
    <row r="42" spans="2:18" s="91" customFormat="1">
      <c r="B42" s="117"/>
      <c r="G42" s="73"/>
      <c r="H42" s="90"/>
      <c r="I42" s="90"/>
      <c r="J42" s="73"/>
      <c r="K42" s="73"/>
      <c r="L42" s="73"/>
      <c r="M42" s="73"/>
      <c r="N42" s="73"/>
      <c r="O42" s="73"/>
      <c r="P42" s="73"/>
      <c r="Q42" s="73"/>
      <c r="R42" s="73"/>
    </row>
    <row r="43" spans="2:18" s="91" customFormat="1">
      <c r="B43" s="117"/>
      <c r="G43" s="73"/>
      <c r="H43" s="90"/>
      <c r="I43" s="90"/>
      <c r="J43" s="73"/>
      <c r="K43" s="73"/>
      <c r="L43" s="73"/>
      <c r="M43" s="73"/>
      <c r="N43" s="73"/>
      <c r="O43" s="73"/>
      <c r="P43" s="73"/>
      <c r="Q43" s="73"/>
      <c r="R43" s="73"/>
    </row>
    <row r="44" spans="2:18" s="91" customFormat="1">
      <c r="B44" s="117"/>
      <c r="G44" s="73"/>
      <c r="H44" s="90"/>
      <c r="I44" s="90"/>
      <c r="J44" s="73"/>
      <c r="K44" s="73"/>
      <c r="L44" s="73"/>
      <c r="M44" s="73"/>
      <c r="N44" s="73"/>
      <c r="O44" s="73"/>
      <c r="P44" s="73"/>
      <c r="Q44" s="73"/>
      <c r="R44" s="73"/>
    </row>
    <row r="45" spans="2:18" s="91" customFormat="1">
      <c r="B45" s="117"/>
      <c r="G45" s="73"/>
      <c r="H45" s="90"/>
      <c r="I45" s="90"/>
      <c r="J45" s="73"/>
      <c r="K45" s="73"/>
      <c r="L45" s="73"/>
      <c r="M45" s="73"/>
      <c r="N45" s="73"/>
      <c r="O45" s="73"/>
      <c r="P45" s="73"/>
      <c r="Q45" s="73"/>
      <c r="R45" s="73"/>
    </row>
    <row r="46" spans="2:18" s="91" customFormat="1">
      <c r="B46" s="117"/>
      <c r="G46" s="73"/>
      <c r="H46" s="90"/>
      <c r="I46" s="90"/>
      <c r="J46" s="73"/>
      <c r="K46" s="73"/>
      <c r="L46" s="73"/>
      <c r="M46" s="73"/>
      <c r="N46" s="73"/>
      <c r="O46" s="73"/>
      <c r="P46" s="73"/>
      <c r="Q46" s="73"/>
      <c r="R46" s="73"/>
    </row>
    <row r="47" spans="2:18" s="91" customFormat="1">
      <c r="B47" s="117"/>
      <c r="G47" s="73"/>
      <c r="H47" s="90"/>
      <c r="I47" s="90"/>
      <c r="J47" s="73"/>
      <c r="K47" s="73"/>
      <c r="L47" s="73"/>
      <c r="M47" s="73"/>
      <c r="N47" s="73"/>
      <c r="O47" s="73"/>
      <c r="P47" s="73"/>
      <c r="Q47" s="73"/>
      <c r="R47" s="73"/>
    </row>
    <row r="48" spans="2:18" s="91" customFormat="1">
      <c r="B48" s="117"/>
      <c r="G48" s="73"/>
      <c r="H48" s="90"/>
      <c r="I48" s="90"/>
      <c r="J48" s="73"/>
      <c r="K48" s="73"/>
      <c r="L48" s="73"/>
      <c r="M48" s="73"/>
      <c r="N48" s="73"/>
      <c r="O48" s="73"/>
      <c r="P48" s="73"/>
      <c r="Q48" s="73"/>
      <c r="R48" s="73"/>
    </row>
    <row r="49" spans="2:18" s="91" customFormat="1">
      <c r="B49" s="117"/>
      <c r="G49" s="73"/>
      <c r="H49" s="90"/>
      <c r="I49" s="90"/>
      <c r="J49" s="73"/>
      <c r="K49" s="73"/>
      <c r="L49" s="73"/>
      <c r="M49" s="73"/>
      <c r="N49" s="73"/>
      <c r="O49" s="73"/>
      <c r="P49" s="73"/>
      <c r="Q49" s="73"/>
      <c r="R49" s="73"/>
    </row>
    <row r="50" spans="2:18" s="91" customFormat="1">
      <c r="B50" s="117"/>
      <c r="G50" s="73"/>
      <c r="H50" s="90"/>
      <c r="I50" s="90"/>
      <c r="J50" s="73"/>
      <c r="K50" s="73"/>
      <c r="L50" s="73"/>
      <c r="M50" s="73"/>
      <c r="N50" s="73"/>
      <c r="O50" s="73"/>
      <c r="P50" s="73"/>
      <c r="Q50" s="73"/>
      <c r="R50" s="73"/>
    </row>
    <row r="51" spans="2:18" s="91" customFormat="1">
      <c r="B51" s="117"/>
      <c r="G51" s="73"/>
      <c r="H51" s="90"/>
      <c r="I51" s="90"/>
      <c r="J51" s="73"/>
      <c r="K51" s="73"/>
      <c r="L51" s="73"/>
      <c r="M51" s="73"/>
      <c r="N51" s="73"/>
      <c r="O51" s="73"/>
      <c r="P51" s="73"/>
      <c r="Q51" s="73"/>
      <c r="R51" s="73"/>
    </row>
    <row r="52" spans="2:18" s="91" customFormat="1">
      <c r="B52" s="117"/>
      <c r="G52" s="73"/>
      <c r="H52" s="90"/>
      <c r="I52" s="90"/>
      <c r="J52" s="73"/>
      <c r="K52" s="73"/>
      <c r="L52" s="73"/>
      <c r="M52" s="73"/>
      <c r="N52" s="73"/>
      <c r="O52" s="73"/>
      <c r="P52" s="73"/>
      <c r="Q52" s="73"/>
      <c r="R52" s="73"/>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4D7115-2340-4A82-AD65-98EC4DA78796}">
  <sheetPr codeName="Sheet21">
    <tabColor rgb="FF802C19"/>
  </sheetPr>
  <dimension ref="A1:R64"/>
  <sheetViews>
    <sheetView workbookViewId="0">
      <selection activeCell="I11" sqref="I11:J14"/>
    </sheetView>
    <sheetView topLeftCell="A3" workbookViewId="1">
      <selection activeCell="A10" sqref="A10:E17"/>
    </sheetView>
  </sheetViews>
  <sheetFormatPr defaultColWidth="8.77734375" defaultRowHeight="13.8"/>
  <cols>
    <col min="1" max="1" width="10.21875" style="78" customWidth="1"/>
    <col min="2" max="2" width="58.21875" style="78" customWidth="1"/>
    <col min="3" max="4" width="21.44140625" style="78" customWidth="1"/>
    <col min="5" max="6" width="37.5546875" style="78" customWidth="1"/>
    <col min="7" max="7" width="21.44140625" style="73" customWidth="1"/>
    <col min="8" max="18" width="8.77734375" style="73"/>
    <col min="19" max="16384" width="8.77734375" style="78"/>
  </cols>
  <sheetData>
    <row r="1" spans="1:18" s="101" customFormat="1" ht="25.8">
      <c r="A1" s="71" t="s">
        <v>194</v>
      </c>
      <c r="B1" s="72"/>
      <c r="C1" s="56"/>
      <c r="D1" s="72"/>
      <c r="E1" s="72"/>
      <c r="F1" s="72"/>
      <c r="G1" s="73"/>
      <c r="H1" s="73"/>
      <c r="I1" s="73"/>
      <c r="J1" s="73"/>
      <c r="K1" s="73"/>
      <c r="L1" s="73"/>
      <c r="M1" s="73"/>
      <c r="N1" s="73"/>
      <c r="O1" s="73"/>
      <c r="P1" s="73"/>
      <c r="Q1" s="73"/>
      <c r="R1" s="73"/>
    </row>
    <row r="2" spans="1:18" s="97" customFormat="1" ht="25.8">
      <c r="A2" s="71" t="s">
        <v>923</v>
      </c>
      <c r="B2" s="72"/>
      <c r="C2" s="56"/>
      <c r="D2" s="72"/>
      <c r="E2" s="72"/>
      <c r="F2" s="72"/>
      <c r="G2" s="73"/>
      <c r="H2" s="73"/>
      <c r="I2" s="73"/>
      <c r="J2" s="73"/>
      <c r="K2" s="73"/>
      <c r="L2" s="73"/>
      <c r="M2" s="73"/>
      <c r="N2" s="73"/>
      <c r="O2" s="73"/>
      <c r="P2" s="73"/>
      <c r="Q2" s="73"/>
      <c r="R2" s="73"/>
    </row>
    <row r="3" spans="1:18" s="97" customFormat="1">
      <c r="A3" s="74" t="s">
        <v>117</v>
      </c>
      <c r="B3" s="72" t="s">
        <v>195</v>
      </c>
      <c r="C3" s="72"/>
      <c r="D3" s="72"/>
      <c r="E3" s="72"/>
      <c r="F3" s="72"/>
      <c r="G3" s="73"/>
      <c r="H3" s="73"/>
      <c r="I3" s="73"/>
      <c r="J3" s="73"/>
      <c r="K3" s="73"/>
      <c r="L3" s="73"/>
      <c r="M3" s="73"/>
      <c r="N3" s="73"/>
      <c r="O3" s="73"/>
      <c r="P3" s="73"/>
      <c r="Q3" s="73"/>
      <c r="R3" s="73"/>
    </row>
    <row r="4" spans="1:18" s="100" customFormat="1">
      <c r="A4" s="74" t="s">
        <v>725</v>
      </c>
      <c r="B4" s="72" t="s">
        <v>924</v>
      </c>
      <c r="C4" s="72"/>
      <c r="D4" s="72"/>
      <c r="E4" s="72"/>
      <c r="F4" s="72"/>
      <c r="G4" s="73"/>
      <c r="H4" s="73"/>
      <c r="I4" s="73"/>
      <c r="J4" s="73"/>
      <c r="K4" s="73"/>
      <c r="L4" s="73"/>
      <c r="M4" s="73"/>
      <c r="N4" s="73"/>
      <c r="O4" s="73"/>
      <c r="P4" s="73"/>
      <c r="Q4" s="73"/>
      <c r="R4" s="73"/>
    </row>
    <row r="5" spans="1:18" s="97" customFormat="1">
      <c r="A5" s="72" t="s">
        <v>118</v>
      </c>
      <c r="B5" s="72" t="s">
        <v>196</v>
      </c>
      <c r="C5" s="72"/>
      <c r="D5" s="72"/>
      <c r="E5" s="72"/>
      <c r="F5" s="72"/>
      <c r="G5" s="73"/>
      <c r="H5" s="73"/>
      <c r="I5" s="73"/>
      <c r="J5" s="73"/>
      <c r="K5" s="73"/>
      <c r="L5" s="73"/>
      <c r="M5" s="73"/>
      <c r="N5" s="73"/>
      <c r="O5" s="73"/>
      <c r="P5" s="73"/>
      <c r="Q5" s="73"/>
      <c r="R5" s="73"/>
    </row>
    <row r="6" spans="1:18" s="100" customFormat="1">
      <c r="A6" s="72" t="s">
        <v>727</v>
      </c>
      <c r="B6" s="72" t="s">
        <v>925</v>
      </c>
      <c r="C6" s="72"/>
      <c r="D6" s="72"/>
      <c r="E6" s="72"/>
      <c r="F6" s="72"/>
      <c r="G6" s="73"/>
      <c r="H6" s="73"/>
      <c r="I6" s="73"/>
      <c r="J6" s="73"/>
      <c r="K6" s="73"/>
      <c r="L6" s="73"/>
      <c r="M6" s="73"/>
      <c r="N6" s="73"/>
      <c r="O6" s="73"/>
      <c r="P6" s="73"/>
      <c r="Q6" s="73"/>
      <c r="R6" s="73"/>
    </row>
    <row r="7" spans="1:18" s="100" customFormat="1">
      <c r="A7" s="78"/>
      <c r="B7" s="78"/>
      <c r="C7" s="78"/>
      <c r="D7" s="78"/>
      <c r="E7" s="72"/>
      <c r="F7" s="72"/>
      <c r="G7" s="112" t="e">
        <f>CONCATENATE(#REF!," | ",#REF!," | ",#REF!)</f>
        <v>#REF!</v>
      </c>
      <c r="H7" s="73"/>
      <c r="I7" s="73"/>
      <c r="J7" s="73"/>
      <c r="K7" s="73"/>
      <c r="L7" s="73"/>
      <c r="M7" s="73"/>
      <c r="N7" s="73"/>
      <c r="O7" s="73"/>
      <c r="P7" s="73"/>
      <c r="Q7" s="73"/>
      <c r="R7" s="73"/>
    </row>
    <row r="8" spans="1:18" s="89" customFormat="1">
      <c r="A8" s="103"/>
      <c r="B8" s="103"/>
      <c r="C8" s="103" t="s">
        <v>104</v>
      </c>
      <c r="D8" s="103" t="s">
        <v>654</v>
      </c>
      <c r="E8" s="103" t="s">
        <v>93</v>
      </c>
      <c r="F8" s="103" t="s">
        <v>655</v>
      </c>
      <c r="G8" s="103" t="s">
        <v>691</v>
      </c>
      <c r="H8" s="72"/>
      <c r="I8" s="72"/>
      <c r="J8" s="72"/>
      <c r="K8" s="72"/>
      <c r="L8" s="72"/>
      <c r="M8" s="72"/>
      <c r="N8" s="72"/>
      <c r="O8" s="72"/>
      <c r="P8" s="72"/>
      <c r="Q8" s="72"/>
      <c r="R8" s="72"/>
    </row>
    <row r="9" spans="1:18" s="74" customFormat="1">
      <c r="A9" s="79" t="s">
        <v>55</v>
      </c>
      <c r="B9" s="79"/>
      <c r="C9" s="80"/>
      <c r="D9" s="80"/>
      <c r="E9" s="80"/>
      <c r="F9" s="80"/>
      <c r="G9" s="80"/>
    </row>
    <row r="10" spans="1:18" s="87" customFormat="1" ht="55.2">
      <c r="A10" s="3" t="s">
        <v>197</v>
      </c>
      <c r="B10" s="3" t="s">
        <v>926</v>
      </c>
      <c r="C10" s="3"/>
      <c r="D10" s="3"/>
      <c r="E10" s="85" t="s">
        <v>198</v>
      </c>
      <c r="F10" s="85"/>
      <c r="G10" s="3"/>
      <c r="H10" s="74"/>
      <c r="I10" s="74"/>
      <c r="J10" s="74"/>
      <c r="K10" s="74"/>
      <c r="L10" s="74"/>
      <c r="M10" s="74"/>
      <c r="N10" s="74"/>
      <c r="O10" s="74"/>
      <c r="P10" s="74"/>
      <c r="Q10" s="74"/>
      <c r="R10" s="74"/>
    </row>
    <row r="11" spans="1:18" s="87" customFormat="1">
      <c r="A11" s="79" t="s">
        <v>62</v>
      </c>
      <c r="B11" s="79"/>
      <c r="C11" s="80"/>
      <c r="D11" s="80"/>
      <c r="E11" s="80"/>
      <c r="F11" s="80"/>
      <c r="G11" s="80"/>
      <c r="H11" s="74"/>
      <c r="I11" s="74"/>
      <c r="J11" s="74"/>
      <c r="K11" s="74"/>
      <c r="L11" s="74"/>
      <c r="M11" s="74"/>
      <c r="N11" s="74"/>
      <c r="O11" s="74"/>
      <c r="P11" s="74"/>
      <c r="Q11" s="74"/>
      <c r="R11" s="74"/>
    </row>
    <row r="12" spans="1:18" s="89" customFormat="1" ht="41.4">
      <c r="A12" s="3" t="s">
        <v>199</v>
      </c>
      <c r="B12" s="3" t="s">
        <v>927</v>
      </c>
      <c r="C12" s="3"/>
      <c r="D12" s="3"/>
      <c r="E12" s="85" t="s">
        <v>200</v>
      </c>
      <c r="F12" s="85"/>
      <c r="G12" s="3"/>
      <c r="H12" s="74"/>
      <c r="I12" s="74"/>
      <c r="J12" s="74"/>
      <c r="K12" s="74"/>
      <c r="L12" s="74"/>
      <c r="M12" s="74"/>
      <c r="N12" s="74"/>
      <c r="O12" s="74"/>
      <c r="P12" s="74"/>
      <c r="Q12" s="74"/>
      <c r="R12" s="74"/>
    </row>
    <row r="13" spans="1:18" s="74" customFormat="1" ht="41.4">
      <c r="A13" s="3" t="s">
        <v>201</v>
      </c>
      <c r="B13" s="3" t="s">
        <v>928</v>
      </c>
      <c r="C13" s="3"/>
      <c r="D13" s="3"/>
      <c r="E13" s="85" t="s">
        <v>202</v>
      </c>
      <c r="F13" s="85"/>
      <c r="G13" s="3"/>
    </row>
    <row r="14" spans="1:18" s="74" customFormat="1" ht="69">
      <c r="A14" s="3" t="s">
        <v>203</v>
      </c>
      <c r="B14" s="3" t="s">
        <v>929</v>
      </c>
      <c r="C14" s="85" t="s">
        <v>930</v>
      </c>
      <c r="D14" s="3"/>
      <c r="E14" s="85" t="s">
        <v>204</v>
      </c>
      <c r="F14" s="85"/>
      <c r="G14" s="3"/>
    </row>
    <row r="15" spans="1:18" s="87" customFormat="1" ht="41.4">
      <c r="A15" s="3" t="s">
        <v>205</v>
      </c>
      <c r="B15" s="3" t="s">
        <v>931</v>
      </c>
      <c r="C15" s="3"/>
      <c r="D15" s="3"/>
      <c r="E15" s="85" t="s">
        <v>206</v>
      </c>
      <c r="F15" s="85"/>
      <c r="G15" s="3"/>
      <c r="H15" s="74"/>
      <c r="I15" s="74"/>
      <c r="J15" s="74"/>
      <c r="K15" s="74"/>
      <c r="L15" s="74"/>
      <c r="M15" s="74"/>
      <c r="N15" s="74"/>
      <c r="O15" s="74"/>
      <c r="P15" s="74"/>
      <c r="Q15" s="74"/>
      <c r="R15" s="74"/>
    </row>
    <row r="16" spans="1:18" s="87" customFormat="1">
      <c r="A16" s="79" t="s">
        <v>64</v>
      </c>
      <c r="B16" s="79"/>
      <c r="C16" s="80"/>
      <c r="D16" s="80"/>
      <c r="E16" s="80"/>
      <c r="F16" s="80"/>
      <c r="G16" s="80"/>
      <c r="H16" s="74"/>
      <c r="I16" s="74"/>
      <c r="J16" s="74"/>
      <c r="K16" s="74"/>
      <c r="L16" s="74"/>
      <c r="M16" s="74"/>
      <c r="N16" s="74"/>
      <c r="O16" s="74"/>
      <c r="P16" s="74"/>
      <c r="Q16" s="74"/>
      <c r="R16" s="74"/>
    </row>
    <row r="17" spans="1:18" s="89" customFormat="1" ht="38.549999999999997" customHeight="1">
      <c r="A17" s="3" t="s">
        <v>207</v>
      </c>
      <c r="B17" s="3" t="s">
        <v>932</v>
      </c>
      <c r="C17" s="85" t="s">
        <v>933</v>
      </c>
      <c r="D17" s="3"/>
      <c r="E17" s="85" t="s">
        <v>208</v>
      </c>
      <c r="F17" s="85"/>
      <c r="G17" s="3"/>
      <c r="H17" s="74"/>
      <c r="I17" s="74"/>
      <c r="J17" s="74"/>
      <c r="K17" s="74"/>
      <c r="L17" s="74"/>
      <c r="M17" s="74"/>
      <c r="N17" s="74"/>
      <c r="O17" s="74"/>
      <c r="P17" s="74"/>
      <c r="Q17" s="74"/>
      <c r="R17" s="74"/>
    </row>
    <row r="18" spans="1:18" s="90" customFormat="1">
      <c r="G18" s="73"/>
      <c r="H18" s="73"/>
      <c r="I18" s="73"/>
      <c r="J18" s="73"/>
      <c r="K18" s="73"/>
      <c r="L18" s="73"/>
      <c r="M18" s="73"/>
      <c r="N18" s="73"/>
      <c r="O18" s="73"/>
      <c r="P18" s="73"/>
      <c r="Q18" s="73"/>
      <c r="R18" s="73"/>
    </row>
    <row r="19" spans="1:18" s="90" customFormat="1">
      <c r="G19" s="73"/>
      <c r="H19" s="73"/>
      <c r="I19" s="73"/>
      <c r="J19" s="73"/>
      <c r="K19" s="73"/>
      <c r="L19" s="73"/>
      <c r="M19" s="73"/>
      <c r="N19" s="73"/>
      <c r="O19" s="73"/>
      <c r="P19" s="73"/>
      <c r="Q19" s="73"/>
      <c r="R19" s="73"/>
    </row>
    <row r="20" spans="1:18" s="90" customFormat="1">
      <c r="G20" s="73"/>
      <c r="H20" s="73"/>
      <c r="I20" s="73"/>
      <c r="J20" s="73"/>
      <c r="K20" s="73"/>
      <c r="L20" s="73"/>
      <c r="M20" s="73"/>
      <c r="N20" s="73"/>
      <c r="O20" s="73"/>
      <c r="P20" s="73"/>
      <c r="Q20" s="73"/>
      <c r="R20" s="73"/>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0" customFormat="1">
      <c r="G26" s="73"/>
      <c r="H26" s="73"/>
      <c r="I26" s="73"/>
      <c r="J26" s="73"/>
      <c r="K26" s="73"/>
      <c r="L26" s="73"/>
      <c r="M26" s="73"/>
      <c r="N26" s="73"/>
      <c r="O26" s="73"/>
      <c r="P26" s="73"/>
      <c r="Q26" s="73"/>
      <c r="R26" s="73"/>
    </row>
    <row r="27" spans="1:18" s="90" customFormat="1">
      <c r="G27" s="73"/>
      <c r="H27" s="73"/>
      <c r="I27" s="73"/>
      <c r="J27" s="73"/>
      <c r="K27" s="73"/>
      <c r="L27" s="73"/>
      <c r="M27" s="73"/>
      <c r="N27" s="73"/>
      <c r="O27" s="73"/>
      <c r="P27" s="73"/>
      <c r="Q27" s="73"/>
      <c r="R27" s="73"/>
    </row>
    <row r="28" spans="1:18" s="90" customFormat="1">
      <c r="G28" s="73"/>
      <c r="H28" s="73"/>
      <c r="I28" s="73"/>
      <c r="J28" s="73"/>
      <c r="K28" s="73"/>
      <c r="L28" s="73"/>
      <c r="M28" s="73"/>
      <c r="N28" s="73"/>
      <c r="O28" s="73"/>
      <c r="P28" s="73"/>
      <c r="Q28" s="73"/>
      <c r="R28" s="73"/>
    </row>
    <row r="29" spans="1:18" s="90" customFormat="1">
      <c r="G29" s="73"/>
      <c r="H29" s="73"/>
      <c r="I29" s="73"/>
      <c r="J29" s="73"/>
      <c r="K29" s="73"/>
      <c r="L29" s="73"/>
      <c r="M29" s="73"/>
      <c r="N29" s="73"/>
      <c r="O29" s="73"/>
      <c r="P29" s="73"/>
      <c r="Q29" s="73"/>
      <c r="R29" s="73"/>
    </row>
    <row r="30" spans="1:18" s="90" customFormat="1">
      <c r="G30" s="73"/>
      <c r="H30" s="73"/>
      <c r="I30" s="73"/>
      <c r="J30" s="73"/>
      <c r="K30" s="73"/>
      <c r="L30" s="73"/>
      <c r="M30" s="73"/>
      <c r="N30" s="73"/>
      <c r="O30" s="73"/>
      <c r="P30" s="73"/>
      <c r="Q30" s="73"/>
      <c r="R30" s="73"/>
    </row>
    <row r="31" spans="1:18" s="90" customFormat="1">
      <c r="G31" s="73"/>
      <c r="H31" s="73"/>
      <c r="I31" s="73"/>
      <c r="J31" s="73"/>
      <c r="K31" s="73"/>
      <c r="L31" s="73"/>
      <c r="M31" s="73"/>
      <c r="N31" s="73"/>
      <c r="O31" s="73"/>
      <c r="P31" s="73"/>
      <c r="Q31" s="73"/>
      <c r="R31" s="73"/>
    </row>
    <row r="32" spans="1:18" s="90" customFormat="1">
      <c r="G32" s="73"/>
      <c r="H32" s="73"/>
      <c r="I32" s="73"/>
      <c r="J32" s="73"/>
      <c r="K32" s="73"/>
      <c r="L32" s="73"/>
      <c r="M32" s="73"/>
      <c r="N32" s="73"/>
      <c r="O32" s="73"/>
      <c r="P32" s="73"/>
      <c r="Q32" s="73"/>
      <c r="R32" s="73"/>
    </row>
    <row r="33" spans="7:18" s="90" customFormat="1">
      <c r="G33" s="73"/>
      <c r="H33" s="73"/>
      <c r="I33" s="73"/>
      <c r="J33" s="73"/>
      <c r="K33" s="73"/>
      <c r="L33" s="73"/>
      <c r="M33" s="73"/>
      <c r="N33" s="73"/>
      <c r="O33" s="73"/>
      <c r="P33" s="73"/>
      <c r="Q33" s="73"/>
      <c r="R33" s="73"/>
    </row>
    <row r="34" spans="7:18" s="90" customFormat="1">
      <c r="G34" s="73"/>
      <c r="H34" s="73"/>
      <c r="I34" s="73"/>
      <c r="J34" s="73"/>
      <c r="K34" s="73"/>
      <c r="L34" s="73"/>
      <c r="M34" s="73"/>
      <c r="N34" s="73"/>
      <c r="O34" s="73"/>
      <c r="P34" s="73"/>
      <c r="Q34" s="73"/>
      <c r="R34" s="73"/>
    </row>
    <row r="35" spans="7:18" s="90" customFormat="1">
      <c r="G35" s="73"/>
      <c r="H35" s="73"/>
      <c r="I35" s="73"/>
      <c r="J35" s="73"/>
      <c r="K35" s="73"/>
      <c r="L35" s="73"/>
      <c r="M35" s="73"/>
      <c r="N35" s="73"/>
      <c r="O35" s="73"/>
      <c r="P35" s="73"/>
      <c r="Q35" s="73"/>
      <c r="R35" s="73"/>
    </row>
    <row r="36" spans="7:18" s="90" customFormat="1">
      <c r="G36" s="73"/>
      <c r="H36" s="73"/>
      <c r="I36" s="73"/>
      <c r="J36" s="73"/>
      <c r="K36" s="73"/>
      <c r="L36" s="73"/>
      <c r="M36" s="73"/>
      <c r="N36" s="73"/>
      <c r="O36" s="73"/>
      <c r="P36" s="73"/>
      <c r="Q36" s="73"/>
      <c r="R36" s="73"/>
    </row>
    <row r="37" spans="7:18" s="90" customFormat="1">
      <c r="G37" s="73"/>
      <c r="H37" s="73"/>
      <c r="I37" s="73"/>
      <c r="J37" s="73"/>
      <c r="K37" s="73"/>
      <c r="L37" s="73"/>
      <c r="M37" s="73"/>
      <c r="N37" s="73"/>
      <c r="O37" s="73"/>
      <c r="P37" s="73"/>
      <c r="Q37" s="73"/>
      <c r="R37" s="73"/>
    </row>
    <row r="38" spans="7:18" s="90" customFormat="1">
      <c r="G38" s="73"/>
      <c r="H38" s="73"/>
      <c r="I38" s="73"/>
      <c r="J38" s="73"/>
      <c r="K38" s="73"/>
      <c r="L38" s="73"/>
      <c r="M38" s="73"/>
      <c r="N38" s="73"/>
      <c r="O38" s="73"/>
      <c r="P38" s="73"/>
      <c r="Q38" s="73"/>
      <c r="R38" s="73"/>
    </row>
    <row r="39" spans="7:18" s="90" customFormat="1">
      <c r="G39" s="73"/>
      <c r="H39" s="73"/>
      <c r="I39" s="73"/>
      <c r="J39" s="73"/>
      <c r="K39" s="73"/>
      <c r="L39" s="73"/>
      <c r="M39" s="73"/>
      <c r="N39" s="73"/>
      <c r="O39" s="73"/>
      <c r="P39" s="73"/>
      <c r="Q39" s="73"/>
      <c r="R39" s="73"/>
    </row>
    <row r="40" spans="7:18" s="90" customFormat="1">
      <c r="G40" s="73"/>
      <c r="H40" s="73"/>
      <c r="I40" s="73"/>
      <c r="J40" s="73"/>
      <c r="K40" s="73"/>
      <c r="L40" s="73"/>
      <c r="M40" s="73"/>
      <c r="N40" s="73"/>
      <c r="O40" s="73"/>
      <c r="P40" s="73"/>
      <c r="Q40" s="73"/>
      <c r="R40" s="73"/>
    </row>
    <row r="41" spans="7:18" s="90" customFormat="1">
      <c r="G41" s="73"/>
      <c r="H41" s="73"/>
      <c r="I41" s="73"/>
      <c r="J41" s="73"/>
      <c r="K41" s="73"/>
      <c r="L41" s="73"/>
      <c r="M41" s="73"/>
      <c r="N41" s="73"/>
      <c r="O41" s="73"/>
      <c r="P41" s="73"/>
      <c r="Q41" s="73"/>
      <c r="R41" s="73"/>
    </row>
    <row r="42" spans="7:18" s="90" customFormat="1">
      <c r="G42" s="73"/>
      <c r="H42" s="73"/>
      <c r="I42" s="73"/>
      <c r="J42" s="73"/>
      <c r="K42" s="73"/>
      <c r="L42" s="73"/>
      <c r="M42" s="73"/>
      <c r="N42" s="73"/>
      <c r="O42" s="73"/>
      <c r="P42" s="73"/>
      <c r="Q42" s="73"/>
      <c r="R42" s="73"/>
    </row>
    <row r="43" spans="7:18" s="90"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row r="47" spans="7:18" s="91" customFormat="1">
      <c r="G47" s="73"/>
      <c r="H47" s="73"/>
      <c r="I47" s="73"/>
      <c r="J47" s="73"/>
      <c r="K47" s="73"/>
      <c r="L47" s="73"/>
      <c r="M47" s="73"/>
      <c r="N47" s="73"/>
      <c r="O47" s="73"/>
      <c r="P47" s="73"/>
      <c r="Q47" s="73"/>
      <c r="R47" s="73"/>
    </row>
    <row r="48" spans="7:18" s="91" customFormat="1">
      <c r="G48" s="73"/>
      <c r="H48" s="73"/>
      <c r="I48" s="73"/>
      <c r="J48" s="73"/>
      <c r="K48" s="73"/>
      <c r="L48" s="73"/>
      <c r="M48" s="73"/>
      <c r="N48" s="73"/>
      <c r="O48" s="73"/>
      <c r="P48" s="73"/>
      <c r="Q48" s="73"/>
      <c r="R48" s="73"/>
    </row>
    <row r="49" spans="7:18" s="91" customFormat="1">
      <c r="G49" s="73"/>
      <c r="H49" s="73"/>
      <c r="I49" s="73"/>
      <c r="J49" s="73"/>
      <c r="K49" s="73"/>
      <c r="L49" s="73"/>
      <c r="M49" s="73"/>
      <c r="N49" s="73"/>
      <c r="O49" s="73"/>
      <c r="P49" s="73"/>
      <c r="Q49" s="73"/>
      <c r="R49" s="73"/>
    </row>
    <row r="50" spans="7:18" s="91" customFormat="1">
      <c r="G50" s="73"/>
      <c r="H50" s="73"/>
      <c r="I50" s="73"/>
      <c r="J50" s="73"/>
      <c r="K50" s="73"/>
      <c r="L50" s="73"/>
      <c r="M50" s="73"/>
      <c r="N50" s="73"/>
      <c r="O50" s="73"/>
      <c r="P50" s="73"/>
      <c r="Q50" s="73"/>
      <c r="R50" s="73"/>
    </row>
    <row r="51" spans="7:18" s="91" customFormat="1">
      <c r="G51" s="73"/>
      <c r="H51" s="73"/>
      <c r="I51" s="73"/>
      <c r="J51" s="73"/>
      <c r="K51" s="73"/>
      <c r="L51" s="73"/>
      <c r="M51" s="73"/>
      <c r="N51" s="73"/>
      <c r="O51" s="73"/>
      <c r="P51" s="73"/>
      <c r="Q51" s="73"/>
      <c r="R51" s="73"/>
    </row>
    <row r="52" spans="7:18" s="91" customFormat="1">
      <c r="G52" s="73"/>
      <c r="H52" s="73"/>
      <c r="I52" s="73"/>
      <c r="J52" s="73"/>
      <c r="K52" s="73"/>
      <c r="L52" s="73"/>
      <c r="M52" s="73"/>
      <c r="N52" s="73"/>
      <c r="O52" s="73"/>
      <c r="P52" s="73"/>
      <c r="Q52" s="73"/>
      <c r="R52" s="73"/>
    </row>
    <row r="53" spans="7:18" s="91" customFormat="1">
      <c r="G53" s="73"/>
      <c r="H53" s="73"/>
      <c r="I53" s="73"/>
      <c r="J53" s="73"/>
      <c r="K53" s="73"/>
      <c r="L53" s="73"/>
      <c r="M53" s="73"/>
      <c r="N53" s="73"/>
      <c r="O53" s="73"/>
      <c r="P53" s="73"/>
      <c r="Q53" s="73"/>
      <c r="R53" s="73"/>
    </row>
    <row r="54" spans="7:18" s="91" customFormat="1">
      <c r="G54" s="73"/>
      <c r="H54" s="73"/>
      <c r="I54" s="73"/>
      <c r="J54" s="73"/>
      <c r="K54" s="73"/>
      <c r="L54" s="73"/>
      <c r="M54" s="73"/>
      <c r="N54" s="73"/>
      <c r="O54" s="73"/>
      <c r="P54" s="73"/>
      <c r="Q54" s="73"/>
      <c r="R54" s="73"/>
    </row>
    <row r="55" spans="7:18" s="91" customFormat="1">
      <c r="G55" s="73"/>
      <c r="H55" s="73"/>
      <c r="I55" s="73"/>
      <c r="J55" s="73"/>
      <c r="K55" s="73"/>
      <c r="L55" s="73"/>
      <c r="M55" s="73"/>
      <c r="N55" s="73"/>
      <c r="O55" s="73"/>
      <c r="P55" s="73"/>
      <c r="Q55" s="73"/>
      <c r="R55" s="73"/>
    </row>
    <row r="56" spans="7:18" s="91" customFormat="1">
      <c r="G56" s="73"/>
      <c r="H56" s="73"/>
      <c r="I56" s="73"/>
      <c r="J56" s="73"/>
      <c r="K56" s="73"/>
      <c r="L56" s="73"/>
      <c r="M56" s="73"/>
      <c r="N56" s="73"/>
      <c r="O56" s="73"/>
      <c r="P56" s="73"/>
      <c r="Q56" s="73"/>
      <c r="R56" s="73"/>
    </row>
    <row r="57" spans="7:18" s="91" customFormat="1">
      <c r="G57" s="73"/>
      <c r="H57" s="73"/>
      <c r="I57" s="73"/>
      <c r="J57" s="73"/>
      <c r="K57" s="73"/>
      <c r="L57" s="73"/>
      <c r="M57" s="73"/>
      <c r="N57" s="73"/>
      <c r="O57" s="73"/>
      <c r="P57" s="73"/>
      <c r="Q57" s="73"/>
      <c r="R57" s="73"/>
    </row>
    <row r="58" spans="7:18" s="91" customFormat="1">
      <c r="G58" s="73"/>
      <c r="H58" s="73"/>
      <c r="I58" s="73"/>
      <c r="J58" s="73"/>
      <c r="K58" s="73"/>
      <c r="L58" s="73"/>
      <c r="M58" s="73"/>
      <c r="N58" s="73"/>
      <c r="O58" s="73"/>
      <c r="P58" s="73"/>
      <c r="Q58" s="73"/>
      <c r="R58" s="73"/>
    </row>
    <row r="59" spans="7:18" s="91" customFormat="1">
      <c r="G59" s="73"/>
      <c r="H59" s="73"/>
      <c r="I59" s="73"/>
      <c r="J59" s="73"/>
      <c r="K59" s="73"/>
      <c r="L59" s="73"/>
      <c r="M59" s="73"/>
      <c r="N59" s="73"/>
      <c r="O59" s="73"/>
      <c r="P59" s="73"/>
      <c r="Q59" s="73"/>
      <c r="R59" s="73"/>
    </row>
    <row r="60" spans="7:18" s="91" customFormat="1">
      <c r="G60" s="73"/>
      <c r="H60" s="73"/>
      <c r="I60" s="73"/>
      <c r="J60" s="73"/>
      <c r="K60" s="73"/>
      <c r="L60" s="73"/>
      <c r="M60" s="73"/>
      <c r="N60" s="73"/>
      <c r="O60" s="73"/>
      <c r="P60" s="73"/>
      <c r="Q60" s="73"/>
      <c r="R60" s="73"/>
    </row>
    <row r="61" spans="7:18" s="91" customFormat="1">
      <c r="G61" s="73"/>
      <c r="H61" s="73"/>
      <c r="I61" s="73"/>
      <c r="J61" s="73"/>
      <c r="K61" s="73"/>
      <c r="L61" s="73"/>
      <c r="M61" s="73"/>
      <c r="N61" s="73"/>
      <c r="O61" s="73"/>
      <c r="P61" s="73"/>
      <c r="Q61" s="73"/>
      <c r="R61" s="73"/>
    </row>
    <row r="62" spans="7:18" s="91" customFormat="1">
      <c r="G62" s="73"/>
      <c r="H62" s="73"/>
      <c r="I62" s="73"/>
      <c r="J62" s="73"/>
      <c r="K62" s="73"/>
      <c r="L62" s="73"/>
      <c r="M62" s="73"/>
      <c r="N62" s="73"/>
      <c r="O62" s="73"/>
      <c r="P62" s="73"/>
      <c r="Q62" s="73"/>
      <c r="R62" s="73"/>
    </row>
    <row r="63" spans="7:18" s="91" customFormat="1">
      <c r="G63" s="73"/>
      <c r="H63" s="73"/>
      <c r="I63" s="73"/>
      <c r="J63" s="73"/>
      <c r="K63" s="73"/>
      <c r="L63" s="73"/>
      <c r="M63" s="73"/>
      <c r="N63" s="73"/>
      <c r="O63" s="73"/>
      <c r="P63" s="73"/>
      <c r="Q63" s="73"/>
      <c r="R63" s="73"/>
    </row>
    <row r="64" spans="7:18" s="91" customFormat="1">
      <c r="G64" s="73"/>
      <c r="H64" s="73"/>
      <c r="I64" s="73"/>
      <c r="J64" s="73"/>
      <c r="K64" s="73"/>
      <c r="L64" s="73"/>
      <c r="M64" s="73"/>
      <c r="N64" s="73"/>
      <c r="O64" s="73"/>
      <c r="P64" s="73"/>
      <c r="Q64" s="73"/>
      <c r="R64" s="73"/>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4ECCA3-F16D-46F5-BDB2-6C8FB37C9990}">
  <sheetPr codeName="Sheet22">
    <tabColor rgb="FF00A551"/>
  </sheetPr>
  <dimension ref="A1:R47"/>
  <sheetViews>
    <sheetView workbookViewId="0">
      <pane xSplit="2" ySplit="9" topLeftCell="C10" activePane="bottomRight" state="frozen"/>
      <selection activeCell="I11" sqref="I11:J14"/>
      <selection pane="topRight" activeCell="I11" sqref="I11:J14"/>
      <selection pane="bottomLeft" activeCell="I11" sqref="I11:J14"/>
      <selection pane="bottomRight" activeCell="I11" sqref="I11:J14"/>
    </sheetView>
    <sheetView topLeftCell="A6" workbookViewId="1">
      <selection activeCell="A10" sqref="A10:E19"/>
    </sheetView>
  </sheetViews>
  <sheetFormatPr defaultColWidth="8.77734375" defaultRowHeight="13.8"/>
  <cols>
    <col min="1" max="1" width="10.21875" style="78" customWidth="1"/>
    <col min="2" max="2" width="59.21875" style="115" customWidth="1"/>
    <col min="3" max="4" width="21.44140625" style="78" customWidth="1"/>
    <col min="5" max="5" width="41.77734375" style="74" customWidth="1"/>
    <col min="6" max="6" width="28.44140625" style="74" customWidth="1"/>
    <col min="7" max="7" width="21.44140625" style="74" customWidth="1"/>
    <col min="8" max="9" width="22.21875" style="72" customWidth="1"/>
    <col min="10" max="10" width="8.77734375" style="72"/>
    <col min="11" max="18" width="8.77734375" style="73"/>
    <col min="19" max="16384" width="8.77734375" style="78"/>
  </cols>
  <sheetData>
    <row r="1" spans="1:18" s="100" customFormat="1" ht="25.8">
      <c r="A1" s="71" t="s">
        <v>387</v>
      </c>
      <c r="B1" s="74"/>
      <c r="C1" s="56"/>
      <c r="D1" s="72"/>
      <c r="E1" s="74"/>
      <c r="F1" s="74"/>
      <c r="G1" s="74"/>
      <c r="H1" s="72"/>
      <c r="I1" s="72"/>
      <c r="J1" s="72"/>
      <c r="K1" s="73"/>
      <c r="L1" s="73"/>
      <c r="M1" s="73"/>
      <c r="N1" s="73"/>
      <c r="O1" s="73"/>
      <c r="P1" s="73"/>
      <c r="Q1" s="73"/>
      <c r="R1" s="73"/>
    </row>
    <row r="2" spans="1:18" s="101" customFormat="1" ht="25.8">
      <c r="A2" s="71" t="s">
        <v>934</v>
      </c>
      <c r="B2" s="74"/>
      <c r="C2" s="56"/>
      <c r="D2" s="72"/>
      <c r="E2" s="74"/>
      <c r="F2" s="74"/>
      <c r="G2" s="74"/>
      <c r="H2" s="72"/>
      <c r="I2" s="72"/>
      <c r="J2" s="72"/>
      <c r="K2" s="73"/>
      <c r="L2" s="73"/>
      <c r="M2" s="73"/>
      <c r="N2" s="73"/>
      <c r="O2" s="73"/>
      <c r="P2" s="73"/>
      <c r="Q2" s="73"/>
      <c r="R2" s="73"/>
    </row>
    <row r="3" spans="1:18" s="97" customFormat="1">
      <c r="A3" s="74" t="s">
        <v>117</v>
      </c>
      <c r="B3" s="74" t="s">
        <v>388</v>
      </c>
      <c r="C3" s="72"/>
      <c r="D3" s="72"/>
      <c r="E3" s="74"/>
      <c r="F3" s="74"/>
      <c r="G3" s="74"/>
      <c r="H3" s="72"/>
      <c r="I3" s="72"/>
      <c r="J3" s="72"/>
      <c r="K3" s="73"/>
      <c r="L3" s="73"/>
      <c r="M3" s="73"/>
      <c r="N3" s="73"/>
      <c r="O3" s="73"/>
      <c r="P3" s="73"/>
      <c r="Q3" s="73"/>
      <c r="R3" s="73"/>
    </row>
    <row r="4" spans="1:18" s="100" customFormat="1">
      <c r="A4" s="74" t="s">
        <v>725</v>
      </c>
      <c r="B4" s="74" t="s">
        <v>935</v>
      </c>
      <c r="C4" s="72"/>
      <c r="D4" s="72"/>
      <c r="E4" s="74"/>
      <c r="F4" s="74"/>
      <c r="G4" s="74"/>
      <c r="H4" s="72"/>
      <c r="I4" s="72"/>
      <c r="J4" s="72"/>
      <c r="K4" s="73"/>
      <c r="L4" s="73"/>
      <c r="M4" s="73"/>
      <c r="N4" s="73"/>
      <c r="O4" s="73"/>
      <c r="P4" s="73"/>
      <c r="Q4" s="73"/>
      <c r="R4" s="73"/>
    </row>
    <row r="5" spans="1:18" s="100" customFormat="1" ht="27.6">
      <c r="A5" s="72" t="s">
        <v>118</v>
      </c>
      <c r="B5" s="74" t="s">
        <v>389</v>
      </c>
      <c r="C5" s="72"/>
      <c r="D5" s="72"/>
      <c r="E5" s="74"/>
      <c r="F5" s="74"/>
      <c r="G5" s="74"/>
      <c r="H5" s="72"/>
      <c r="I5" s="72"/>
      <c r="J5" s="72"/>
      <c r="K5" s="73"/>
      <c r="L5" s="73"/>
      <c r="M5" s="73"/>
      <c r="N5" s="73"/>
      <c r="O5" s="73"/>
      <c r="P5" s="73"/>
      <c r="Q5" s="73"/>
      <c r="R5" s="73"/>
    </row>
    <row r="6" spans="1:18" s="100" customFormat="1">
      <c r="A6" s="72" t="s">
        <v>727</v>
      </c>
      <c r="B6" s="74" t="s">
        <v>936</v>
      </c>
      <c r="C6" s="72"/>
      <c r="D6" s="72"/>
      <c r="E6" s="74"/>
      <c r="F6" s="74"/>
      <c r="G6" s="74"/>
      <c r="H6" s="72"/>
      <c r="I6" s="72"/>
      <c r="J6" s="72"/>
      <c r="K6" s="73"/>
      <c r="L6" s="73"/>
      <c r="M6" s="73"/>
      <c r="N6" s="73"/>
      <c r="O6" s="73"/>
      <c r="P6" s="73"/>
      <c r="Q6" s="73"/>
      <c r="R6" s="73"/>
    </row>
    <row r="7" spans="1:18" s="101" customFormat="1">
      <c r="A7" s="78"/>
      <c r="B7" s="115"/>
      <c r="C7" s="78"/>
      <c r="D7" s="78"/>
      <c r="E7" s="74"/>
      <c r="F7" s="74"/>
      <c r="G7" s="74" t="e">
        <f>#REF!</f>
        <v>#REF!</v>
      </c>
      <c r="H7" s="72"/>
      <c r="I7" s="72"/>
      <c r="J7" s="72"/>
      <c r="K7" s="73"/>
      <c r="L7" s="73"/>
      <c r="M7" s="73"/>
      <c r="N7" s="73"/>
      <c r="O7" s="73"/>
      <c r="P7" s="73"/>
      <c r="Q7" s="73"/>
      <c r="R7" s="73"/>
    </row>
    <row r="8" spans="1:18" s="97" customFormat="1">
      <c r="A8" s="116"/>
      <c r="B8" s="116"/>
      <c r="C8" s="116" t="s">
        <v>104</v>
      </c>
      <c r="D8" s="116" t="s">
        <v>654</v>
      </c>
      <c r="E8" s="116" t="s">
        <v>93</v>
      </c>
      <c r="F8" s="116" t="s">
        <v>655</v>
      </c>
      <c r="G8" s="116" t="s">
        <v>691</v>
      </c>
      <c r="H8" s="74"/>
      <c r="I8" s="72"/>
      <c r="J8" s="72"/>
      <c r="K8" s="72"/>
      <c r="L8" s="74"/>
      <c r="M8" s="74"/>
      <c r="N8" s="74"/>
      <c r="O8" s="74"/>
      <c r="P8" s="74"/>
      <c r="Q8" s="74"/>
      <c r="R8" s="74"/>
    </row>
    <row r="9" spans="1:18" s="100" customFormat="1">
      <c r="A9" s="93" t="s">
        <v>55</v>
      </c>
      <c r="B9" s="93"/>
      <c r="C9" s="94"/>
      <c r="D9" s="94"/>
      <c r="E9" s="80"/>
      <c r="F9" s="80"/>
      <c r="G9" s="80"/>
      <c r="H9" s="74"/>
      <c r="I9" s="72"/>
      <c r="J9" s="72"/>
      <c r="K9" s="73"/>
      <c r="L9" s="96"/>
      <c r="M9" s="96"/>
      <c r="N9" s="96"/>
      <c r="O9" s="96"/>
      <c r="P9" s="96"/>
      <c r="Q9" s="96"/>
      <c r="R9" s="96"/>
    </row>
    <row r="10" spans="1:18" s="100" customFormat="1" ht="41.4">
      <c r="A10" s="23" t="s">
        <v>390</v>
      </c>
      <c r="B10" s="23" t="s">
        <v>937</v>
      </c>
      <c r="C10" s="23"/>
      <c r="D10" s="23"/>
      <c r="E10" s="85" t="s">
        <v>391</v>
      </c>
      <c r="F10" s="85"/>
      <c r="G10" s="3"/>
      <c r="H10" s="74"/>
      <c r="I10" s="72"/>
      <c r="J10" s="72"/>
      <c r="K10" s="73"/>
      <c r="L10" s="96"/>
      <c r="M10" s="96"/>
      <c r="N10" s="96"/>
      <c r="O10" s="96"/>
      <c r="P10" s="96"/>
      <c r="Q10" s="96"/>
      <c r="R10" s="96"/>
    </row>
    <row r="11" spans="1:18" s="101" customFormat="1">
      <c r="A11" s="93" t="s">
        <v>62</v>
      </c>
      <c r="B11" s="93"/>
      <c r="C11" s="94"/>
      <c r="D11" s="94"/>
      <c r="E11" s="80" t="s">
        <v>839</v>
      </c>
      <c r="F11" s="80"/>
      <c r="G11" s="80"/>
      <c r="H11" s="74"/>
      <c r="I11" s="72"/>
      <c r="J11" s="72"/>
      <c r="K11" s="73"/>
      <c r="L11" s="96"/>
      <c r="M11" s="96"/>
      <c r="N11" s="96"/>
      <c r="O11" s="96"/>
      <c r="P11" s="96"/>
      <c r="Q11" s="96"/>
      <c r="R11" s="96"/>
    </row>
    <row r="12" spans="1:18" s="97" customFormat="1" ht="37.5" customHeight="1">
      <c r="A12" s="23" t="s">
        <v>392</v>
      </c>
      <c r="B12" s="23" t="s">
        <v>938</v>
      </c>
      <c r="C12" s="23"/>
      <c r="D12" s="23"/>
      <c r="E12" s="85" t="s">
        <v>393</v>
      </c>
      <c r="F12" s="85"/>
      <c r="G12" s="3"/>
      <c r="H12" s="74"/>
      <c r="I12" s="72"/>
      <c r="J12" s="72"/>
      <c r="K12" s="73"/>
      <c r="L12" s="96"/>
      <c r="M12" s="96"/>
      <c r="N12" s="96"/>
      <c r="O12" s="96"/>
      <c r="P12" s="96"/>
      <c r="Q12" s="96"/>
      <c r="R12" s="96"/>
    </row>
    <row r="13" spans="1:18" s="100" customFormat="1" ht="58.5" customHeight="1">
      <c r="A13" s="23" t="s">
        <v>394</v>
      </c>
      <c r="B13" s="23" t="s">
        <v>939</v>
      </c>
      <c r="C13" s="23"/>
      <c r="D13" s="23"/>
      <c r="E13" s="85" t="s">
        <v>395</v>
      </c>
      <c r="F13" s="85"/>
      <c r="G13" s="3"/>
      <c r="H13" s="74"/>
      <c r="I13" s="72"/>
      <c r="J13" s="72"/>
      <c r="K13" s="73"/>
      <c r="L13" s="96"/>
      <c r="M13" s="96"/>
      <c r="N13" s="96"/>
      <c r="O13" s="96"/>
      <c r="P13" s="96"/>
      <c r="Q13" s="96"/>
      <c r="R13" s="96"/>
    </row>
    <row r="14" spans="1:18" s="100" customFormat="1">
      <c r="A14" s="93" t="s">
        <v>64</v>
      </c>
      <c r="B14" s="93"/>
      <c r="C14" s="94"/>
      <c r="D14" s="94"/>
      <c r="E14" s="80" t="s">
        <v>839</v>
      </c>
      <c r="F14" s="80"/>
      <c r="G14" s="80"/>
      <c r="H14" s="74"/>
      <c r="I14" s="72"/>
      <c r="J14" s="72"/>
      <c r="K14" s="73"/>
      <c r="L14" s="96"/>
      <c r="M14" s="96"/>
      <c r="N14" s="96"/>
      <c r="O14" s="96"/>
      <c r="P14" s="96"/>
      <c r="Q14" s="96"/>
      <c r="R14" s="96"/>
    </row>
    <row r="15" spans="1:18" s="101" customFormat="1" ht="41.4">
      <c r="A15" s="23" t="s">
        <v>396</v>
      </c>
      <c r="B15" s="23" t="s">
        <v>940</v>
      </c>
      <c r="C15" s="23"/>
      <c r="D15" s="23"/>
      <c r="E15" s="85" t="s">
        <v>397</v>
      </c>
      <c r="F15" s="85"/>
      <c r="G15" s="3"/>
      <c r="H15" s="74"/>
      <c r="I15" s="72"/>
      <c r="J15" s="72"/>
      <c r="K15" s="73"/>
      <c r="L15" s="96"/>
      <c r="M15" s="96"/>
      <c r="N15" s="96"/>
      <c r="O15" s="96"/>
      <c r="P15" s="96"/>
      <c r="Q15" s="96"/>
      <c r="R15" s="96"/>
    </row>
    <row r="16" spans="1:18" s="97" customFormat="1" ht="55.2">
      <c r="A16" s="23" t="s">
        <v>398</v>
      </c>
      <c r="B16" s="23" t="s">
        <v>941</v>
      </c>
      <c r="C16" s="23"/>
      <c r="D16" s="23"/>
      <c r="E16" s="85" t="s">
        <v>399</v>
      </c>
      <c r="F16" s="85"/>
      <c r="G16" s="3"/>
      <c r="H16" s="74"/>
      <c r="I16" s="72"/>
      <c r="J16" s="72"/>
      <c r="K16" s="73"/>
      <c r="L16" s="96"/>
      <c r="M16" s="96"/>
      <c r="N16" s="96"/>
      <c r="O16" s="96"/>
      <c r="P16" s="96"/>
      <c r="Q16" s="96"/>
      <c r="R16" s="96"/>
    </row>
    <row r="17" spans="1:18" s="100" customFormat="1" ht="41.4">
      <c r="A17" s="23" t="s">
        <v>400</v>
      </c>
      <c r="B17" s="23" t="s">
        <v>942</v>
      </c>
      <c r="C17" s="23"/>
      <c r="D17" s="23"/>
      <c r="E17" s="85" t="s">
        <v>401</v>
      </c>
      <c r="F17" s="85"/>
      <c r="G17" s="3"/>
      <c r="H17" s="74"/>
      <c r="I17" s="72"/>
      <c r="J17" s="72"/>
      <c r="K17" s="73"/>
      <c r="L17" s="96"/>
      <c r="M17" s="96"/>
      <c r="N17" s="96"/>
      <c r="O17" s="96"/>
      <c r="P17" s="96"/>
      <c r="Q17" s="96"/>
      <c r="R17" s="96"/>
    </row>
    <row r="18" spans="1:18" s="100" customFormat="1" ht="41.4">
      <c r="A18" s="23" t="s">
        <v>402</v>
      </c>
      <c r="B18" s="23" t="s">
        <v>943</v>
      </c>
      <c r="C18" s="23"/>
      <c r="D18" s="23"/>
      <c r="E18" s="85" t="s">
        <v>403</v>
      </c>
      <c r="F18" s="85"/>
      <c r="G18" s="3"/>
      <c r="H18" s="74"/>
      <c r="I18" s="72"/>
      <c r="J18" s="72"/>
      <c r="K18" s="73"/>
      <c r="L18" s="96"/>
      <c r="M18" s="96"/>
      <c r="N18" s="96"/>
      <c r="O18" s="96"/>
      <c r="P18" s="96"/>
      <c r="Q18" s="96"/>
      <c r="R18" s="96"/>
    </row>
    <row r="19" spans="1:18" s="101" customFormat="1" ht="41.4">
      <c r="A19" s="23" t="s">
        <v>404</v>
      </c>
      <c r="B19" s="23" t="s">
        <v>944</v>
      </c>
      <c r="C19" s="23"/>
      <c r="D19" s="23"/>
      <c r="E19" s="85" t="s">
        <v>405</v>
      </c>
      <c r="F19" s="85"/>
      <c r="G19" s="3"/>
      <c r="H19" s="74"/>
      <c r="I19" s="72"/>
      <c r="J19" s="72"/>
      <c r="K19" s="73"/>
      <c r="L19" s="96"/>
      <c r="M19" s="96"/>
      <c r="N19" s="96"/>
      <c r="O19" s="96"/>
      <c r="P19" s="96"/>
      <c r="Q19" s="96"/>
      <c r="R19" s="96"/>
    </row>
    <row r="20" spans="1:18" s="97" customFormat="1">
      <c r="E20" s="74"/>
      <c r="F20" s="74"/>
      <c r="G20" s="74"/>
      <c r="H20" s="74"/>
      <c r="I20" s="72"/>
      <c r="J20" s="72"/>
      <c r="K20" s="73"/>
      <c r="L20" s="96"/>
      <c r="M20" s="96"/>
      <c r="N20" s="96"/>
      <c r="O20" s="96"/>
      <c r="P20" s="96"/>
      <c r="Q20" s="96"/>
      <c r="R20" s="96"/>
    </row>
    <row r="21" spans="1:18" s="90" customFormat="1">
      <c r="B21" s="97"/>
      <c r="E21" s="74"/>
      <c r="F21" s="74"/>
      <c r="G21" s="74"/>
      <c r="H21" s="72"/>
      <c r="I21" s="72"/>
      <c r="J21" s="72"/>
      <c r="K21" s="73"/>
      <c r="L21" s="73"/>
      <c r="M21" s="73"/>
      <c r="N21" s="73"/>
      <c r="O21" s="73"/>
      <c r="P21" s="73"/>
      <c r="Q21" s="73"/>
      <c r="R21" s="73"/>
    </row>
    <row r="22" spans="1:18" s="90" customFormat="1">
      <c r="B22" s="97"/>
      <c r="E22" s="74"/>
      <c r="F22" s="74"/>
      <c r="G22" s="74"/>
      <c r="H22" s="72"/>
      <c r="I22" s="72"/>
      <c r="J22" s="72"/>
      <c r="K22" s="73"/>
      <c r="L22" s="73"/>
      <c r="M22" s="73"/>
      <c r="N22" s="73"/>
      <c r="O22" s="73"/>
      <c r="P22" s="73"/>
      <c r="Q22" s="73"/>
      <c r="R22" s="73"/>
    </row>
    <row r="23" spans="1:18" s="90" customFormat="1">
      <c r="B23" s="97"/>
      <c r="E23" s="74"/>
      <c r="F23" s="74"/>
      <c r="G23" s="74"/>
      <c r="H23" s="72"/>
      <c r="I23" s="72"/>
      <c r="J23" s="72"/>
      <c r="K23" s="73"/>
      <c r="L23" s="73"/>
      <c r="M23" s="73"/>
      <c r="N23" s="73"/>
      <c r="O23" s="73"/>
      <c r="P23" s="73"/>
      <c r="Q23" s="73"/>
      <c r="R23" s="73"/>
    </row>
    <row r="24" spans="1:18" s="90" customFormat="1">
      <c r="B24" s="97"/>
      <c r="E24" s="74"/>
      <c r="F24" s="74"/>
      <c r="G24" s="74"/>
      <c r="H24" s="72"/>
      <c r="I24" s="72"/>
      <c r="J24" s="72"/>
      <c r="K24" s="73"/>
      <c r="L24" s="73"/>
      <c r="M24" s="73"/>
      <c r="N24" s="73"/>
      <c r="O24" s="73"/>
      <c r="P24" s="73"/>
      <c r="Q24" s="73"/>
      <c r="R24" s="73"/>
    </row>
    <row r="25" spans="1:18" s="90" customFormat="1">
      <c r="B25" s="97"/>
      <c r="E25" s="74"/>
      <c r="F25" s="74"/>
      <c r="G25" s="74"/>
      <c r="H25" s="72"/>
      <c r="I25" s="72"/>
      <c r="J25" s="72"/>
      <c r="K25" s="73"/>
      <c r="L25" s="73"/>
      <c r="M25" s="73"/>
      <c r="N25" s="73"/>
      <c r="O25" s="73"/>
      <c r="P25" s="73"/>
      <c r="Q25" s="73"/>
      <c r="R25" s="73"/>
    </row>
    <row r="26" spans="1:18" s="90" customFormat="1">
      <c r="B26" s="97"/>
      <c r="E26" s="74"/>
      <c r="F26" s="74"/>
      <c r="G26" s="74"/>
      <c r="H26" s="72"/>
      <c r="I26" s="72"/>
      <c r="J26" s="72"/>
      <c r="K26" s="73"/>
      <c r="L26" s="73"/>
      <c r="M26" s="73"/>
      <c r="N26" s="73"/>
      <c r="O26" s="73"/>
      <c r="P26" s="73"/>
      <c r="Q26" s="73"/>
      <c r="R26" s="73"/>
    </row>
    <row r="27" spans="1:18" s="91" customFormat="1">
      <c r="B27" s="117"/>
      <c r="E27" s="74"/>
      <c r="F27" s="74"/>
      <c r="G27" s="74"/>
      <c r="H27" s="72"/>
      <c r="J27" s="72"/>
      <c r="K27" s="73"/>
      <c r="L27" s="73"/>
      <c r="M27" s="73"/>
      <c r="N27" s="73"/>
      <c r="O27" s="73"/>
      <c r="P27" s="73"/>
      <c r="Q27" s="73"/>
      <c r="R27" s="73"/>
    </row>
    <row r="28" spans="1:18" s="91" customFormat="1">
      <c r="B28" s="117"/>
      <c r="E28" s="74"/>
      <c r="F28" s="74"/>
      <c r="G28" s="74"/>
      <c r="H28" s="72"/>
      <c r="I28" s="72"/>
      <c r="J28" s="72"/>
      <c r="K28" s="73"/>
      <c r="L28" s="73"/>
      <c r="M28" s="73"/>
      <c r="N28" s="73"/>
      <c r="O28" s="73"/>
      <c r="P28" s="73"/>
      <c r="Q28" s="73"/>
      <c r="R28" s="73"/>
    </row>
    <row r="29" spans="1:18" s="91" customFormat="1">
      <c r="B29" s="117"/>
      <c r="E29" s="74"/>
      <c r="F29" s="74"/>
      <c r="G29" s="74"/>
      <c r="H29" s="72"/>
      <c r="I29" s="72"/>
      <c r="J29" s="72"/>
      <c r="K29" s="73"/>
      <c r="L29" s="73"/>
      <c r="M29" s="73"/>
      <c r="N29" s="73"/>
      <c r="O29" s="73"/>
      <c r="P29" s="73"/>
      <c r="Q29" s="73"/>
      <c r="R29" s="73"/>
    </row>
    <row r="30" spans="1:18" s="91" customFormat="1">
      <c r="B30" s="117"/>
      <c r="E30" s="74"/>
      <c r="F30" s="74"/>
      <c r="G30" s="74"/>
      <c r="H30" s="72"/>
      <c r="I30" s="72"/>
      <c r="J30" s="72"/>
      <c r="K30" s="73"/>
      <c r="L30" s="73"/>
      <c r="M30" s="73"/>
      <c r="N30" s="73"/>
      <c r="O30" s="73"/>
      <c r="P30" s="73"/>
      <c r="Q30" s="73"/>
      <c r="R30" s="73"/>
    </row>
    <row r="31" spans="1:18" s="91" customFormat="1">
      <c r="B31" s="117"/>
      <c r="E31" s="74"/>
      <c r="F31" s="74"/>
      <c r="G31" s="74"/>
      <c r="H31" s="72"/>
      <c r="I31" s="72"/>
      <c r="J31" s="72"/>
      <c r="K31" s="73"/>
      <c r="L31" s="73"/>
      <c r="M31" s="73"/>
      <c r="N31" s="73"/>
      <c r="O31" s="73"/>
      <c r="P31" s="73"/>
      <c r="Q31" s="73"/>
      <c r="R31" s="73"/>
    </row>
    <row r="32" spans="1:18" s="91" customFormat="1">
      <c r="B32" s="117"/>
      <c r="E32" s="74"/>
      <c r="F32" s="74"/>
      <c r="G32" s="74"/>
      <c r="H32" s="72"/>
      <c r="I32" s="72"/>
      <c r="J32" s="72"/>
      <c r="K32" s="73"/>
      <c r="L32" s="73"/>
      <c r="M32" s="73"/>
      <c r="N32" s="73"/>
      <c r="O32" s="73"/>
      <c r="P32" s="73"/>
      <c r="Q32" s="73"/>
      <c r="R32" s="73"/>
    </row>
    <row r="33" spans="2:18" s="91" customFormat="1">
      <c r="B33" s="117"/>
      <c r="E33" s="74"/>
      <c r="F33" s="74"/>
      <c r="G33" s="74"/>
      <c r="H33" s="72"/>
      <c r="I33" s="72"/>
      <c r="J33" s="72"/>
      <c r="K33" s="73"/>
      <c r="L33" s="73"/>
      <c r="M33" s="73"/>
      <c r="N33" s="73"/>
      <c r="O33" s="73"/>
      <c r="P33" s="73"/>
      <c r="Q33" s="73"/>
      <c r="R33" s="73"/>
    </row>
    <row r="34" spans="2:18" s="91" customFormat="1">
      <c r="B34" s="117"/>
      <c r="E34" s="74"/>
      <c r="F34" s="74"/>
      <c r="G34" s="74"/>
      <c r="H34" s="72"/>
      <c r="I34" s="72"/>
      <c r="J34" s="72"/>
      <c r="K34" s="73"/>
      <c r="L34" s="73"/>
      <c r="M34" s="73"/>
      <c r="N34" s="73"/>
      <c r="O34" s="73"/>
      <c r="P34" s="73"/>
      <c r="Q34" s="73"/>
      <c r="R34" s="73"/>
    </row>
    <row r="35" spans="2:18" s="91" customFormat="1">
      <c r="B35" s="117"/>
      <c r="E35" s="74"/>
      <c r="F35" s="74"/>
      <c r="G35" s="74"/>
      <c r="H35" s="72"/>
      <c r="I35" s="72"/>
      <c r="J35" s="72"/>
      <c r="K35" s="73"/>
      <c r="L35" s="73"/>
      <c r="M35" s="73"/>
      <c r="N35" s="73"/>
      <c r="O35" s="73"/>
      <c r="P35" s="73"/>
      <c r="Q35" s="73"/>
      <c r="R35" s="73"/>
    </row>
    <row r="36" spans="2:18" s="91" customFormat="1">
      <c r="B36" s="117"/>
      <c r="E36" s="74"/>
      <c r="F36" s="74"/>
      <c r="G36" s="74"/>
      <c r="H36" s="72"/>
      <c r="I36" s="72"/>
      <c r="J36" s="72"/>
      <c r="K36" s="73"/>
      <c r="L36" s="73"/>
      <c r="M36" s="73"/>
      <c r="N36" s="73"/>
      <c r="O36" s="73"/>
      <c r="P36" s="73"/>
      <c r="Q36" s="73"/>
      <c r="R36" s="73"/>
    </row>
    <row r="37" spans="2:18" s="91" customFormat="1">
      <c r="B37" s="117"/>
      <c r="E37" s="74"/>
      <c r="F37" s="74"/>
      <c r="G37" s="74"/>
      <c r="H37" s="72"/>
      <c r="I37" s="72"/>
      <c r="J37" s="72"/>
      <c r="K37" s="73"/>
      <c r="L37" s="73"/>
      <c r="M37" s="73"/>
      <c r="N37" s="73"/>
      <c r="O37" s="73"/>
      <c r="P37" s="73"/>
      <c r="Q37" s="73"/>
      <c r="R37" s="73"/>
    </row>
    <row r="38" spans="2:18" s="91" customFormat="1">
      <c r="B38" s="117"/>
      <c r="E38" s="74"/>
      <c r="F38" s="74"/>
      <c r="G38" s="74"/>
      <c r="H38" s="72"/>
      <c r="I38" s="72"/>
      <c r="J38" s="72"/>
      <c r="K38" s="73"/>
      <c r="L38" s="73"/>
      <c r="M38" s="73"/>
      <c r="N38" s="73"/>
      <c r="O38" s="73"/>
      <c r="P38" s="73"/>
      <c r="Q38" s="73"/>
      <c r="R38" s="73"/>
    </row>
    <row r="39" spans="2:18" s="91" customFormat="1">
      <c r="B39" s="117"/>
      <c r="E39" s="74"/>
      <c r="F39" s="74"/>
      <c r="G39" s="74"/>
      <c r="H39" s="72"/>
      <c r="I39" s="72"/>
      <c r="J39" s="72"/>
      <c r="K39" s="73"/>
      <c r="L39" s="73"/>
      <c r="M39" s="73"/>
      <c r="N39" s="73"/>
      <c r="O39" s="73"/>
      <c r="P39" s="73"/>
      <c r="Q39" s="73"/>
      <c r="R39" s="73"/>
    </row>
    <row r="40" spans="2:18" s="91" customFormat="1">
      <c r="B40" s="117"/>
      <c r="E40" s="74"/>
      <c r="F40" s="74"/>
      <c r="G40" s="74"/>
      <c r="H40" s="72"/>
      <c r="I40" s="72"/>
      <c r="J40" s="72"/>
      <c r="K40" s="73"/>
      <c r="L40" s="73"/>
      <c r="M40" s="73"/>
      <c r="N40" s="73"/>
      <c r="O40" s="73"/>
      <c r="P40" s="73"/>
      <c r="Q40" s="73"/>
      <c r="R40" s="73"/>
    </row>
    <row r="41" spans="2:18" s="91" customFormat="1">
      <c r="B41" s="117"/>
      <c r="E41" s="74"/>
      <c r="F41" s="74"/>
      <c r="G41" s="74"/>
      <c r="H41" s="72"/>
      <c r="I41" s="72"/>
      <c r="J41" s="72"/>
      <c r="K41" s="73"/>
      <c r="L41" s="73"/>
      <c r="M41" s="73"/>
      <c r="N41" s="73"/>
      <c r="O41" s="73"/>
      <c r="P41" s="73"/>
      <c r="Q41" s="73"/>
      <c r="R41" s="73"/>
    </row>
    <row r="42" spans="2:18" s="91" customFormat="1">
      <c r="B42" s="117"/>
      <c r="E42" s="74"/>
      <c r="F42" s="74"/>
      <c r="G42" s="74"/>
      <c r="H42" s="72"/>
      <c r="I42" s="72"/>
      <c r="J42" s="72"/>
      <c r="K42" s="73"/>
      <c r="L42" s="73"/>
      <c r="M42" s="73"/>
      <c r="N42" s="73"/>
      <c r="O42" s="73"/>
      <c r="P42" s="73"/>
      <c r="Q42" s="73"/>
      <c r="R42" s="73"/>
    </row>
    <row r="43" spans="2:18" s="91" customFormat="1">
      <c r="B43" s="117"/>
      <c r="E43" s="74"/>
      <c r="F43" s="74"/>
      <c r="G43" s="74"/>
      <c r="H43" s="72"/>
      <c r="I43" s="72"/>
      <c r="J43" s="72"/>
      <c r="K43" s="73"/>
      <c r="L43" s="73"/>
      <c r="M43" s="73"/>
      <c r="N43" s="73"/>
      <c r="O43" s="73"/>
      <c r="P43" s="73"/>
      <c r="Q43" s="73"/>
      <c r="R43" s="73"/>
    </row>
    <row r="44" spans="2:18" s="91" customFormat="1">
      <c r="B44" s="117"/>
      <c r="E44" s="74"/>
      <c r="F44" s="74"/>
      <c r="G44" s="74"/>
      <c r="H44" s="72"/>
      <c r="I44" s="72"/>
      <c r="J44" s="72"/>
      <c r="K44" s="73"/>
      <c r="L44" s="73"/>
      <c r="M44" s="73"/>
      <c r="N44" s="73"/>
      <c r="O44" s="73"/>
      <c r="P44" s="73"/>
      <c r="Q44" s="73"/>
      <c r="R44" s="73"/>
    </row>
    <row r="45" spans="2:18" s="91" customFormat="1">
      <c r="B45" s="117"/>
      <c r="E45" s="74"/>
      <c r="F45" s="74"/>
      <c r="G45" s="74"/>
      <c r="H45" s="72"/>
      <c r="I45" s="72"/>
      <c r="J45" s="72"/>
      <c r="K45" s="73"/>
      <c r="L45" s="73"/>
      <c r="M45" s="73"/>
      <c r="N45" s="73"/>
      <c r="O45" s="73"/>
      <c r="P45" s="73"/>
      <c r="Q45" s="73"/>
      <c r="R45" s="73"/>
    </row>
    <row r="46" spans="2:18" s="91" customFormat="1">
      <c r="B46" s="117"/>
      <c r="E46" s="74"/>
      <c r="F46" s="74"/>
      <c r="G46" s="74"/>
      <c r="H46" s="72"/>
      <c r="I46" s="72"/>
      <c r="J46" s="72"/>
      <c r="K46" s="73"/>
      <c r="L46" s="73"/>
      <c r="M46" s="73"/>
      <c r="N46" s="73"/>
      <c r="O46" s="73"/>
      <c r="P46" s="73"/>
      <c r="Q46" s="73"/>
      <c r="R46" s="73"/>
    </row>
    <row r="47" spans="2:18" s="91" customFormat="1">
      <c r="B47" s="117"/>
      <c r="E47" s="74"/>
      <c r="F47" s="74"/>
      <c r="G47" s="74"/>
      <c r="H47" s="72"/>
      <c r="I47" s="72"/>
      <c r="J47" s="72"/>
      <c r="K47" s="73"/>
      <c r="L47" s="73"/>
      <c r="M47" s="73"/>
      <c r="N47" s="73"/>
      <c r="O47" s="73"/>
      <c r="P47" s="73"/>
      <c r="Q47" s="73"/>
      <c r="R47" s="73"/>
    </row>
  </sheetData>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460DC7-2077-4D16-9242-EE2E4930D466}">
  <sheetPr codeName="Sheet23">
    <tabColor rgb="FF008050"/>
  </sheetPr>
  <dimension ref="A1:R53"/>
  <sheetViews>
    <sheetView topLeftCell="A7" workbookViewId="0">
      <pane xSplit="11" ySplit="3" topLeftCell="L18" activePane="bottomRight" state="frozen"/>
      <selection activeCell="I11" sqref="I11:J14"/>
      <selection pane="topRight" activeCell="I11" sqref="I11:J14"/>
      <selection pane="bottomLeft" activeCell="I11" sqref="I11:J14"/>
      <selection pane="bottomRight" activeCell="I11" sqref="I11:J14"/>
    </sheetView>
    <sheetView topLeftCell="A23" workbookViewId="1">
      <selection activeCell="E27" sqref="A10:E27"/>
    </sheetView>
  </sheetViews>
  <sheetFormatPr defaultColWidth="8.77734375" defaultRowHeight="13.8"/>
  <cols>
    <col min="1" max="1" width="10.21875" style="72" customWidth="1"/>
    <col min="2" max="2" width="61" style="72" customWidth="1"/>
    <col min="3" max="4" width="21.44140625" style="72" customWidth="1"/>
    <col min="5" max="6" width="35.44140625" style="72" customWidth="1"/>
    <col min="7" max="7" width="21.44140625" style="73" customWidth="1"/>
    <col min="8" max="10" width="8.77734375" style="72" customWidth="1"/>
    <col min="11" max="11" width="8.77734375" style="73"/>
    <col min="12" max="12" width="8.77734375" style="72"/>
    <col min="13" max="18" width="8.77734375" style="73"/>
    <col min="19" max="16384" width="8.77734375" style="72"/>
  </cols>
  <sheetData>
    <row r="1" spans="1:18" s="97" customFormat="1" ht="25.8">
      <c r="A1" s="71" t="s">
        <v>477</v>
      </c>
      <c r="B1" s="72"/>
      <c r="C1" s="56"/>
      <c r="D1" s="72"/>
      <c r="E1" s="72"/>
      <c r="F1" s="72"/>
      <c r="G1" s="73"/>
      <c r="H1" s="72"/>
      <c r="I1" s="72"/>
      <c r="J1" s="72"/>
      <c r="K1" s="73"/>
      <c r="L1" s="72"/>
      <c r="M1" s="73"/>
      <c r="N1" s="73"/>
      <c r="O1" s="73"/>
      <c r="P1" s="73"/>
      <c r="Q1" s="73"/>
      <c r="R1" s="73"/>
    </row>
    <row r="2" spans="1:18" s="100" customFormat="1" ht="25.8">
      <c r="A2" s="71" t="s">
        <v>945</v>
      </c>
      <c r="B2" s="72"/>
      <c r="C2" s="56"/>
      <c r="D2" s="72"/>
      <c r="E2" s="72"/>
      <c r="F2" s="72"/>
      <c r="G2" s="73"/>
      <c r="H2" s="72"/>
      <c r="I2" s="72"/>
      <c r="J2" s="72"/>
      <c r="K2" s="73"/>
      <c r="L2" s="72"/>
      <c r="M2" s="73"/>
      <c r="N2" s="73"/>
      <c r="O2" s="73"/>
      <c r="P2" s="73"/>
      <c r="Q2" s="73"/>
      <c r="R2" s="73"/>
    </row>
    <row r="3" spans="1:18" s="100" customFormat="1" ht="248.4">
      <c r="A3" s="74" t="s">
        <v>117</v>
      </c>
      <c r="B3" s="74" t="s">
        <v>946</v>
      </c>
      <c r="C3" s="72"/>
      <c r="D3" s="72"/>
      <c r="E3" s="72"/>
      <c r="F3" s="72"/>
      <c r="G3" s="73"/>
      <c r="H3" s="72"/>
      <c r="I3" s="72"/>
      <c r="J3" s="72"/>
      <c r="K3" s="73"/>
      <c r="L3" s="72"/>
      <c r="M3" s="73"/>
      <c r="N3" s="73"/>
      <c r="O3" s="73"/>
      <c r="P3" s="73"/>
      <c r="Q3" s="73"/>
      <c r="R3" s="73"/>
    </row>
    <row r="4" spans="1:18" s="101" customFormat="1" ht="69">
      <c r="A4" s="74" t="s">
        <v>725</v>
      </c>
      <c r="B4" s="74" t="s">
        <v>947</v>
      </c>
      <c r="C4" s="72"/>
      <c r="D4" s="72"/>
      <c r="E4" s="72"/>
      <c r="F4" s="72"/>
      <c r="G4" s="73"/>
      <c r="H4" s="72"/>
      <c r="I4" s="72"/>
      <c r="J4" s="72"/>
      <c r="K4" s="73"/>
      <c r="L4" s="72"/>
      <c r="M4" s="73"/>
      <c r="N4" s="73"/>
      <c r="O4" s="73"/>
      <c r="P4" s="73"/>
      <c r="Q4" s="73"/>
      <c r="R4" s="73"/>
    </row>
    <row r="5" spans="1:18" s="97" customFormat="1">
      <c r="A5" s="72" t="s">
        <v>118</v>
      </c>
      <c r="B5" s="72" t="s">
        <v>478</v>
      </c>
      <c r="C5" s="72"/>
      <c r="D5" s="72"/>
      <c r="E5" s="72"/>
      <c r="F5" s="72"/>
      <c r="G5" s="73"/>
      <c r="H5" s="72"/>
      <c r="I5" s="72"/>
      <c r="J5" s="72"/>
      <c r="K5" s="73"/>
      <c r="L5" s="72"/>
      <c r="M5" s="73"/>
      <c r="N5" s="73"/>
      <c r="O5" s="73"/>
      <c r="P5" s="73"/>
      <c r="Q5" s="73"/>
      <c r="R5" s="73"/>
    </row>
    <row r="6" spans="1:18" s="97" customFormat="1">
      <c r="A6" s="72" t="s">
        <v>727</v>
      </c>
      <c r="B6" s="72" t="s">
        <v>948</v>
      </c>
      <c r="C6" s="72"/>
      <c r="D6" s="72"/>
      <c r="E6" s="72"/>
      <c r="F6" s="72"/>
      <c r="G6" s="73"/>
      <c r="H6" s="72"/>
      <c r="I6" s="72"/>
      <c r="J6" s="72"/>
      <c r="K6" s="73"/>
      <c r="L6" s="72"/>
      <c r="M6" s="73"/>
      <c r="N6" s="73"/>
      <c r="O6" s="73"/>
      <c r="P6" s="73"/>
      <c r="Q6" s="73"/>
      <c r="R6" s="73"/>
    </row>
    <row r="7" spans="1:18" s="97" customFormat="1">
      <c r="A7" s="72"/>
      <c r="B7" s="72"/>
      <c r="C7" s="72"/>
      <c r="D7" s="72"/>
      <c r="E7" s="72"/>
      <c r="F7" s="72"/>
      <c r="G7" s="112"/>
      <c r="H7" s="72"/>
      <c r="I7" s="72"/>
      <c r="J7" s="72"/>
      <c r="K7" s="73"/>
      <c r="L7" s="72"/>
      <c r="M7" s="73"/>
      <c r="N7" s="73"/>
      <c r="O7" s="73"/>
      <c r="P7" s="73"/>
      <c r="Q7" s="73"/>
      <c r="R7" s="73"/>
    </row>
    <row r="8" spans="1:18" s="100" customFormat="1">
      <c r="A8" s="103"/>
      <c r="B8" s="103"/>
      <c r="C8" s="103" t="s">
        <v>104</v>
      </c>
      <c r="D8" s="103" t="s">
        <v>654</v>
      </c>
      <c r="E8" s="103" t="s">
        <v>93</v>
      </c>
      <c r="F8" s="103" t="s">
        <v>655</v>
      </c>
      <c r="G8" s="103" t="s">
        <v>691</v>
      </c>
      <c r="H8" s="72"/>
      <c r="I8" s="72"/>
      <c r="J8" s="72"/>
      <c r="K8" s="72"/>
      <c r="L8" s="72"/>
      <c r="M8" s="72"/>
      <c r="N8" s="72"/>
      <c r="O8" s="72"/>
      <c r="P8" s="72"/>
      <c r="Q8" s="72"/>
      <c r="R8" s="72"/>
    </row>
    <row r="9" spans="1:18" s="100" customFormat="1">
      <c r="A9" s="93" t="s">
        <v>55</v>
      </c>
      <c r="B9" s="93"/>
      <c r="C9" s="94"/>
      <c r="D9" s="94"/>
      <c r="E9" s="94"/>
      <c r="F9" s="94"/>
      <c r="G9" s="95"/>
      <c r="H9" s="72"/>
      <c r="I9" s="72"/>
      <c r="J9" s="72"/>
      <c r="K9" s="96"/>
      <c r="L9" s="72"/>
      <c r="M9" s="96"/>
      <c r="N9" s="96"/>
      <c r="O9" s="96"/>
      <c r="P9" s="96"/>
      <c r="Q9" s="96"/>
      <c r="R9" s="96"/>
    </row>
    <row r="10" spans="1:18" s="101" customFormat="1" ht="41.4">
      <c r="A10" s="23" t="s">
        <v>479</v>
      </c>
      <c r="B10" s="23" t="s">
        <v>949</v>
      </c>
      <c r="C10" s="23"/>
      <c r="D10" s="23"/>
      <c r="E10" s="98" t="s">
        <v>480</v>
      </c>
      <c r="F10" s="98"/>
      <c r="G10" s="99"/>
      <c r="H10" s="72"/>
      <c r="I10" s="72"/>
      <c r="J10" s="72"/>
      <c r="K10" s="96"/>
      <c r="L10" s="72"/>
      <c r="M10" s="96"/>
      <c r="N10" s="96"/>
      <c r="O10" s="96"/>
      <c r="P10" s="96"/>
      <c r="Q10" s="96"/>
      <c r="R10" s="96"/>
    </row>
    <row r="11" spans="1:18" s="97" customFormat="1" ht="27.6">
      <c r="A11" s="23" t="s">
        <v>481</v>
      </c>
      <c r="B11" s="23" t="s">
        <v>950</v>
      </c>
      <c r="C11" s="23"/>
      <c r="D11" s="23"/>
      <c r="E11" s="98" t="s">
        <v>482</v>
      </c>
      <c r="F11" s="98"/>
      <c r="G11" s="99"/>
      <c r="H11" s="72"/>
      <c r="I11" s="72"/>
      <c r="J11" s="72"/>
      <c r="K11" s="96"/>
      <c r="L11" s="72"/>
      <c r="M11" s="96"/>
      <c r="N11" s="96"/>
      <c r="O11" s="96"/>
      <c r="P11" s="96"/>
      <c r="Q11" s="96"/>
      <c r="R11" s="96"/>
    </row>
    <row r="12" spans="1:18" s="100" customFormat="1">
      <c r="A12" s="93" t="s">
        <v>62</v>
      </c>
      <c r="B12" s="93"/>
      <c r="C12" s="94"/>
      <c r="D12" s="94"/>
      <c r="E12" s="94" t="s">
        <v>839</v>
      </c>
      <c r="F12" s="94"/>
      <c r="G12" s="95"/>
      <c r="H12" s="72"/>
      <c r="I12" s="72"/>
      <c r="J12" s="72"/>
      <c r="K12" s="96"/>
      <c r="L12" s="72"/>
      <c r="M12" s="96"/>
      <c r="N12" s="96"/>
      <c r="O12" s="96"/>
      <c r="P12" s="96"/>
      <c r="Q12" s="96"/>
      <c r="R12" s="96"/>
    </row>
    <row r="13" spans="1:18" s="100" customFormat="1" ht="41.4">
      <c r="A13" s="23" t="s">
        <v>483</v>
      </c>
      <c r="B13" s="23" t="s">
        <v>951</v>
      </c>
      <c r="C13" s="23"/>
      <c r="D13" s="23"/>
      <c r="E13" s="98" t="s">
        <v>484</v>
      </c>
      <c r="F13" s="98"/>
      <c r="G13" s="99"/>
      <c r="H13" s="72"/>
      <c r="I13" s="72"/>
      <c r="J13" s="72"/>
      <c r="K13" s="96"/>
      <c r="L13" s="72"/>
      <c r="M13" s="96"/>
      <c r="N13" s="96"/>
      <c r="O13" s="96"/>
      <c r="P13" s="96"/>
      <c r="Q13" s="96"/>
      <c r="R13" s="96"/>
    </row>
    <row r="14" spans="1:18" s="101" customFormat="1" ht="69">
      <c r="A14" s="23" t="s">
        <v>485</v>
      </c>
      <c r="B14" s="23" t="s">
        <v>952</v>
      </c>
      <c r="C14" s="23"/>
      <c r="D14" s="23"/>
      <c r="E14" s="98" t="s">
        <v>486</v>
      </c>
      <c r="F14" s="98"/>
      <c r="G14" s="99"/>
      <c r="H14" s="72"/>
      <c r="I14" s="72"/>
      <c r="J14" s="72"/>
      <c r="K14" s="96"/>
      <c r="L14" s="72"/>
      <c r="M14" s="96"/>
      <c r="N14" s="96"/>
      <c r="O14" s="96"/>
      <c r="P14" s="96"/>
      <c r="Q14" s="96"/>
      <c r="R14" s="96"/>
    </row>
    <row r="15" spans="1:18" s="97" customFormat="1" ht="41.4">
      <c r="A15" s="23" t="s">
        <v>487</v>
      </c>
      <c r="B15" s="23" t="s">
        <v>953</v>
      </c>
      <c r="C15" s="23"/>
      <c r="D15" s="23"/>
      <c r="E15" s="98" t="s">
        <v>488</v>
      </c>
      <c r="F15" s="98"/>
      <c r="G15" s="99"/>
      <c r="H15" s="72"/>
      <c r="I15" s="72"/>
      <c r="J15" s="72"/>
      <c r="K15" s="96"/>
      <c r="L15" s="72"/>
      <c r="M15" s="96"/>
      <c r="N15" s="96"/>
      <c r="O15" s="96"/>
      <c r="P15" s="96"/>
      <c r="Q15" s="96"/>
      <c r="R15" s="96"/>
    </row>
    <row r="16" spans="1:18" s="100" customFormat="1" ht="41.4">
      <c r="A16" s="23" t="s">
        <v>489</v>
      </c>
      <c r="B16" s="23" t="s">
        <v>954</v>
      </c>
      <c r="C16" s="23"/>
      <c r="D16" s="23"/>
      <c r="E16" s="98" t="s">
        <v>490</v>
      </c>
      <c r="F16" s="98"/>
      <c r="G16" s="99"/>
      <c r="H16" s="72"/>
      <c r="I16" s="72"/>
      <c r="J16" s="72"/>
      <c r="K16" s="96"/>
      <c r="L16" s="72"/>
      <c r="M16" s="96"/>
      <c r="N16" s="96"/>
      <c r="O16" s="96"/>
      <c r="P16" s="96"/>
      <c r="Q16" s="96"/>
      <c r="R16" s="96"/>
    </row>
    <row r="17" spans="1:18" s="100" customFormat="1" ht="55.2">
      <c r="A17" s="23" t="s">
        <v>491</v>
      </c>
      <c r="B17" s="23" t="s">
        <v>955</v>
      </c>
      <c r="C17" s="23"/>
      <c r="D17" s="23"/>
      <c r="E17" s="98" t="s">
        <v>492</v>
      </c>
      <c r="F17" s="98"/>
      <c r="G17" s="99"/>
      <c r="H17" s="72"/>
      <c r="I17" s="72"/>
      <c r="J17" s="72"/>
      <c r="K17" s="96"/>
      <c r="L17" s="72"/>
      <c r="M17" s="96"/>
      <c r="N17" s="96"/>
      <c r="O17" s="96"/>
      <c r="P17" s="96"/>
      <c r="Q17" s="96"/>
      <c r="R17" s="96"/>
    </row>
    <row r="18" spans="1:18" s="101" customFormat="1" ht="69">
      <c r="A18" s="23" t="s">
        <v>493</v>
      </c>
      <c r="B18" s="23" t="s">
        <v>956</v>
      </c>
      <c r="C18" s="23"/>
      <c r="D18" s="23"/>
      <c r="E18" s="98" t="s">
        <v>494</v>
      </c>
      <c r="F18" s="98"/>
      <c r="G18" s="99"/>
      <c r="H18" s="72"/>
      <c r="I18" s="72"/>
      <c r="J18" s="72"/>
      <c r="K18" s="96"/>
      <c r="L18" s="72"/>
      <c r="M18" s="96"/>
      <c r="N18" s="96"/>
      <c r="O18" s="96"/>
      <c r="P18" s="96"/>
      <c r="Q18" s="96"/>
      <c r="R18" s="96"/>
    </row>
    <row r="19" spans="1:18" s="97" customFormat="1" ht="41.4">
      <c r="A19" s="23" t="s">
        <v>495</v>
      </c>
      <c r="B19" s="23" t="s">
        <v>957</v>
      </c>
      <c r="C19" s="23"/>
      <c r="D19" s="23"/>
      <c r="E19" s="98" t="s">
        <v>496</v>
      </c>
      <c r="F19" s="98"/>
      <c r="G19" s="99"/>
      <c r="H19" s="72"/>
      <c r="I19" s="72"/>
      <c r="J19" s="72"/>
      <c r="K19" s="96"/>
      <c r="L19" s="72"/>
      <c r="M19" s="96"/>
      <c r="N19" s="96"/>
      <c r="O19" s="96"/>
      <c r="P19" s="96"/>
      <c r="Q19" s="96"/>
      <c r="R19" s="96"/>
    </row>
    <row r="20" spans="1:18" s="100" customFormat="1" ht="69">
      <c r="A20" s="23" t="s">
        <v>497</v>
      </c>
      <c r="B20" s="23" t="s">
        <v>958</v>
      </c>
      <c r="C20" s="23"/>
      <c r="D20" s="23"/>
      <c r="E20" s="98" t="s">
        <v>498</v>
      </c>
      <c r="F20" s="98"/>
      <c r="G20" s="99"/>
      <c r="H20" s="72"/>
      <c r="I20" s="72"/>
      <c r="J20" s="72"/>
      <c r="K20" s="96"/>
      <c r="L20" s="72"/>
      <c r="M20" s="96"/>
      <c r="N20" s="96"/>
      <c r="O20" s="96"/>
      <c r="P20" s="96"/>
      <c r="Q20" s="96"/>
      <c r="R20" s="96"/>
    </row>
    <row r="21" spans="1:18" s="100" customFormat="1">
      <c r="A21" s="93" t="s">
        <v>64</v>
      </c>
      <c r="B21" s="93"/>
      <c r="C21" s="94"/>
      <c r="D21" s="94"/>
      <c r="E21" s="94" t="s">
        <v>839</v>
      </c>
      <c r="F21" s="94"/>
      <c r="G21" s="95"/>
      <c r="H21" s="72"/>
      <c r="I21" s="72"/>
      <c r="J21" s="72"/>
      <c r="K21" s="96"/>
      <c r="L21" s="72"/>
      <c r="M21" s="96"/>
      <c r="N21" s="96"/>
      <c r="O21" s="96"/>
      <c r="P21" s="96"/>
      <c r="Q21" s="96"/>
      <c r="R21" s="96"/>
    </row>
    <row r="22" spans="1:18" s="101" customFormat="1" ht="110.4">
      <c r="A22" s="23" t="s">
        <v>499</v>
      </c>
      <c r="B22" s="23" t="s">
        <v>959</v>
      </c>
      <c r="C22" s="23"/>
      <c r="D22" s="23"/>
      <c r="E22" s="98" t="s">
        <v>960</v>
      </c>
      <c r="F22" s="98"/>
      <c r="G22" s="99"/>
      <c r="H22" s="72"/>
      <c r="I22" s="72"/>
      <c r="J22" s="72"/>
      <c r="K22" s="96"/>
      <c r="L22" s="72"/>
      <c r="M22" s="96"/>
      <c r="N22" s="96"/>
      <c r="O22" s="96"/>
      <c r="P22" s="96"/>
      <c r="Q22" s="96"/>
      <c r="R22" s="96"/>
    </row>
    <row r="23" spans="1:18" s="97" customFormat="1" ht="69">
      <c r="A23" s="23" t="s">
        <v>500</v>
      </c>
      <c r="B23" s="23" t="s">
        <v>961</v>
      </c>
      <c r="C23" s="23"/>
      <c r="D23" s="23"/>
      <c r="E23" s="98" t="s">
        <v>501</v>
      </c>
      <c r="F23" s="98"/>
      <c r="G23" s="99"/>
      <c r="H23" s="72"/>
      <c r="I23" s="72"/>
      <c r="J23" s="72"/>
      <c r="K23" s="96"/>
      <c r="L23" s="72"/>
      <c r="M23" s="96"/>
      <c r="N23" s="96"/>
      <c r="O23" s="96"/>
      <c r="P23" s="96"/>
      <c r="Q23" s="96"/>
      <c r="R23" s="96"/>
    </row>
    <row r="24" spans="1:18" s="97" customFormat="1" ht="41.4">
      <c r="A24" s="23" t="s">
        <v>502</v>
      </c>
      <c r="B24" s="23" t="s">
        <v>962</v>
      </c>
      <c r="C24" s="23"/>
      <c r="D24" s="23"/>
      <c r="E24" s="98" t="s">
        <v>503</v>
      </c>
      <c r="F24" s="98"/>
      <c r="G24" s="99"/>
      <c r="H24" s="72"/>
      <c r="I24" s="72"/>
      <c r="J24" s="72"/>
      <c r="K24" s="96"/>
      <c r="L24" s="72"/>
      <c r="M24" s="96"/>
      <c r="N24" s="96"/>
      <c r="O24" s="96"/>
      <c r="P24" s="96"/>
      <c r="Q24" s="96"/>
      <c r="R24" s="96"/>
    </row>
    <row r="25" spans="1:18" s="100" customFormat="1" ht="69">
      <c r="A25" s="23" t="s">
        <v>504</v>
      </c>
      <c r="B25" s="23" t="s">
        <v>963</v>
      </c>
      <c r="C25" s="23"/>
      <c r="D25" s="23"/>
      <c r="E25" s="98" t="s">
        <v>505</v>
      </c>
      <c r="F25" s="98"/>
      <c r="G25" s="99"/>
      <c r="H25" s="72"/>
      <c r="I25" s="72"/>
      <c r="J25" s="72"/>
      <c r="K25" s="96"/>
      <c r="L25" s="72"/>
      <c r="M25" s="96"/>
      <c r="N25" s="96"/>
      <c r="O25" s="96"/>
      <c r="P25" s="96"/>
      <c r="Q25" s="96"/>
      <c r="R25" s="96"/>
    </row>
    <row r="26" spans="1:18" s="100" customFormat="1">
      <c r="A26" s="93" t="s">
        <v>65</v>
      </c>
      <c r="B26" s="93"/>
      <c r="C26" s="94"/>
      <c r="D26" s="94"/>
      <c r="E26" s="94" t="s">
        <v>839</v>
      </c>
      <c r="F26" s="94"/>
      <c r="G26" s="95"/>
      <c r="H26" s="72"/>
      <c r="I26" s="72"/>
      <c r="J26" s="72"/>
      <c r="K26" s="96"/>
      <c r="L26" s="72"/>
      <c r="M26" s="96"/>
      <c r="N26" s="96"/>
      <c r="O26" s="96"/>
      <c r="P26" s="96"/>
      <c r="Q26" s="96"/>
      <c r="R26" s="96"/>
    </row>
    <row r="27" spans="1:18" s="101" customFormat="1" ht="124.2">
      <c r="A27" s="23" t="s">
        <v>506</v>
      </c>
      <c r="B27" s="23" t="s">
        <v>964</v>
      </c>
      <c r="C27" s="23"/>
      <c r="D27" s="23"/>
      <c r="E27" s="98" t="s">
        <v>507</v>
      </c>
      <c r="F27" s="98"/>
      <c r="G27" s="99"/>
      <c r="H27" s="72"/>
      <c r="I27" s="72"/>
      <c r="J27" s="72"/>
      <c r="K27" s="96"/>
      <c r="L27" s="72"/>
      <c r="M27" s="96"/>
      <c r="N27" s="96"/>
      <c r="O27" s="96"/>
      <c r="P27" s="96"/>
      <c r="Q27" s="96"/>
      <c r="R27" s="96"/>
    </row>
    <row r="28" spans="1:18" s="90" customFormat="1">
      <c r="G28" s="73"/>
      <c r="H28" s="72"/>
      <c r="I28" s="72"/>
      <c r="J28" s="72"/>
      <c r="K28" s="73"/>
      <c r="L28" s="72"/>
      <c r="M28" s="73"/>
      <c r="N28" s="73"/>
      <c r="O28" s="73"/>
      <c r="P28" s="73"/>
      <c r="Q28" s="73"/>
      <c r="R28" s="73"/>
    </row>
    <row r="29" spans="1:18" s="90" customFormat="1">
      <c r="G29" s="73"/>
      <c r="H29" s="72"/>
      <c r="I29" s="72"/>
      <c r="J29" s="72"/>
      <c r="K29" s="73"/>
      <c r="L29" s="72"/>
      <c r="M29" s="73"/>
      <c r="N29" s="73"/>
      <c r="O29" s="73"/>
      <c r="P29" s="73"/>
      <c r="Q29" s="73"/>
      <c r="R29" s="73"/>
    </row>
    <row r="30" spans="1:18" s="90" customFormat="1">
      <c r="G30" s="73"/>
      <c r="H30" s="72"/>
      <c r="I30" s="72"/>
      <c r="J30" s="72"/>
      <c r="K30" s="73"/>
      <c r="L30" s="72"/>
      <c r="M30" s="73"/>
      <c r="N30" s="73"/>
      <c r="O30" s="73"/>
      <c r="P30" s="73"/>
      <c r="Q30" s="73"/>
      <c r="R30" s="73"/>
    </row>
    <row r="31" spans="1:18" s="90" customFormat="1">
      <c r="G31" s="73"/>
      <c r="H31" s="72"/>
      <c r="I31" s="72"/>
      <c r="J31" s="72"/>
      <c r="K31" s="73"/>
      <c r="L31" s="72"/>
      <c r="M31" s="73"/>
      <c r="N31" s="73"/>
      <c r="O31" s="73"/>
      <c r="P31" s="73"/>
      <c r="Q31" s="73"/>
      <c r="R31" s="73"/>
    </row>
    <row r="32" spans="1:18" s="90" customFormat="1">
      <c r="G32" s="73"/>
      <c r="H32" s="72"/>
      <c r="I32" s="72"/>
      <c r="J32" s="72"/>
      <c r="K32" s="73"/>
      <c r="L32" s="72"/>
      <c r="M32" s="73"/>
      <c r="N32" s="73"/>
      <c r="O32" s="73"/>
      <c r="P32" s="73"/>
      <c r="Q32" s="73"/>
      <c r="R32" s="73"/>
    </row>
    <row r="33" spans="7:18" s="90" customFormat="1">
      <c r="G33" s="73"/>
      <c r="H33" s="72"/>
      <c r="I33" s="72"/>
      <c r="J33" s="72"/>
      <c r="K33" s="73"/>
      <c r="L33" s="72"/>
      <c r="M33" s="73"/>
      <c r="N33" s="73"/>
      <c r="O33" s="73"/>
      <c r="P33" s="73"/>
      <c r="Q33" s="73"/>
      <c r="R33" s="73"/>
    </row>
    <row r="34" spans="7:18" s="90" customFormat="1">
      <c r="G34" s="73"/>
      <c r="H34" s="72"/>
      <c r="I34" s="72"/>
      <c r="J34" s="72"/>
      <c r="K34" s="73"/>
      <c r="L34" s="72"/>
      <c r="M34" s="73"/>
      <c r="N34" s="73"/>
      <c r="O34" s="73"/>
      <c r="P34" s="73"/>
      <c r="Q34" s="73"/>
      <c r="R34" s="73"/>
    </row>
    <row r="35" spans="7:18" s="90" customFormat="1">
      <c r="G35" s="73"/>
      <c r="H35" s="72"/>
      <c r="I35" s="72"/>
      <c r="J35" s="72"/>
      <c r="K35" s="73"/>
      <c r="L35" s="72"/>
      <c r="M35" s="73"/>
      <c r="N35" s="73"/>
      <c r="O35" s="73"/>
      <c r="P35" s="73"/>
      <c r="Q35" s="73"/>
      <c r="R35" s="73"/>
    </row>
    <row r="36" spans="7:18" s="90" customFormat="1">
      <c r="G36" s="73"/>
      <c r="H36" s="72"/>
      <c r="I36" s="72"/>
      <c r="J36" s="72"/>
      <c r="K36" s="73"/>
      <c r="L36" s="72"/>
      <c r="M36" s="73"/>
      <c r="N36" s="73"/>
      <c r="O36" s="73"/>
      <c r="P36" s="73"/>
      <c r="Q36" s="73"/>
      <c r="R36" s="73"/>
    </row>
    <row r="37" spans="7:18" s="90" customFormat="1">
      <c r="G37" s="73"/>
      <c r="H37" s="72"/>
      <c r="I37" s="72"/>
      <c r="J37" s="72"/>
      <c r="K37" s="73"/>
      <c r="L37" s="72"/>
      <c r="M37" s="73"/>
      <c r="N37" s="73"/>
      <c r="O37" s="73"/>
      <c r="P37" s="73"/>
      <c r="Q37" s="73"/>
      <c r="R37" s="73"/>
    </row>
    <row r="38" spans="7:18" s="90" customFormat="1">
      <c r="G38" s="73"/>
      <c r="H38" s="72"/>
      <c r="I38" s="72"/>
      <c r="J38" s="72"/>
      <c r="K38" s="73"/>
      <c r="L38" s="72"/>
      <c r="M38" s="73"/>
      <c r="N38" s="73"/>
      <c r="O38" s="73"/>
      <c r="P38" s="73"/>
      <c r="Q38" s="73"/>
      <c r="R38" s="73"/>
    </row>
    <row r="39" spans="7:18" s="90" customFormat="1">
      <c r="G39" s="73"/>
      <c r="H39" s="72"/>
      <c r="I39" s="72"/>
      <c r="J39" s="72"/>
      <c r="K39" s="73"/>
      <c r="L39" s="72"/>
      <c r="M39" s="73"/>
      <c r="N39" s="73"/>
      <c r="O39" s="73"/>
      <c r="P39" s="73"/>
      <c r="Q39" s="73"/>
      <c r="R39" s="73"/>
    </row>
    <row r="40" spans="7:18" s="90" customFormat="1">
      <c r="G40" s="73"/>
      <c r="H40" s="72"/>
      <c r="I40" s="72"/>
      <c r="J40" s="72"/>
      <c r="K40" s="73"/>
      <c r="L40" s="72"/>
      <c r="M40" s="73"/>
      <c r="N40" s="73"/>
      <c r="O40" s="73"/>
      <c r="P40" s="73"/>
      <c r="Q40" s="73"/>
      <c r="R40" s="73"/>
    </row>
    <row r="41" spans="7:18" s="90" customFormat="1">
      <c r="G41" s="73"/>
      <c r="H41" s="72"/>
      <c r="I41" s="72"/>
      <c r="J41" s="72"/>
      <c r="K41" s="73"/>
      <c r="L41" s="72"/>
      <c r="M41" s="73"/>
      <c r="N41" s="73"/>
      <c r="O41" s="73"/>
      <c r="P41" s="73"/>
      <c r="Q41" s="73"/>
      <c r="R41" s="73"/>
    </row>
    <row r="42" spans="7:18" s="90" customFormat="1">
      <c r="G42" s="73"/>
      <c r="H42" s="72"/>
      <c r="I42" s="72"/>
      <c r="J42" s="72"/>
      <c r="K42" s="73"/>
      <c r="L42" s="72"/>
      <c r="M42" s="73"/>
      <c r="N42" s="73"/>
      <c r="O42" s="73"/>
      <c r="P42" s="73"/>
      <c r="Q42" s="73"/>
      <c r="R42" s="73"/>
    </row>
    <row r="43" spans="7:18" s="90" customFormat="1">
      <c r="G43" s="73"/>
      <c r="H43" s="72"/>
      <c r="I43" s="72"/>
      <c r="J43" s="72"/>
      <c r="K43" s="73"/>
      <c r="L43" s="72"/>
      <c r="M43" s="73"/>
      <c r="N43" s="73"/>
      <c r="O43" s="73"/>
      <c r="P43" s="73"/>
      <c r="Q43" s="73"/>
      <c r="R43" s="73"/>
    </row>
    <row r="44" spans="7:18" s="90" customFormat="1">
      <c r="G44" s="73"/>
      <c r="H44" s="72"/>
      <c r="I44" s="72"/>
      <c r="J44" s="72"/>
      <c r="K44" s="73"/>
      <c r="L44" s="72"/>
      <c r="M44" s="73"/>
      <c r="N44" s="73"/>
      <c r="O44" s="73"/>
      <c r="P44" s="73"/>
      <c r="Q44" s="73"/>
      <c r="R44" s="73"/>
    </row>
    <row r="45" spans="7:18" s="90" customFormat="1">
      <c r="G45" s="73"/>
      <c r="H45" s="72"/>
      <c r="I45" s="72"/>
      <c r="J45" s="72"/>
      <c r="K45" s="73"/>
      <c r="L45" s="72"/>
      <c r="M45" s="73"/>
      <c r="N45" s="73"/>
      <c r="O45" s="73"/>
      <c r="P45" s="73"/>
      <c r="Q45" s="73"/>
      <c r="R45" s="73"/>
    </row>
    <row r="46" spans="7:18" s="90" customFormat="1">
      <c r="G46" s="73"/>
      <c r="H46" s="72"/>
      <c r="I46" s="72"/>
      <c r="J46" s="72"/>
      <c r="K46" s="73"/>
      <c r="L46" s="72"/>
      <c r="M46" s="73"/>
      <c r="N46" s="73"/>
      <c r="O46" s="73"/>
      <c r="P46" s="73"/>
      <c r="Q46" s="73"/>
      <c r="R46" s="73"/>
    </row>
    <row r="47" spans="7:18" s="90" customFormat="1">
      <c r="G47" s="73"/>
      <c r="H47" s="72"/>
      <c r="I47" s="72"/>
      <c r="J47" s="72"/>
      <c r="K47" s="73"/>
      <c r="L47" s="72"/>
      <c r="M47" s="73"/>
      <c r="N47" s="73"/>
      <c r="O47" s="73"/>
      <c r="P47" s="73"/>
      <c r="Q47" s="73"/>
      <c r="R47" s="73"/>
    </row>
    <row r="48" spans="7:18" s="90" customFormat="1">
      <c r="G48" s="73"/>
      <c r="H48" s="72"/>
      <c r="I48" s="72"/>
      <c r="J48" s="72"/>
      <c r="K48" s="73"/>
      <c r="L48" s="72"/>
      <c r="M48" s="73"/>
      <c r="N48" s="73"/>
      <c r="O48" s="73"/>
      <c r="P48" s="73"/>
      <c r="Q48" s="73"/>
      <c r="R48" s="73"/>
    </row>
    <row r="49" spans="7:18" s="90" customFormat="1">
      <c r="G49" s="73"/>
      <c r="H49" s="72"/>
      <c r="I49" s="72"/>
      <c r="J49" s="72"/>
      <c r="K49" s="73"/>
      <c r="L49" s="72"/>
      <c r="M49" s="73"/>
      <c r="N49" s="73"/>
      <c r="O49" s="73"/>
      <c r="P49" s="73"/>
      <c r="Q49" s="73"/>
      <c r="R49" s="73"/>
    </row>
    <row r="50" spans="7:18" s="90" customFormat="1">
      <c r="G50" s="73"/>
      <c r="H50" s="72"/>
      <c r="I50" s="72"/>
      <c r="J50" s="72"/>
      <c r="K50" s="73"/>
      <c r="L50" s="72"/>
      <c r="M50" s="73"/>
      <c r="N50" s="73"/>
      <c r="O50" s="73"/>
      <c r="P50" s="73"/>
      <c r="Q50" s="73"/>
      <c r="R50" s="73"/>
    </row>
    <row r="51" spans="7:18" s="90" customFormat="1">
      <c r="G51" s="73"/>
      <c r="H51" s="72"/>
      <c r="I51" s="72"/>
      <c r="J51" s="72"/>
      <c r="K51" s="73"/>
      <c r="L51" s="72"/>
      <c r="M51" s="73"/>
      <c r="N51" s="73"/>
      <c r="O51" s="73"/>
      <c r="P51" s="73"/>
      <c r="Q51" s="73"/>
      <c r="R51" s="73"/>
    </row>
    <row r="52" spans="7:18" s="90" customFormat="1">
      <c r="G52" s="73"/>
      <c r="H52" s="72"/>
      <c r="I52" s="72"/>
      <c r="J52" s="72"/>
      <c r="K52" s="73"/>
      <c r="L52" s="72"/>
      <c r="M52" s="73"/>
      <c r="N52" s="73"/>
      <c r="O52" s="73"/>
      <c r="P52" s="73"/>
      <c r="Q52" s="73"/>
      <c r="R52" s="73"/>
    </row>
    <row r="53" spans="7:18" s="90" customFormat="1">
      <c r="G53" s="73"/>
      <c r="H53" s="72"/>
      <c r="I53" s="72"/>
      <c r="J53" s="72"/>
      <c r="K53" s="73"/>
      <c r="L53" s="72"/>
      <c r="M53" s="73"/>
      <c r="N53" s="73"/>
      <c r="O53" s="73"/>
      <c r="P53" s="73"/>
      <c r="Q53" s="73"/>
      <c r="R53" s="73"/>
    </row>
  </sheetData>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7A978-8ED4-4F20-80C5-4EB2031F6621}">
  <sheetPr codeName="Sheet24">
    <tabColor rgb="FF802C19"/>
  </sheetPr>
  <dimension ref="A1:R48"/>
  <sheetViews>
    <sheetView zoomScale="85" zoomScaleNormal="85" workbookViewId="0">
      <selection activeCell="I11" sqref="I11:J14"/>
    </sheetView>
    <sheetView workbookViewId="1">
      <selection activeCell="A10" sqref="A10:E25"/>
    </sheetView>
  </sheetViews>
  <sheetFormatPr defaultColWidth="8.77734375" defaultRowHeight="13.8"/>
  <cols>
    <col min="1" max="1" width="10.21875" style="78" customWidth="1"/>
    <col min="2" max="2" width="63.77734375" style="78" customWidth="1"/>
    <col min="3" max="4" width="21.44140625" style="78" customWidth="1"/>
    <col min="5" max="5" width="48.44140625" style="78" customWidth="1"/>
    <col min="6" max="6" width="30.21875" style="78" customWidth="1"/>
    <col min="7" max="7" width="21.44140625" style="73" customWidth="1"/>
    <col min="8" max="9" width="8.77734375" style="72"/>
    <col min="10" max="18" width="8.77734375" style="73"/>
    <col min="19" max="16384" width="8.77734375" style="78"/>
  </cols>
  <sheetData>
    <row r="1" spans="1:18" s="100" customFormat="1" ht="25.8">
      <c r="A1" s="71" t="s">
        <v>209</v>
      </c>
      <c r="B1" s="72"/>
      <c r="C1" s="56"/>
      <c r="D1" s="72"/>
      <c r="E1" s="72"/>
      <c r="F1" s="72"/>
      <c r="G1" s="73"/>
      <c r="H1" s="72"/>
      <c r="I1" s="72"/>
      <c r="J1" s="73"/>
      <c r="K1" s="73"/>
      <c r="L1" s="73"/>
      <c r="M1" s="73"/>
      <c r="N1" s="73"/>
      <c r="O1" s="73"/>
      <c r="P1" s="73"/>
      <c r="Q1" s="73"/>
      <c r="R1" s="73"/>
    </row>
    <row r="2" spans="1:18" s="101" customFormat="1" ht="25.8">
      <c r="A2" s="71" t="s">
        <v>965</v>
      </c>
      <c r="B2" s="72"/>
      <c r="C2" s="56"/>
      <c r="D2" s="72"/>
      <c r="E2" s="72"/>
      <c r="F2" s="72"/>
      <c r="G2" s="73"/>
      <c r="H2" s="72"/>
      <c r="I2" s="72"/>
      <c r="J2" s="73"/>
      <c r="K2" s="73"/>
      <c r="L2" s="73"/>
      <c r="M2" s="73"/>
      <c r="N2" s="73"/>
      <c r="O2" s="73"/>
      <c r="P2" s="73"/>
      <c r="Q2" s="73"/>
      <c r="R2" s="73"/>
    </row>
    <row r="3" spans="1:18" s="97" customFormat="1">
      <c r="A3" s="74" t="s">
        <v>117</v>
      </c>
      <c r="B3" s="72" t="s">
        <v>210</v>
      </c>
      <c r="C3" s="72"/>
      <c r="D3" s="72"/>
      <c r="E3" s="72"/>
      <c r="F3" s="72"/>
      <c r="G3" s="73"/>
      <c r="H3" s="72"/>
      <c r="I3" s="72"/>
      <c r="J3" s="73"/>
      <c r="K3" s="73"/>
      <c r="L3" s="73"/>
      <c r="M3" s="73"/>
      <c r="N3" s="73"/>
      <c r="O3" s="73"/>
      <c r="P3" s="73"/>
      <c r="Q3" s="73"/>
      <c r="R3" s="73"/>
    </row>
    <row r="4" spans="1:18" s="100" customFormat="1">
      <c r="A4" s="74" t="s">
        <v>725</v>
      </c>
      <c r="B4" s="72" t="s">
        <v>966</v>
      </c>
      <c r="C4" s="72"/>
      <c r="D4" s="72"/>
      <c r="E4" s="72"/>
      <c r="F4" s="72"/>
      <c r="G4" s="73"/>
      <c r="H4" s="72"/>
      <c r="I4" s="72"/>
      <c r="J4" s="73"/>
      <c r="K4" s="73"/>
      <c r="L4" s="73"/>
      <c r="M4" s="73"/>
      <c r="N4" s="73"/>
      <c r="O4" s="73"/>
      <c r="P4" s="73"/>
      <c r="Q4" s="73"/>
      <c r="R4" s="73"/>
    </row>
    <row r="5" spans="1:18" s="101" customFormat="1">
      <c r="A5" s="72" t="s">
        <v>118</v>
      </c>
      <c r="B5" s="72" t="s">
        <v>211</v>
      </c>
      <c r="C5" s="72"/>
      <c r="D5" s="72"/>
      <c r="E5" s="72"/>
      <c r="F5" s="72"/>
      <c r="G5" s="73"/>
      <c r="H5" s="72"/>
      <c r="I5" s="72"/>
      <c r="J5" s="73"/>
      <c r="K5" s="73"/>
      <c r="L5" s="73"/>
      <c r="M5" s="73"/>
      <c r="N5" s="73"/>
      <c r="O5" s="73"/>
      <c r="P5" s="73"/>
      <c r="Q5" s="73"/>
      <c r="R5" s="73"/>
    </row>
    <row r="6" spans="1:18" s="97" customFormat="1">
      <c r="A6" s="72" t="s">
        <v>727</v>
      </c>
      <c r="B6" s="72" t="s">
        <v>967</v>
      </c>
      <c r="C6" s="72"/>
      <c r="D6" s="72"/>
      <c r="E6" s="72"/>
      <c r="F6" s="72"/>
      <c r="G6" s="73"/>
      <c r="H6" s="72"/>
      <c r="I6" s="72"/>
      <c r="J6" s="73"/>
      <c r="K6" s="73"/>
      <c r="L6" s="73"/>
      <c r="M6" s="73"/>
      <c r="N6" s="73"/>
      <c r="O6" s="73"/>
      <c r="P6" s="73"/>
      <c r="Q6" s="73"/>
      <c r="R6" s="73"/>
    </row>
    <row r="7" spans="1:18" s="100" customFormat="1">
      <c r="A7" s="78"/>
      <c r="B7" s="78"/>
      <c r="C7" s="78"/>
      <c r="D7" s="78"/>
      <c r="E7" s="72"/>
      <c r="F7" s="72"/>
      <c r="G7" s="112"/>
      <c r="H7" s="72"/>
      <c r="I7" s="72"/>
      <c r="J7" s="73"/>
      <c r="K7" s="73"/>
      <c r="L7" s="73"/>
      <c r="M7" s="73"/>
      <c r="N7" s="73"/>
      <c r="O7" s="73"/>
      <c r="P7" s="73"/>
      <c r="Q7" s="73"/>
      <c r="R7" s="73"/>
    </row>
    <row r="8" spans="1:18" s="100" customFormat="1">
      <c r="A8" s="103"/>
      <c r="B8" s="103"/>
      <c r="C8" s="103" t="s">
        <v>104</v>
      </c>
      <c r="D8" s="103" t="s">
        <v>654</v>
      </c>
      <c r="E8" s="103" t="s">
        <v>93</v>
      </c>
      <c r="F8" s="103" t="s">
        <v>655</v>
      </c>
      <c r="G8" s="103" t="s">
        <v>691</v>
      </c>
      <c r="H8" s="72"/>
      <c r="I8" s="72"/>
      <c r="J8" s="72"/>
      <c r="K8" s="72"/>
      <c r="L8" s="72"/>
      <c r="M8" s="72"/>
      <c r="N8" s="72"/>
      <c r="O8" s="72"/>
      <c r="P8" s="72"/>
      <c r="Q8" s="72"/>
      <c r="R8" s="72"/>
    </row>
    <row r="9" spans="1:18" s="101" customFormat="1">
      <c r="A9" s="93" t="s">
        <v>55</v>
      </c>
      <c r="B9" s="93"/>
      <c r="C9" s="94"/>
      <c r="D9" s="94"/>
      <c r="E9" s="94"/>
      <c r="F9" s="94"/>
      <c r="G9" s="95"/>
      <c r="H9" s="72"/>
      <c r="I9" s="72"/>
      <c r="J9" s="96"/>
      <c r="K9" s="96"/>
      <c r="L9" s="96"/>
      <c r="M9" s="96"/>
      <c r="N9" s="96"/>
      <c r="O9" s="96"/>
      <c r="P9" s="96"/>
      <c r="Q9" s="96"/>
      <c r="R9" s="96"/>
    </row>
    <row r="10" spans="1:18" s="97" customFormat="1" ht="27.6">
      <c r="A10" s="23" t="s">
        <v>212</v>
      </c>
      <c r="B10" s="23" t="s">
        <v>968</v>
      </c>
      <c r="C10" s="23"/>
      <c r="D10" s="23"/>
      <c r="E10" s="98" t="s">
        <v>213</v>
      </c>
      <c r="F10" s="98"/>
      <c r="G10" s="99"/>
      <c r="H10" s="72"/>
      <c r="I10" s="72"/>
      <c r="J10" s="96"/>
      <c r="K10" s="96"/>
      <c r="L10" s="96"/>
      <c r="M10" s="96"/>
      <c r="N10" s="96"/>
      <c r="O10" s="96"/>
      <c r="P10" s="96"/>
      <c r="Q10" s="96"/>
      <c r="R10" s="96"/>
    </row>
    <row r="11" spans="1:18" s="100" customFormat="1">
      <c r="A11" s="93" t="s">
        <v>62</v>
      </c>
      <c r="B11" s="93"/>
      <c r="C11" s="94"/>
      <c r="D11" s="94"/>
      <c r="E11" s="94" t="s">
        <v>839</v>
      </c>
      <c r="F11" s="94"/>
      <c r="G11" s="95"/>
      <c r="H11" s="72"/>
      <c r="I11" s="72"/>
      <c r="J11" s="96"/>
      <c r="K11" s="96"/>
      <c r="L11" s="96"/>
      <c r="M11" s="96"/>
      <c r="N11" s="96"/>
      <c r="O11" s="96"/>
      <c r="P11" s="96"/>
      <c r="Q11" s="96"/>
      <c r="R11" s="96"/>
    </row>
    <row r="12" spans="1:18" s="100" customFormat="1" ht="55.2">
      <c r="A12" s="23" t="s">
        <v>214</v>
      </c>
      <c r="B12" s="23" t="s">
        <v>969</v>
      </c>
      <c r="C12" s="23"/>
      <c r="D12" s="23"/>
      <c r="E12" s="98" t="s">
        <v>215</v>
      </c>
      <c r="F12" s="98"/>
      <c r="G12" s="99"/>
      <c r="H12" s="72"/>
      <c r="I12" s="72"/>
      <c r="J12" s="96"/>
      <c r="K12" s="96"/>
      <c r="L12" s="96"/>
      <c r="M12" s="96"/>
      <c r="N12" s="96"/>
      <c r="O12" s="96"/>
      <c r="P12" s="96"/>
      <c r="Q12" s="96"/>
      <c r="R12" s="96"/>
    </row>
    <row r="13" spans="1:18" s="101" customFormat="1" ht="69">
      <c r="A13" s="23" t="s">
        <v>216</v>
      </c>
      <c r="B13" s="23" t="s">
        <v>970</v>
      </c>
      <c r="C13" s="23"/>
      <c r="D13" s="23"/>
      <c r="E13" s="98" t="s">
        <v>217</v>
      </c>
      <c r="F13" s="98"/>
      <c r="G13" s="99"/>
      <c r="H13" s="72"/>
      <c r="I13" s="72"/>
      <c r="J13" s="96"/>
      <c r="K13" s="96"/>
      <c r="L13" s="96"/>
      <c r="M13" s="96"/>
      <c r="N13" s="96"/>
      <c r="O13" s="96"/>
      <c r="P13" s="96"/>
      <c r="Q13" s="96"/>
      <c r="R13" s="96"/>
    </row>
    <row r="14" spans="1:18" s="97" customFormat="1" ht="55.2">
      <c r="A14" s="23" t="s">
        <v>218</v>
      </c>
      <c r="B14" s="23" t="s">
        <v>971</v>
      </c>
      <c r="C14" s="23"/>
      <c r="D14" s="23"/>
      <c r="E14" s="98" t="s">
        <v>219</v>
      </c>
      <c r="F14" s="98"/>
      <c r="G14" s="99"/>
      <c r="H14" s="72"/>
      <c r="I14" s="72"/>
      <c r="J14" s="96"/>
      <c r="K14" s="96"/>
      <c r="L14" s="96"/>
      <c r="M14" s="96"/>
      <c r="N14" s="96"/>
      <c r="O14" s="96"/>
      <c r="P14" s="96"/>
      <c r="Q14" s="96"/>
      <c r="R14" s="96"/>
    </row>
    <row r="15" spans="1:18" s="100" customFormat="1" ht="69">
      <c r="A15" s="23" t="s">
        <v>220</v>
      </c>
      <c r="B15" s="23" t="s">
        <v>972</v>
      </c>
      <c r="C15" s="23"/>
      <c r="D15" s="23"/>
      <c r="E15" s="98" t="s">
        <v>221</v>
      </c>
      <c r="F15" s="98"/>
      <c r="G15" s="99"/>
      <c r="H15" s="72"/>
      <c r="I15" s="72"/>
      <c r="J15" s="96"/>
      <c r="K15" s="96"/>
      <c r="L15" s="96"/>
      <c r="M15" s="96"/>
      <c r="N15" s="96"/>
      <c r="O15" s="96"/>
      <c r="P15" s="96"/>
      <c r="Q15" s="96"/>
      <c r="R15" s="96"/>
    </row>
    <row r="16" spans="1:18" s="100" customFormat="1" ht="69">
      <c r="A16" s="23" t="s">
        <v>222</v>
      </c>
      <c r="B16" s="23" t="s">
        <v>973</v>
      </c>
      <c r="C16" s="23"/>
      <c r="D16" s="23"/>
      <c r="E16" s="23" t="s">
        <v>974</v>
      </c>
      <c r="F16" s="23"/>
      <c r="G16" s="99"/>
      <c r="H16" s="72"/>
      <c r="I16" s="72"/>
      <c r="J16" s="96"/>
      <c r="K16" s="96"/>
      <c r="L16" s="96"/>
      <c r="M16" s="96"/>
      <c r="N16" s="96"/>
      <c r="O16" s="96"/>
      <c r="P16" s="96"/>
      <c r="Q16" s="96"/>
      <c r="R16" s="96"/>
    </row>
    <row r="17" spans="1:18" s="101" customFormat="1" ht="55.2">
      <c r="A17" s="23" t="s">
        <v>223</v>
      </c>
      <c r="B17" s="23" t="s">
        <v>975</v>
      </c>
      <c r="C17" s="23"/>
      <c r="D17" s="23"/>
      <c r="E17" s="23" t="s">
        <v>976</v>
      </c>
      <c r="F17" s="23"/>
      <c r="G17" s="99"/>
      <c r="H17" s="72"/>
      <c r="I17" s="72"/>
      <c r="J17" s="96"/>
      <c r="K17" s="96"/>
      <c r="L17" s="96"/>
      <c r="M17" s="96"/>
      <c r="N17" s="96"/>
      <c r="O17" s="96"/>
      <c r="P17" s="96"/>
      <c r="Q17" s="96"/>
      <c r="R17" s="96"/>
    </row>
    <row r="18" spans="1:18" s="97" customFormat="1">
      <c r="A18" s="93" t="s">
        <v>64</v>
      </c>
      <c r="B18" s="93"/>
      <c r="C18" s="94"/>
      <c r="D18" s="94"/>
      <c r="E18" s="94" t="s">
        <v>839</v>
      </c>
      <c r="F18" s="94"/>
      <c r="G18" s="95"/>
      <c r="H18" s="72"/>
      <c r="I18" s="72"/>
      <c r="J18" s="96"/>
      <c r="K18" s="96"/>
      <c r="L18" s="96"/>
      <c r="M18" s="96"/>
      <c r="N18" s="96"/>
      <c r="O18" s="96"/>
      <c r="P18" s="96"/>
      <c r="Q18" s="96"/>
      <c r="R18" s="96"/>
    </row>
    <row r="19" spans="1:18" s="100" customFormat="1" ht="41.4">
      <c r="A19" s="23" t="s">
        <v>224</v>
      </c>
      <c r="B19" s="23" t="s">
        <v>977</v>
      </c>
      <c r="C19" s="23"/>
      <c r="D19" s="23"/>
      <c r="E19" s="23" t="s">
        <v>978</v>
      </c>
      <c r="F19" s="23"/>
      <c r="G19" s="99"/>
      <c r="H19" s="72"/>
      <c r="I19" s="72"/>
      <c r="J19" s="96"/>
      <c r="K19" s="96"/>
      <c r="L19" s="96"/>
      <c r="M19" s="96"/>
      <c r="N19" s="96"/>
      <c r="O19" s="96"/>
      <c r="P19" s="96"/>
      <c r="Q19" s="96"/>
      <c r="R19" s="96"/>
    </row>
    <row r="20" spans="1:18" s="100" customFormat="1" ht="41.4">
      <c r="A20" s="23" t="s">
        <v>225</v>
      </c>
      <c r="B20" s="23" t="s">
        <v>979</v>
      </c>
      <c r="C20" s="23"/>
      <c r="D20" s="23"/>
      <c r="E20" s="98" t="s">
        <v>226</v>
      </c>
      <c r="F20" s="98"/>
      <c r="G20" s="99"/>
      <c r="H20" s="72"/>
      <c r="I20" s="72"/>
      <c r="J20" s="96"/>
      <c r="K20" s="96"/>
      <c r="L20" s="96"/>
      <c r="M20" s="96"/>
      <c r="N20" s="96"/>
      <c r="O20" s="96"/>
      <c r="P20" s="96"/>
      <c r="Q20" s="96"/>
      <c r="R20" s="96"/>
    </row>
    <row r="21" spans="1:18" s="101" customFormat="1" ht="27.6">
      <c r="A21" s="23" t="s">
        <v>227</v>
      </c>
      <c r="B21" s="23" t="s">
        <v>980</v>
      </c>
      <c r="C21" s="23"/>
      <c r="D21" s="23"/>
      <c r="E21" s="98" t="s">
        <v>228</v>
      </c>
      <c r="F21" s="98"/>
      <c r="G21" s="99"/>
      <c r="H21" s="72"/>
      <c r="I21" s="72"/>
      <c r="J21" s="96"/>
      <c r="K21" s="96"/>
      <c r="L21" s="96"/>
      <c r="M21" s="96"/>
      <c r="N21" s="96"/>
      <c r="O21" s="96"/>
      <c r="P21" s="96"/>
      <c r="Q21" s="96"/>
      <c r="R21" s="96"/>
    </row>
    <row r="22" spans="1:18" s="97" customFormat="1" ht="41.4">
      <c r="A22" s="23" t="s">
        <v>229</v>
      </c>
      <c r="B22" s="23" t="s">
        <v>981</v>
      </c>
      <c r="C22" s="23"/>
      <c r="D22" s="23"/>
      <c r="E22" s="98" t="s">
        <v>230</v>
      </c>
      <c r="F22" s="98"/>
      <c r="G22" s="99"/>
      <c r="H22" s="72"/>
      <c r="I22" s="72"/>
      <c r="J22" s="96"/>
      <c r="K22" s="96"/>
      <c r="L22" s="96"/>
      <c r="M22" s="96"/>
      <c r="N22" s="96"/>
      <c r="O22" s="96"/>
      <c r="P22" s="96"/>
      <c r="Q22" s="96"/>
      <c r="R22" s="96"/>
    </row>
    <row r="23" spans="1:18" s="100" customFormat="1" ht="41.4">
      <c r="A23" s="23" t="s">
        <v>231</v>
      </c>
      <c r="B23" s="23" t="s">
        <v>982</v>
      </c>
      <c r="C23" s="23"/>
      <c r="D23" s="23"/>
      <c r="E23" s="98" t="s">
        <v>232</v>
      </c>
      <c r="F23" s="98"/>
      <c r="G23" s="99"/>
      <c r="H23" s="72"/>
      <c r="I23" s="72"/>
      <c r="J23" s="96"/>
      <c r="K23" s="96"/>
      <c r="L23" s="96"/>
      <c r="M23" s="96"/>
      <c r="N23" s="96"/>
      <c r="O23" s="96"/>
      <c r="P23" s="96"/>
      <c r="Q23" s="96"/>
      <c r="R23" s="96"/>
    </row>
    <row r="24" spans="1:18" s="100" customFormat="1" ht="27.6">
      <c r="A24" s="23" t="s">
        <v>233</v>
      </c>
      <c r="B24" s="23" t="s">
        <v>983</v>
      </c>
      <c r="C24" s="23"/>
      <c r="D24" s="23"/>
      <c r="E24" s="98" t="s">
        <v>234</v>
      </c>
      <c r="F24" s="98"/>
      <c r="G24" s="99"/>
      <c r="H24" s="72"/>
      <c r="I24" s="72"/>
      <c r="J24" s="96"/>
      <c r="K24" s="96"/>
      <c r="L24" s="96"/>
      <c r="M24" s="96"/>
      <c r="N24" s="96"/>
      <c r="O24" s="96"/>
      <c r="P24" s="96"/>
      <c r="Q24" s="96"/>
      <c r="R24" s="96"/>
    </row>
    <row r="25" spans="1:18" s="101" customFormat="1" ht="82.8">
      <c r="A25" s="23" t="s">
        <v>235</v>
      </c>
      <c r="B25" s="23" t="s">
        <v>984</v>
      </c>
      <c r="C25" s="23"/>
      <c r="D25" s="23"/>
      <c r="E25" s="98" t="s">
        <v>236</v>
      </c>
      <c r="F25" s="98"/>
      <c r="G25" s="99"/>
      <c r="H25" s="72"/>
      <c r="I25" s="72"/>
      <c r="J25" s="96"/>
      <c r="K25" s="96"/>
      <c r="L25" s="96"/>
      <c r="M25" s="96"/>
      <c r="N25" s="96"/>
      <c r="O25" s="96"/>
      <c r="P25" s="96"/>
      <c r="Q25" s="96"/>
      <c r="R25" s="96"/>
    </row>
    <row r="26" spans="1:18" s="90" customFormat="1">
      <c r="G26" s="73"/>
      <c r="H26" s="72"/>
      <c r="I26" s="72"/>
      <c r="J26" s="73"/>
      <c r="K26" s="73"/>
      <c r="L26" s="73"/>
      <c r="M26" s="73"/>
      <c r="N26" s="73"/>
      <c r="O26" s="73"/>
      <c r="P26" s="73"/>
      <c r="Q26" s="73"/>
      <c r="R26" s="73"/>
    </row>
    <row r="27" spans="1:18" s="90" customFormat="1">
      <c r="G27" s="73"/>
      <c r="H27" s="72"/>
      <c r="I27" s="72"/>
      <c r="J27" s="73"/>
      <c r="K27" s="73"/>
      <c r="L27" s="73"/>
      <c r="M27" s="73"/>
      <c r="N27" s="73"/>
      <c r="O27" s="73"/>
      <c r="P27" s="73"/>
      <c r="Q27" s="73"/>
      <c r="R27" s="73"/>
    </row>
    <row r="28" spans="1:18" s="91" customFormat="1">
      <c r="G28" s="73"/>
      <c r="H28" s="72"/>
      <c r="I28" s="72"/>
      <c r="J28" s="73"/>
      <c r="K28" s="73"/>
      <c r="L28" s="73"/>
      <c r="M28" s="73"/>
      <c r="N28" s="73"/>
      <c r="O28" s="73"/>
      <c r="P28" s="73"/>
      <c r="Q28" s="73"/>
      <c r="R28" s="73"/>
    </row>
    <row r="29" spans="1:18" s="91" customFormat="1">
      <c r="G29" s="73"/>
      <c r="H29" s="72"/>
      <c r="I29" s="72"/>
      <c r="J29" s="73"/>
      <c r="K29" s="73"/>
      <c r="L29" s="73"/>
      <c r="M29" s="73"/>
      <c r="N29" s="73"/>
      <c r="O29" s="73"/>
      <c r="P29" s="73"/>
      <c r="Q29" s="73"/>
      <c r="R29" s="73"/>
    </row>
    <row r="30" spans="1:18" s="91" customFormat="1">
      <c r="G30" s="73"/>
      <c r="H30" s="72"/>
      <c r="I30" s="72"/>
      <c r="J30" s="73"/>
      <c r="K30" s="73"/>
      <c r="L30" s="73"/>
      <c r="M30" s="73"/>
      <c r="N30" s="73"/>
      <c r="O30" s="73"/>
      <c r="P30" s="73"/>
      <c r="Q30" s="73"/>
      <c r="R30" s="73"/>
    </row>
    <row r="31" spans="1:18" s="91" customFormat="1">
      <c r="G31" s="73"/>
      <c r="H31" s="72"/>
      <c r="I31" s="72"/>
      <c r="J31" s="73"/>
      <c r="K31" s="73"/>
      <c r="L31" s="73"/>
      <c r="M31" s="73"/>
      <c r="N31" s="73"/>
      <c r="O31" s="73"/>
      <c r="P31" s="73"/>
      <c r="Q31" s="73"/>
      <c r="R31" s="73"/>
    </row>
    <row r="32" spans="1:18" s="91" customFormat="1">
      <c r="G32" s="73"/>
      <c r="H32" s="72"/>
      <c r="I32" s="72"/>
      <c r="J32" s="73"/>
      <c r="K32" s="73"/>
      <c r="L32" s="73"/>
      <c r="M32" s="73"/>
      <c r="N32" s="73"/>
      <c r="O32" s="73"/>
      <c r="P32" s="73"/>
      <c r="Q32" s="73"/>
      <c r="R32" s="73"/>
    </row>
    <row r="33" spans="7:18" s="91" customFormat="1">
      <c r="G33" s="73"/>
      <c r="H33" s="72"/>
      <c r="I33" s="72"/>
      <c r="J33" s="73"/>
      <c r="K33" s="73"/>
      <c r="L33" s="73"/>
      <c r="M33" s="73"/>
      <c r="N33" s="73"/>
      <c r="O33" s="73"/>
      <c r="P33" s="73"/>
      <c r="Q33" s="73"/>
      <c r="R33" s="73"/>
    </row>
    <row r="34" spans="7:18" s="91" customFormat="1">
      <c r="G34" s="73"/>
      <c r="H34" s="72"/>
      <c r="I34" s="72"/>
      <c r="J34" s="73"/>
      <c r="K34" s="73"/>
      <c r="L34" s="73"/>
      <c r="M34" s="73"/>
      <c r="N34" s="73"/>
      <c r="O34" s="73"/>
      <c r="P34" s="73"/>
      <c r="Q34" s="73"/>
      <c r="R34" s="73"/>
    </row>
    <row r="35" spans="7:18" s="91" customFormat="1">
      <c r="G35" s="73"/>
      <c r="H35" s="72"/>
      <c r="I35" s="72"/>
      <c r="J35" s="73"/>
      <c r="K35" s="73"/>
      <c r="L35" s="73"/>
      <c r="M35" s="73"/>
      <c r="N35" s="73"/>
      <c r="O35" s="73"/>
      <c r="P35" s="73"/>
      <c r="Q35" s="73"/>
      <c r="R35" s="73"/>
    </row>
    <row r="36" spans="7:18" s="91" customFormat="1">
      <c r="G36" s="73"/>
      <c r="H36" s="72"/>
      <c r="I36" s="72"/>
      <c r="J36" s="73"/>
      <c r="K36" s="73"/>
      <c r="L36" s="73"/>
      <c r="M36" s="73"/>
      <c r="N36" s="73"/>
      <c r="O36" s="73"/>
      <c r="P36" s="73"/>
      <c r="Q36" s="73"/>
      <c r="R36" s="73"/>
    </row>
    <row r="37" spans="7:18" s="91" customFormat="1">
      <c r="G37" s="73"/>
      <c r="H37" s="72"/>
      <c r="I37" s="72"/>
      <c r="J37" s="73"/>
      <c r="K37" s="73"/>
      <c r="L37" s="73"/>
      <c r="M37" s="73"/>
      <c r="N37" s="73"/>
      <c r="O37" s="73"/>
      <c r="P37" s="73"/>
      <c r="Q37" s="73"/>
      <c r="R37" s="73"/>
    </row>
    <row r="38" spans="7:18" s="91" customFormat="1">
      <c r="G38" s="73"/>
      <c r="H38" s="72"/>
      <c r="I38" s="72"/>
      <c r="J38" s="73"/>
      <c r="K38" s="73"/>
      <c r="L38" s="73"/>
      <c r="M38" s="73"/>
      <c r="N38" s="73"/>
      <c r="O38" s="73"/>
      <c r="P38" s="73"/>
      <c r="Q38" s="73"/>
      <c r="R38" s="73"/>
    </row>
    <row r="39" spans="7:18" s="91" customFormat="1">
      <c r="G39" s="73"/>
      <c r="H39" s="72"/>
      <c r="I39" s="72"/>
      <c r="J39" s="73"/>
      <c r="K39" s="73"/>
      <c r="L39" s="73"/>
      <c r="M39" s="73"/>
      <c r="N39" s="73"/>
      <c r="O39" s="73"/>
      <c r="P39" s="73"/>
      <c r="Q39" s="73"/>
      <c r="R39" s="73"/>
    </row>
    <row r="40" spans="7:18" s="91" customFormat="1">
      <c r="G40" s="73"/>
      <c r="H40" s="72"/>
      <c r="I40" s="72"/>
      <c r="J40" s="73"/>
      <c r="K40" s="73"/>
      <c r="L40" s="73"/>
      <c r="M40" s="73"/>
      <c r="N40" s="73"/>
      <c r="O40" s="73"/>
      <c r="P40" s="73"/>
      <c r="Q40" s="73"/>
      <c r="R40" s="73"/>
    </row>
    <row r="41" spans="7:18" s="91" customFormat="1">
      <c r="G41" s="73"/>
      <c r="H41" s="72"/>
      <c r="I41" s="72"/>
      <c r="J41" s="73"/>
      <c r="K41" s="73"/>
      <c r="L41" s="73"/>
      <c r="M41" s="73"/>
      <c r="N41" s="73"/>
      <c r="O41" s="73"/>
      <c r="P41" s="73"/>
      <c r="Q41" s="73"/>
      <c r="R41" s="73"/>
    </row>
    <row r="42" spans="7:18" s="91" customFormat="1">
      <c r="G42" s="73"/>
      <c r="H42" s="72"/>
      <c r="I42" s="72"/>
      <c r="J42" s="73"/>
      <c r="K42" s="73"/>
      <c r="L42" s="73"/>
      <c r="M42" s="73"/>
      <c r="N42" s="73"/>
      <c r="O42" s="73"/>
      <c r="P42" s="73"/>
      <c r="Q42" s="73"/>
      <c r="R42" s="73"/>
    </row>
    <row r="43" spans="7:18" s="91" customFormat="1">
      <c r="G43" s="73"/>
      <c r="H43" s="72"/>
      <c r="I43" s="72"/>
      <c r="J43" s="73"/>
      <c r="K43" s="73"/>
      <c r="L43" s="73"/>
      <c r="M43" s="73"/>
      <c r="N43" s="73"/>
      <c r="O43" s="73"/>
      <c r="P43" s="73"/>
      <c r="Q43" s="73"/>
      <c r="R43" s="73"/>
    </row>
    <row r="44" spans="7:18" s="91" customFormat="1">
      <c r="G44" s="73"/>
      <c r="H44" s="72"/>
      <c r="I44" s="72"/>
      <c r="J44" s="73"/>
      <c r="K44" s="73"/>
      <c r="L44" s="73"/>
      <c r="M44" s="73"/>
      <c r="N44" s="73"/>
      <c r="O44" s="73"/>
      <c r="P44" s="73"/>
      <c r="Q44" s="73"/>
      <c r="R44" s="73"/>
    </row>
    <row r="45" spans="7:18" s="91" customFormat="1">
      <c r="G45" s="73"/>
      <c r="H45" s="72"/>
      <c r="I45" s="72"/>
      <c r="J45" s="73"/>
      <c r="K45" s="73"/>
      <c r="L45" s="73"/>
      <c r="M45" s="73"/>
      <c r="N45" s="73"/>
      <c r="O45" s="73"/>
      <c r="P45" s="73"/>
      <c r="Q45" s="73"/>
      <c r="R45" s="73"/>
    </row>
    <row r="46" spans="7:18" s="91" customFormat="1">
      <c r="G46" s="73"/>
      <c r="H46" s="72"/>
      <c r="I46" s="72"/>
      <c r="J46" s="73"/>
      <c r="K46" s="73"/>
      <c r="L46" s="73"/>
      <c r="M46" s="73"/>
      <c r="N46" s="73"/>
      <c r="O46" s="73"/>
      <c r="P46" s="73"/>
      <c r="Q46" s="73"/>
      <c r="R46" s="73"/>
    </row>
    <row r="47" spans="7:18" s="91" customFormat="1">
      <c r="G47" s="73"/>
      <c r="H47" s="72"/>
      <c r="I47" s="72"/>
      <c r="J47" s="73"/>
      <c r="K47" s="73"/>
      <c r="L47" s="73"/>
      <c r="M47" s="73"/>
      <c r="N47" s="73"/>
      <c r="O47" s="73"/>
      <c r="P47" s="73"/>
      <c r="Q47" s="73"/>
      <c r="R47" s="73"/>
    </row>
    <row r="48" spans="7:18" s="91" customFormat="1">
      <c r="G48" s="73"/>
      <c r="H48" s="72"/>
      <c r="I48" s="72"/>
      <c r="J48" s="73"/>
      <c r="K48" s="73"/>
      <c r="L48" s="73"/>
      <c r="M48" s="73"/>
      <c r="N48" s="73"/>
      <c r="O48" s="73"/>
      <c r="P48" s="73"/>
      <c r="Q48" s="73"/>
      <c r="R48" s="73"/>
    </row>
  </sheetData>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FAAB3-BD93-40F5-B469-5EE6B0CBE908}">
  <sheetPr codeName="Sheet25">
    <tabColor rgb="FFF05A22"/>
  </sheetPr>
  <dimension ref="A1:R68"/>
  <sheetViews>
    <sheetView zoomScale="85" zoomScaleNormal="85" workbookViewId="0">
      <selection activeCell="I11" sqref="I11:J14"/>
    </sheetView>
    <sheetView workbookViewId="1">
      <selection activeCell="A10" sqref="A10:E21"/>
    </sheetView>
  </sheetViews>
  <sheetFormatPr defaultColWidth="8.77734375" defaultRowHeight="13.8"/>
  <cols>
    <col min="1" max="1" width="10.21875" style="78" customWidth="1"/>
    <col min="2" max="2" width="63.77734375" style="78" customWidth="1"/>
    <col min="3" max="4" width="21.44140625" style="78" customWidth="1"/>
    <col min="5" max="5" width="45.21875" style="78" customWidth="1"/>
    <col min="6" max="6" width="31.5546875" style="78" customWidth="1"/>
    <col min="7" max="7" width="21.44140625" style="73" customWidth="1"/>
    <col min="8" max="8" width="8.77734375" style="72"/>
    <col min="9" max="10" width="8.77734375" style="72" customWidth="1"/>
    <col min="11" max="18" width="8.77734375" style="73"/>
    <col min="19" max="16384" width="8.77734375" style="78"/>
  </cols>
  <sheetData>
    <row r="1" spans="1:18" s="100" customFormat="1" ht="25.8">
      <c r="A1" s="71" t="s">
        <v>133</v>
      </c>
      <c r="B1" s="72"/>
      <c r="C1" s="56"/>
      <c r="D1" s="72"/>
      <c r="E1" s="72"/>
      <c r="F1" s="72"/>
      <c r="G1" s="73"/>
      <c r="H1" s="72"/>
      <c r="I1" s="72"/>
      <c r="J1" s="72"/>
      <c r="K1" s="73"/>
      <c r="L1" s="73"/>
      <c r="M1" s="73"/>
      <c r="N1" s="73"/>
      <c r="O1" s="73"/>
      <c r="P1" s="73"/>
      <c r="Q1" s="73"/>
      <c r="R1" s="73"/>
    </row>
    <row r="2" spans="1:18" s="101" customFormat="1" ht="25.8">
      <c r="A2" s="71" t="s">
        <v>985</v>
      </c>
      <c r="B2" s="72"/>
      <c r="C2" s="56"/>
      <c r="D2" s="72"/>
      <c r="E2" s="72"/>
      <c r="F2" s="72"/>
      <c r="G2" s="73"/>
      <c r="H2" s="72"/>
      <c r="I2" s="72"/>
      <c r="J2" s="72"/>
      <c r="K2" s="73"/>
      <c r="L2" s="73"/>
      <c r="M2" s="73"/>
      <c r="N2" s="73"/>
      <c r="O2" s="73"/>
      <c r="P2" s="73"/>
      <c r="Q2" s="73"/>
      <c r="R2" s="73"/>
    </row>
    <row r="3" spans="1:18" s="97" customFormat="1">
      <c r="A3" s="74" t="s">
        <v>117</v>
      </c>
      <c r="B3" s="72" t="s">
        <v>134</v>
      </c>
      <c r="C3" s="72"/>
      <c r="D3" s="72"/>
      <c r="E3" s="72"/>
      <c r="F3" s="72"/>
      <c r="G3" s="73"/>
      <c r="H3" s="72"/>
      <c r="I3" s="72"/>
      <c r="J3" s="72"/>
      <c r="K3" s="73"/>
      <c r="L3" s="73"/>
      <c r="M3" s="73"/>
      <c r="N3" s="73"/>
      <c r="O3" s="73"/>
      <c r="P3" s="73"/>
      <c r="Q3" s="73"/>
      <c r="R3" s="73"/>
    </row>
    <row r="4" spans="1:18" s="100" customFormat="1">
      <c r="A4" s="74" t="s">
        <v>725</v>
      </c>
      <c r="B4" s="72" t="s">
        <v>986</v>
      </c>
      <c r="C4" s="72"/>
      <c r="D4" s="72"/>
      <c r="E4" s="72"/>
      <c r="F4" s="72"/>
      <c r="G4" s="73"/>
      <c r="H4" s="72"/>
      <c r="I4" s="72"/>
      <c r="J4" s="72"/>
      <c r="K4" s="73"/>
      <c r="L4" s="73"/>
      <c r="M4" s="73"/>
      <c r="N4" s="73"/>
      <c r="O4" s="73"/>
      <c r="P4" s="73"/>
      <c r="Q4" s="73"/>
      <c r="R4" s="73"/>
    </row>
    <row r="5" spans="1:18" s="97" customFormat="1">
      <c r="A5" s="72" t="s">
        <v>118</v>
      </c>
      <c r="B5" s="72" t="s">
        <v>135</v>
      </c>
      <c r="C5" s="72"/>
      <c r="D5" s="72"/>
      <c r="E5" s="72"/>
      <c r="F5" s="72"/>
      <c r="G5" s="73"/>
      <c r="H5" s="72"/>
      <c r="I5" s="72"/>
      <c r="J5" s="72"/>
      <c r="K5" s="73"/>
      <c r="L5" s="73"/>
      <c r="M5" s="73"/>
      <c r="N5" s="73"/>
      <c r="O5" s="73"/>
      <c r="P5" s="73"/>
      <c r="Q5" s="73"/>
      <c r="R5" s="73"/>
    </row>
    <row r="6" spans="1:18" s="100" customFormat="1">
      <c r="A6" s="72" t="s">
        <v>727</v>
      </c>
      <c r="B6" s="72" t="s">
        <v>987</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1" customFormat="1">
      <c r="A8" s="103"/>
      <c r="B8" s="103"/>
      <c r="C8" s="103" t="s">
        <v>104</v>
      </c>
      <c r="D8" s="103" t="s">
        <v>654</v>
      </c>
      <c r="E8" s="103" t="s">
        <v>93</v>
      </c>
      <c r="F8" s="103" t="s">
        <v>655</v>
      </c>
      <c r="G8" s="103" t="s">
        <v>691</v>
      </c>
      <c r="H8" s="72"/>
      <c r="I8" s="72"/>
      <c r="J8" s="72"/>
      <c r="K8" s="72"/>
      <c r="L8" s="72"/>
      <c r="M8" s="72"/>
      <c r="N8" s="72"/>
      <c r="O8" s="72"/>
      <c r="P8" s="72"/>
      <c r="Q8" s="72"/>
      <c r="R8" s="72"/>
    </row>
    <row r="9" spans="1:18" s="97" customFormat="1">
      <c r="A9" s="93" t="s">
        <v>55</v>
      </c>
      <c r="B9" s="93"/>
      <c r="C9" s="94"/>
      <c r="D9" s="94"/>
      <c r="E9" s="94"/>
      <c r="F9" s="94"/>
      <c r="G9" s="95"/>
      <c r="H9" s="72"/>
      <c r="I9" s="72"/>
      <c r="J9" s="72"/>
      <c r="K9" s="96"/>
      <c r="L9" s="96"/>
      <c r="M9" s="96"/>
      <c r="N9" s="96"/>
      <c r="O9" s="96"/>
      <c r="P9" s="96"/>
      <c r="Q9" s="96"/>
      <c r="R9" s="96"/>
    </row>
    <row r="10" spans="1:18" s="97" customFormat="1" ht="41.4">
      <c r="A10" s="23" t="s">
        <v>136</v>
      </c>
      <c r="B10" s="23" t="s">
        <v>988</v>
      </c>
      <c r="C10" s="23"/>
      <c r="D10" s="23"/>
      <c r="E10" s="98" t="s">
        <v>137</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27.6">
      <c r="A12" s="23" t="s">
        <v>139</v>
      </c>
      <c r="B12" s="23" t="s">
        <v>989</v>
      </c>
      <c r="C12" s="23"/>
      <c r="D12" s="23"/>
      <c r="E12" s="98" t="s">
        <v>140</v>
      </c>
      <c r="F12" s="98"/>
      <c r="G12" s="99"/>
      <c r="H12" s="72"/>
      <c r="I12" s="72"/>
      <c r="J12" s="72"/>
      <c r="K12" s="96"/>
      <c r="L12" s="96"/>
      <c r="M12" s="96"/>
      <c r="N12" s="96"/>
      <c r="O12" s="96"/>
      <c r="P12" s="96"/>
      <c r="Q12" s="96"/>
      <c r="R12" s="96"/>
    </row>
    <row r="13" spans="1:18" s="101" customFormat="1" ht="27.6">
      <c r="A13" s="23" t="s">
        <v>141</v>
      </c>
      <c r="B13" s="23" t="s">
        <v>990</v>
      </c>
      <c r="C13" s="23"/>
      <c r="D13" s="23"/>
      <c r="E13" s="98" t="s">
        <v>142</v>
      </c>
      <c r="F13" s="98"/>
      <c r="G13" s="99"/>
      <c r="H13" s="72"/>
      <c r="I13" s="72"/>
      <c r="J13" s="72"/>
      <c r="K13" s="96"/>
      <c r="L13" s="96"/>
      <c r="M13" s="96"/>
      <c r="N13" s="96"/>
      <c r="O13" s="96"/>
      <c r="P13" s="96"/>
      <c r="Q13" s="96"/>
      <c r="R13" s="96"/>
    </row>
    <row r="14" spans="1:18" s="97" customFormat="1" ht="41.4">
      <c r="A14" s="23" t="s">
        <v>143</v>
      </c>
      <c r="B14" s="23" t="s">
        <v>991</v>
      </c>
      <c r="C14" s="23"/>
      <c r="D14" s="23"/>
      <c r="E14" s="98" t="s">
        <v>144</v>
      </c>
      <c r="F14" s="98"/>
      <c r="G14" s="99"/>
      <c r="H14" s="72"/>
      <c r="I14" s="72"/>
      <c r="J14" s="72"/>
      <c r="K14" s="96"/>
      <c r="L14" s="96"/>
      <c r="M14" s="96"/>
      <c r="N14" s="96"/>
      <c r="O14" s="96"/>
      <c r="P14" s="96"/>
      <c r="Q14" s="96"/>
      <c r="R14" s="96"/>
    </row>
    <row r="15" spans="1:18" s="100" customFormat="1" ht="69">
      <c r="A15" s="23" t="s">
        <v>145</v>
      </c>
      <c r="B15" s="23" t="s">
        <v>992</v>
      </c>
      <c r="C15" s="23"/>
      <c r="D15" s="23"/>
      <c r="E15" s="98" t="s">
        <v>993</v>
      </c>
      <c r="F15" s="98"/>
      <c r="G15" s="99"/>
      <c r="H15" s="72"/>
      <c r="I15" s="72"/>
      <c r="J15" s="72"/>
      <c r="K15" s="96"/>
      <c r="L15" s="96"/>
      <c r="M15" s="96"/>
      <c r="N15" s="96"/>
      <c r="O15" s="96"/>
      <c r="P15" s="96"/>
      <c r="Q15" s="96"/>
      <c r="R15" s="96"/>
    </row>
    <row r="16" spans="1:18" s="100" customFormat="1" ht="69">
      <c r="A16" s="23" t="s">
        <v>146</v>
      </c>
      <c r="B16" s="23" t="s">
        <v>994</v>
      </c>
      <c r="C16" s="23"/>
      <c r="D16" s="23"/>
      <c r="E16" s="98" t="s">
        <v>147</v>
      </c>
      <c r="F16" s="98"/>
      <c r="G16" s="99"/>
      <c r="H16" s="72"/>
      <c r="I16" s="72"/>
      <c r="J16" s="72"/>
      <c r="K16" s="96"/>
      <c r="L16" s="96"/>
      <c r="M16" s="96"/>
      <c r="N16" s="96"/>
      <c r="O16" s="96"/>
      <c r="P16" s="96"/>
      <c r="Q16" s="96"/>
      <c r="R16" s="96"/>
    </row>
    <row r="17" spans="1:18" s="101" customFormat="1" ht="27.6">
      <c r="A17" s="23" t="s">
        <v>148</v>
      </c>
      <c r="B17" s="23" t="s">
        <v>995</v>
      </c>
      <c r="C17" s="23"/>
      <c r="D17" s="23"/>
      <c r="E17" s="98" t="s">
        <v>149</v>
      </c>
      <c r="F17" s="98"/>
      <c r="G17" s="99"/>
      <c r="H17" s="72"/>
      <c r="I17" s="72"/>
      <c r="J17" s="72"/>
      <c r="K17" s="96"/>
      <c r="L17" s="96"/>
      <c r="M17" s="96"/>
      <c r="N17" s="96"/>
      <c r="O17" s="96"/>
      <c r="P17" s="96"/>
      <c r="Q17" s="96"/>
      <c r="R17" s="96"/>
    </row>
    <row r="18" spans="1:18" s="97" customFormat="1">
      <c r="A18" s="93" t="s">
        <v>64</v>
      </c>
      <c r="B18" s="93"/>
      <c r="C18" s="94"/>
      <c r="D18" s="94"/>
      <c r="E18" s="94" t="s">
        <v>839</v>
      </c>
      <c r="F18" s="94"/>
      <c r="G18" s="95"/>
      <c r="H18" s="72"/>
      <c r="I18" s="72"/>
      <c r="J18" s="72"/>
      <c r="K18" s="96"/>
      <c r="L18" s="96"/>
      <c r="M18" s="96"/>
      <c r="N18" s="96"/>
      <c r="O18" s="96"/>
      <c r="P18" s="96"/>
      <c r="Q18" s="96"/>
      <c r="R18" s="96"/>
    </row>
    <row r="19" spans="1:18" s="100" customFormat="1" ht="54" customHeight="1">
      <c r="A19" s="23" t="s">
        <v>150</v>
      </c>
      <c r="B19" s="23" t="s">
        <v>996</v>
      </c>
      <c r="C19" s="23"/>
      <c r="D19" s="23"/>
      <c r="E19" s="98" t="s">
        <v>151</v>
      </c>
      <c r="F19" s="98"/>
      <c r="G19" s="99"/>
      <c r="H19" s="72"/>
      <c r="I19" s="72"/>
      <c r="J19" s="72"/>
      <c r="K19" s="96"/>
      <c r="L19" s="96"/>
      <c r="M19" s="96"/>
      <c r="N19" s="96"/>
      <c r="O19" s="96"/>
      <c r="P19" s="96"/>
      <c r="Q19" s="96"/>
      <c r="R19" s="96"/>
    </row>
    <row r="20" spans="1:18" s="100" customFormat="1" ht="69">
      <c r="A20" s="23" t="s">
        <v>152</v>
      </c>
      <c r="B20" s="23" t="s">
        <v>153</v>
      </c>
      <c r="C20" s="23"/>
      <c r="D20" s="23"/>
      <c r="E20" s="98" t="s">
        <v>154</v>
      </c>
      <c r="F20" s="98"/>
      <c r="G20" s="99"/>
      <c r="H20" s="72"/>
      <c r="I20" s="72"/>
      <c r="J20" s="72"/>
      <c r="K20" s="96"/>
      <c r="L20" s="96"/>
      <c r="M20" s="96"/>
      <c r="N20" s="96"/>
      <c r="O20" s="96"/>
      <c r="P20" s="96"/>
      <c r="Q20" s="96"/>
      <c r="R20" s="96"/>
    </row>
    <row r="21" spans="1:18" s="101" customFormat="1" ht="41.4">
      <c r="A21" s="23" t="s">
        <v>155</v>
      </c>
      <c r="B21" s="23" t="s">
        <v>997</v>
      </c>
      <c r="C21" s="23"/>
      <c r="D21" s="23"/>
      <c r="E21" s="98" t="s">
        <v>156</v>
      </c>
      <c r="F21" s="98"/>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4CD115-2125-44AC-A2FF-900887219E03}">
  <sheetPr codeName="Sheet26">
    <tabColor rgb="FFF05A22"/>
  </sheetPr>
  <dimension ref="A1:R68"/>
  <sheetViews>
    <sheetView topLeftCell="A13" workbookViewId="0">
      <selection activeCell="I11" sqref="I11:J14"/>
    </sheetView>
    <sheetView workbookViewId="1">
      <selection activeCell="A10" sqref="A10:E21"/>
    </sheetView>
  </sheetViews>
  <sheetFormatPr defaultColWidth="8.77734375" defaultRowHeight="13.8"/>
  <cols>
    <col min="1" max="1" width="10.21875" style="78" customWidth="1"/>
    <col min="2" max="2" width="62.44140625" style="78" customWidth="1"/>
    <col min="3" max="4" width="21.44140625" style="78" customWidth="1"/>
    <col min="5" max="6" width="28.77734375" style="78" customWidth="1"/>
    <col min="7" max="7" width="21.44140625" style="73" customWidth="1"/>
    <col min="8" max="10" width="8.77734375" style="72"/>
    <col min="11" max="18" width="8.77734375" style="73"/>
    <col min="19" max="16384" width="8.77734375" style="78"/>
  </cols>
  <sheetData>
    <row r="1" spans="1:18" s="100" customFormat="1" ht="25.8">
      <c r="A1" s="71" t="s">
        <v>157</v>
      </c>
      <c r="B1" s="72"/>
      <c r="C1" s="56"/>
      <c r="D1" s="72"/>
      <c r="E1" s="72"/>
      <c r="F1" s="72"/>
      <c r="G1" s="73"/>
      <c r="H1" s="72"/>
      <c r="I1" s="72"/>
      <c r="J1" s="72"/>
      <c r="K1" s="73"/>
      <c r="L1" s="73"/>
      <c r="M1" s="73"/>
      <c r="N1" s="73"/>
      <c r="O1" s="73"/>
      <c r="P1" s="73"/>
      <c r="Q1" s="73"/>
      <c r="R1" s="73"/>
    </row>
    <row r="2" spans="1:18" s="101" customFormat="1" ht="25.8">
      <c r="A2" s="71" t="s">
        <v>998</v>
      </c>
      <c r="B2" s="72"/>
      <c r="C2" s="56"/>
      <c r="D2" s="72"/>
      <c r="E2" s="72"/>
      <c r="F2" s="72"/>
      <c r="G2" s="73"/>
      <c r="H2" s="72"/>
      <c r="I2" s="72"/>
      <c r="J2" s="72"/>
      <c r="K2" s="73"/>
      <c r="L2" s="73"/>
      <c r="M2" s="73"/>
      <c r="N2" s="73"/>
      <c r="O2" s="73"/>
      <c r="P2" s="73"/>
      <c r="Q2" s="73"/>
      <c r="R2" s="73"/>
    </row>
    <row r="3" spans="1:18" s="97" customFormat="1">
      <c r="A3" s="74" t="s">
        <v>117</v>
      </c>
      <c r="B3" s="72" t="s">
        <v>158</v>
      </c>
      <c r="C3" s="72"/>
      <c r="D3" s="72"/>
      <c r="E3" s="72"/>
      <c r="F3" s="72"/>
      <c r="G3" s="73"/>
      <c r="H3" s="72"/>
      <c r="I3" s="72"/>
      <c r="J3" s="72"/>
      <c r="K3" s="73"/>
      <c r="L3" s="73"/>
      <c r="M3" s="73"/>
      <c r="N3" s="73"/>
      <c r="O3" s="73"/>
      <c r="P3" s="73"/>
      <c r="Q3" s="73"/>
      <c r="R3" s="73"/>
    </row>
    <row r="4" spans="1:18" s="100" customFormat="1">
      <c r="A4" s="74" t="s">
        <v>725</v>
      </c>
      <c r="B4" s="72" t="s">
        <v>999</v>
      </c>
      <c r="C4" s="72"/>
      <c r="D4" s="72"/>
      <c r="E4" s="72"/>
      <c r="F4" s="72"/>
      <c r="G4" s="73"/>
      <c r="H4" s="72"/>
      <c r="I4" s="72"/>
      <c r="J4" s="72"/>
      <c r="K4" s="73"/>
      <c r="L4" s="73"/>
      <c r="M4" s="73"/>
      <c r="N4" s="73"/>
      <c r="O4" s="73"/>
      <c r="P4" s="73"/>
      <c r="Q4" s="73"/>
      <c r="R4" s="73"/>
    </row>
    <row r="5" spans="1:18" s="101" customFormat="1">
      <c r="A5" s="72" t="s">
        <v>118</v>
      </c>
      <c r="B5" s="72" t="s">
        <v>1000</v>
      </c>
      <c r="C5" s="72"/>
      <c r="D5" s="72"/>
      <c r="E5" s="72"/>
      <c r="F5" s="72"/>
      <c r="G5" s="73"/>
      <c r="H5" s="72"/>
      <c r="I5" s="72"/>
      <c r="J5" s="72"/>
      <c r="K5" s="73"/>
      <c r="L5" s="73"/>
      <c r="M5" s="73"/>
      <c r="N5" s="73"/>
      <c r="O5" s="73"/>
      <c r="P5" s="73"/>
      <c r="Q5" s="73"/>
      <c r="R5" s="73"/>
    </row>
    <row r="6" spans="1:18" s="97" customFormat="1">
      <c r="A6" s="72" t="s">
        <v>727</v>
      </c>
      <c r="B6" s="72" t="s">
        <v>1001</v>
      </c>
      <c r="C6" s="72"/>
      <c r="D6" s="72"/>
      <c r="E6" s="72"/>
      <c r="F6" s="72"/>
      <c r="G6" s="73"/>
      <c r="H6" s="72"/>
      <c r="I6" s="72"/>
      <c r="J6" s="72"/>
      <c r="K6" s="73"/>
      <c r="L6" s="73"/>
      <c r="M6" s="73"/>
      <c r="N6" s="73"/>
      <c r="O6" s="73"/>
      <c r="P6" s="73"/>
      <c r="Q6" s="73"/>
      <c r="R6" s="73"/>
    </row>
    <row r="7" spans="1:18" s="100" customFormat="1">
      <c r="A7" s="78"/>
      <c r="B7" s="78"/>
      <c r="C7" s="78"/>
      <c r="D7" s="78"/>
      <c r="E7" s="72"/>
      <c r="F7" s="72"/>
      <c r="G7" s="112" t="e">
        <f>#REF!</f>
        <v>#REF!</v>
      </c>
      <c r="H7" s="72"/>
      <c r="I7" s="72"/>
      <c r="J7" s="72"/>
      <c r="K7" s="73"/>
      <c r="L7" s="73"/>
      <c r="M7" s="73"/>
      <c r="N7" s="73"/>
      <c r="O7" s="73"/>
      <c r="P7" s="73"/>
      <c r="Q7" s="73"/>
      <c r="R7" s="73"/>
    </row>
    <row r="8" spans="1:18" s="100" customFormat="1">
      <c r="A8" s="103"/>
      <c r="B8" s="103"/>
      <c r="C8" s="103" t="s">
        <v>104</v>
      </c>
      <c r="D8" s="103" t="s">
        <v>654</v>
      </c>
      <c r="E8" s="103" t="s">
        <v>93</v>
      </c>
      <c r="F8" s="103" t="s">
        <v>655</v>
      </c>
      <c r="G8" s="103" t="s">
        <v>691</v>
      </c>
      <c r="H8" s="72"/>
      <c r="I8" s="72"/>
      <c r="J8" s="72"/>
      <c r="K8" s="72"/>
      <c r="L8" s="72"/>
      <c r="M8" s="72"/>
      <c r="N8" s="72"/>
      <c r="O8" s="72"/>
      <c r="P8" s="72"/>
      <c r="Q8" s="72"/>
      <c r="R8" s="72"/>
    </row>
    <row r="9" spans="1:18" s="101" customFormat="1">
      <c r="A9" s="93" t="s">
        <v>55</v>
      </c>
      <c r="B9" s="93"/>
      <c r="C9" s="94"/>
      <c r="D9" s="94"/>
      <c r="E9" s="94"/>
      <c r="F9" s="94"/>
      <c r="G9" s="95"/>
      <c r="H9" s="72"/>
      <c r="I9" s="72"/>
      <c r="J9" s="72"/>
      <c r="K9" s="96"/>
      <c r="L9" s="96"/>
      <c r="M9" s="96"/>
      <c r="N9" s="96"/>
      <c r="O9" s="96"/>
      <c r="P9" s="96"/>
      <c r="Q9" s="96"/>
      <c r="R9" s="96"/>
    </row>
    <row r="10" spans="1:18" s="97" customFormat="1" ht="55.2">
      <c r="A10" s="23" t="s">
        <v>159</v>
      </c>
      <c r="B10" s="23" t="s">
        <v>1002</v>
      </c>
      <c r="C10" s="23"/>
      <c r="D10" s="23"/>
      <c r="E10" s="98" t="s">
        <v>160</v>
      </c>
      <c r="F10" s="98"/>
      <c r="G10" s="99"/>
      <c r="H10" s="72"/>
      <c r="I10" s="72"/>
      <c r="J10" s="72"/>
      <c r="K10" s="96"/>
      <c r="L10" s="96"/>
      <c r="M10" s="96"/>
      <c r="N10" s="96"/>
      <c r="O10" s="96"/>
      <c r="P10" s="96"/>
      <c r="Q10" s="96"/>
      <c r="R10" s="96"/>
    </row>
    <row r="11" spans="1:18" s="100" customFormat="1">
      <c r="A11" s="93" t="s">
        <v>62</v>
      </c>
      <c r="B11" s="93"/>
      <c r="C11" s="94"/>
      <c r="D11" s="94"/>
      <c r="E11" s="94"/>
      <c r="F11" s="94"/>
      <c r="G11" s="95"/>
      <c r="H11" s="72"/>
      <c r="I11" s="72"/>
      <c r="J11" s="72"/>
      <c r="K11" s="96"/>
      <c r="L11" s="96"/>
      <c r="M11" s="96"/>
      <c r="N11" s="96"/>
      <c r="O11" s="96"/>
      <c r="P11" s="96"/>
      <c r="Q11" s="96"/>
      <c r="R11" s="96"/>
    </row>
    <row r="12" spans="1:18" s="100" customFormat="1" ht="69">
      <c r="A12" s="23" t="s">
        <v>161</v>
      </c>
      <c r="B12" s="23" t="s">
        <v>1003</v>
      </c>
      <c r="C12" s="23"/>
      <c r="D12" s="23"/>
      <c r="E12" s="98" t="s">
        <v>162</v>
      </c>
      <c r="F12" s="98"/>
      <c r="G12" s="99"/>
      <c r="H12" s="72"/>
      <c r="I12" s="72"/>
      <c r="J12" s="72"/>
      <c r="K12" s="96"/>
      <c r="L12" s="96"/>
      <c r="M12" s="96"/>
      <c r="N12" s="96"/>
      <c r="O12" s="96"/>
      <c r="P12" s="96"/>
      <c r="Q12" s="96"/>
      <c r="R12" s="96"/>
    </row>
    <row r="13" spans="1:18" s="101" customFormat="1" ht="69">
      <c r="A13" s="23" t="s">
        <v>163</v>
      </c>
      <c r="B13" s="23" t="s">
        <v>1004</v>
      </c>
      <c r="C13" s="23"/>
      <c r="D13" s="23"/>
      <c r="E13" s="98" t="s">
        <v>164</v>
      </c>
      <c r="F13" s="98"/>
      <c r="G13" s="99"/>
      <c r="H13" s="72"/>
      <c r="I13" s="72"/>
      <c r="J13" s="72"/>
      <c r="K13" s="96"/>
      <c r="L13" s="96"/>
      <c r="M13" s="96"/>
      <c r="N13" s="96"/>
      <c r="O13" s="96"/>
      <c r="P13" s="96"/>
      <c r="Q13" s="96"/>
      <c r="R13" s="96"/>
    </row>
    <row r="14" spans="1:18" s="97" customFormat="1" ht="69">
      <c r="A14" s="23" t="s">
        <v>165</v>
      </c>
      <c r="B14" s="23" t="s">
        <v>1005</v>
      </c>
      <c r="C14" s="23"/>
      <c r="D14" s="23"/>
      <c r="E14" s="98" t="s">
        <v>166</v>
      </c>
      <c r="F14" s="98"/>
      <c r="G14" s="99"/>
      <c r="H14" s="72"/>
      <c r="I14" s="72"/>
      <c r="J14" s="72"/>
      <c r="K14" s="96"/>
      <c r="L14" s="96"/>
      <c r="M14" s="96"/>
      <c r="N14" s="96"/>
      <c r="O14" s="96"/>
      <c r="P14" s="96"/>
      <c r="Q14" s="96"/>
      <c r="R14" s="96"/>
    </row>
    <row r="15" spans="1:18" s="100" customFormat="1">
      <c r="A15" s="93" t="s">
        <v>64</v>
      </c>
      <c r="B15" s="93"/>
      <c r="C15" s="94"/>
      <c r="D15" s="94"/>
      <c r="E15" s="94" t="s">
        <v>839</v>
      </c>
      <c r="F15" s="94"/>
      <c r="G15" s="95"/>
      <c r="H15" s="72"/>
      <c r="I15" s="72"/>
      <c r="J15" s="72"/>
      <c r="K15" s="96"/>
      <c r="L15" s="96"/>
      <c r="M15" s="96"/>
      <c r="N15" s="96"/>
      <c r="O15" s="96"/>
      <c r="P15" s="96"/>
      <c r="Q15" s="96"/>
      <c r="R15" s="96"/>
    </row>
    <row r="16" spans="1:18" s="100" customFormat="1" ht="41.4">
      <c r="A16" s="23" t="s">
        <v>167</v>
      </c>
      <c r="B16" s="23" t="s">
        <v>1006</v>
      </c>
      <c r="C16" s="23"/>
      <c r="D16" s="23"/>
      <c r="E16" s="98" t="s">
        <v>168</v>
      </c>
      <c r="F16" s="98"/>
      <c r="G16" s="99"/>
      <c r="H16" s="72"/>
      <c r="I16" s="72"/>
      <c r="J16" s="72"/>
      <c r="K16" s="96"/>
      <c r="L16" s="96"/>
      <c r="M16" s="96"/>
      <c r="N16" s="96"/>
      <c r="O16" s="96"/>
      <c r="P16" s="96"/>
      <c r="Q16" s="96"/>
      <c r="R16" s="96"/>
    </row>
    <row r="17" spans="1:18" s="101" customFormat="1" ht="69">
      <c r="A17" s="23" t="s">
        <v>169</v>
      </c>
      <c r="B17" s="23" t="s">
        <v>1007</v>
      </c>
      <c r="C17" s="23"/>
      <c r="D17" s="23"/>
      <c r="E17" s="98" t="s">
        <v>170</v>
      </c>
      <c r="F17" s="98"/>
      <c r="G17" s="99"/>
      <c r="H17" s="72"/>
      <c r="I17" s="113"/>
      <c r="J17" s="72"/>
      <c r="K17" s="96"/>
      <c r="L17" s="96"/>
      <c r="M17" s="96"/>
      <c r="N17" s="96"/>
      <c r="O17" s="96"/>
      <c r="P17" s="96"/>
      <c r="Q17" s="96"/>
      <c r="R17" s="96"/>
    </row>
    <row r="18" spans="1:18" s="97" customFormat="1" ht="55.2">
      <c r="A18" s="23" t="s">
        <v>171</v>
      </c>
      <c r="B18" s="23" t="s">
        <v>1008</v>
      </c>
      <c r="C18" s="23"/>
      <c r="D18" s="23"/>
      <c r="E18" s="98" t="s">
        <v>172</v>
      </c>
      <c r="F18" s="98"/>
      <c r="G18" s="99"/>
      <c r="H18" s="72"/>
      <c r="I18" s="72"/>
      <c r="J18" s="72"/>
      <c r="K18" s="96"/>
      <c r="L18" s="96"/>
      <c r="M18" s="96"/>
      <c r="N18" s="96"/>
      <c r="O18" s="96"/>
      <c r="P18" s="96"/>
      <c r="Q18" s="96"/>
      <c r="R18" s="96"/>
    </row>
    <row r="19" spans="1:18" s="100" customFormat="1" ht="55.2">
      <c r="A19" s="23" t="s">
        <v>173</v>
      </c>
      <c r="B19" s="23" t="s">
        <v>1009</v>
      </c>
      <c r="C19" s="23"/>
      <c r="D19" s="23"/>
      <c r="E19" s="98" t="s">
        <v>174</v>
      </c>
      <c r="F19" s="98"/>
      <c r="G19" s="99"/>
      <c r="H19" s="72"/>
      <c r="I19" s="72"/>
      <c r="J19" s="72"/>
      <c r="K19" s="96"/>
      <c r="L19" s="96"/>
      <c r="M19" s="96"/>
      <c r="N19" s="96"/>
      <c r="O19" s="96"/>
      <c r="P19" s="96"/>
      <c r="Q19" s="96"/>
      <c r="R19" s="96"/>
    </row>
    <row r="20" spans="1:18" s="100" customFormat="1" ht="69">
      <c r="A20" s="23" t="s">
        <v>175</v>
      </c>
      <c r="B20" s="23" t="s">
        <v>1010</v>
      </c>
      <c r="C20" s="23"/>
      <c r="D20" s="23"/>
      <c r="E20" s="98" t="s">
        <v>176</v>
      </c>
      <c r="F20" s="98"/>
      <c r="G20" s="99"/>
      <c r="H20" s="72"/>
      <c r="I20" s="72"/>
      <c r="J20" s="72"/>
      <c r="K20" s="96"/>
      <c r="L20" s="96"/>
      <c r="M20" s="96"/>
      <c r="N20" s="96"/>
      <c r="O20" s="96"/>
      <c r="P20" s="96"/>
      <c r="Q20" s="96"/>
      <c r="R20" s="96"/>
    </row>
    <row r="21" spans="1:18" s="101" customFormat="1" ht="69">
      <c r="A21" s="23" t="s">
        <v>177</v>
      </c>
      <c r="B21" s="23" t="s">
        <v>1011</v>
      </c>
      <c r="C21" s="23"/>
      <c r="D21" s="23"/>
      <c r="E21" s="23" t="s">
        <v>1012</v>
      </c>
      <c r="F21" s="23"/>
      <c r="G21" s="99"/>
      <c r="H21" s="72"/>
      <c r="I21" s="72"/>
      <c r="J21" s="72"/>
      <c r="K21" s="96"/>
      <c r="L21" s="96"/>
      <c r="M21" s="96"/>
      <c r="N21" s="96"/>
      <c r="O21" s="96"/>
      <c r="P21" s="96"/>
      <c r="Q21" s="96"/>
      <c r="R21" s="96"/>
    </row>
    <row r="22" spans="1:18" s="90" customFormat="1">
      <c r="G22" s="73"/>
      <c r="H22" s="72"/>
      <c r="I22" s="72"/>
      <c r="J22" s="72"/>
      <c r="K22" s="73"/>
      <c r="L22" s="73"/>
      <c r="M22" s="73"/>
      <c r="N22" s="73"/>
      <c r="O22" s="73"/>
      <c r="P22" s="73"/>
      <c r="Q22" s="73"/>
      <c r="R22" s="73"/>
    </row>
    <row r="23" spans="1:18" s="90" customFormat="1">
      <c r="G23" s="73"/>
      <c r="H23" s="72"/>
      <c r="I23" s="72"/>
      <c r="J23" s="72"/>
      <c r="K23" s="73"/>
      <c r="L23" s="73"/>
      <c r="M23" s="73"/>
      <c r="N23" s="73"/>
      <c r="O23" s="73"/>
      <c r="P23" s="73"/>
      <c r="Q23" s="73"/>
      <c r="R23" s="73"/>
    </row>
    <row r="24" spans="1:18" s="90" customFormat="1">
      <c r="G24" s="73"/>
      <c r="H24" s="72"/>
      <c r="I24" s="72"/>
      <c r="J24" s="72"/>
      <c r="K24" s="73"/>
      <c r="L24" s="73"/>
      <c r="M24" s="73"/>
      <c r="N24" s="73"/>
      <c r="O24" s="73"/>
      <c r="P24" s="73"/>
      <c r="Q24" s="73"/>
      <c r="R24" s="73"/>
    </row>
    <row r="25" spans="1:18" s="90" customFormat="1">
      <c r="G25" s="73"/>
      <c r="H25" s="72"/>
      <c r="I25" s="72"/>
      <c r="J25" s="72"/>
      <c r="K25" s="73"/>
      <c r="L25" s="73"/>
      <c r="M25" s="73"/>
      <c r="N25" s="73"/>
      <c r="O25" s="73"/>
      <c r="P25" s="73"/>
      <c r="Q25" s="73"/>
      <c r="R25" s="73"/>
    </row>
    <row r="26" spans="1:18" s="90" customFormat="1">
      <c r="G26" s="73"/>
      <c r="H26" s="72"/>
      <c r="I26" s="72"/>
      <c r="J26" s="72"/>
      <c r="K26" s="73"/>
      <c r="L26" s="73"/>
      <c r="M26" s="73"/>
      <c r="N26" s="73"/>
      <c r="O26" s="73"/>
      <c r="P26" s="73"/>
      <c r="Q26" s="73"/>
      <c r="R26" s="73"/>
    </row>
    <row r="27" spans="1:18" s="90" customFormat="1">
      <c r="G27" s="73"/>
      <c r="H27" s="72"/>
      <c r="I27" s="72"/>
      <c r="J27" s="72"/>
      <c r="K27" s="73"/>
      <c r="L27" s="73"/>
      <c r="M27" s="73"/>
      <c r="N27" s="73"/>
      <c r="O27" s="73"/>
      <c r="P27" s="73"/>
      <c r="Q27" s="73"/>
      <c r="R27" s="73"/>
    </row>
    <row r="28" spans="1:18" s="90" customFormat="1">
      <c r="G28" s="73"/>
      <c r="H28" s="72"/>
      <c r="I28" s="72"/>
      <c r="J28" s="72"/>
      <c r="K28" s="73"/>
      <c r="L28" s="73"/>
      <c r="M28" s="73"/>
      <c r="N28" s="73"/>
      <c r="O28" s="73"/>
      <c r="P28" s="73"/>
      <c r="Q28" s="73"/>
      <c r="R28" s="73"/>
    </row>
    <row r="29" spans="1:18" s="90" customFormat="1">
      <c r="G29" s="73"/>
      <c r="H29" s="72"/>
      <c r="I29" s="72"/>
      <c r="J29" s="72"/>
      <c r="K29" s="73"/>
      <c r="L29" s="73"/>
      <c r="M29" s="73"/>
      <c r="N29" s="73"/>
      <c r="O29" s="73"/>
      <c r="P29" s="73"/>
      <c r="Q29" s="73"/>
      <c r="R29" s="73"/>
    </row>
    <row r="30" spans="1:18" s="90" customFormat="1">
      <c r="G30" s="73"/>
      <c r="H30" s="72"/>
      <c r="I30" s="72"/>
      <c r="J30" s="72"/>
      <c r="K30" s="73"/>
      <c r="L30" s="73"/>
      <c r="M30" s="73"/>
      <c r="N30" s="73"/>
      <c r="O30" s="73"/>
      <c r="P30" s="73"/>
      <c r="Q30" s="73"/>
      <c r="R30" s="73"/>
    </row>
    <row r="31" spans="1:18" s="90" customFormat="1">
      <c r="G31" s="73"/>
      <c r="H31" s="72"/>
      <c r="I31" s="72"/>
      <c r="J31" s="72"/>
      <c r="K31" s="73"/>
      <c r="L31" s="73"/>
      <c r="M31" s="73"/>
      <c r="N31" s="73"/>
      <c r="O31" s="73"/>
      <c r="P31" s="73"/>
      <c r="Q31" s="73"/>
      <c r="R31" s="73"/>
    </row>
    <row r="32" spans="1:18" s="90" customFormat="1">
      <c r="G32" s="73"/>
      <c r="H32" s="72"/>
      <c r="I32" s="72"/>
      <c r="J32" s="72"/>
      <c r="K32" s="73"/>
      <c r="L32" s="73"/>
      <c r="M32" s="73"/>
      <c r="N32" s="73"/>
      <c r="O32" s="73"/>
      <c r="P32" s="73"/>
      <c r="Q32" s="73"/>
      <c r="R32" s="73"/>
    </row>
    <row r="33" spans="7:18" s="90" customFormat="1">
      <c r="G33" s="73"/>
      <c r="H33" s="72"/>
      <c r="I33" s="72"/>
      <c r="J33" s="72"/>
      <c r="K33" s="73"/>
      <c r="L33" s="73"/>
      <c r="M33" s="73"/>
      <c r="N33" s="73"/>
      <c r="O33" s="73"/>
      <c r="P33" s="73"/>
      <c r="Q33" s="73"/>
      <c r="R33" s="73"/>
    </row>
    <row r="34" spans="7:18" s="90" customFormat="1">
      <c r="G34" s="73"/>
      <c r="H34" s="72"/>
      <c r="I34" s="72"/>
      <c r="J34" s="72"/>
      <c r="K34" s="73"/>
      <c r="L34" s="73"/>
      <c r="M34" s="73"/>
      <c r="N34" s="73"/>
      <c r="O34" s="73"/>
      <c r="P34" s="73"/>
      <c r="Q34" s="73"/>
      <c r="R34" s="73"/>
    </row>
    <row r="35" spans="7:18" s="90" customFormat="1">
      <c r="G35" s="73"/>
      <c r="H35" s="72"/>
      <c r="I35" s="72"/>
      <c r="J35" s="72"/>
      <c r="K35" s="73"/>
      <c r="L35" s="73"/>
      <c r="M35" s="73"/>
      <c r="N35" s="73"/>
      <c r="O35" s="73"/>
      <c r="P35" s="73"/>
      <c r="Q35" s="73"/>
      <c r="R35" s="73"/>
    </row>
    <row r="36" spans="7:18" s="90" customFormat="1">
      <c r="G36" s="73"/>
      <c r="H36" s="72"/>
      <c r="I36" s="72"/>
      <c r="J36" s="72"/>
      <c r="K36" s="73"/>
      <c r="L36" s="73"/>
      <c r="M36" s="73"/>
      <c r="N36" s="73"/>
      <c r="O36" s="73"/>
      <c r="P36" s="73"/>
      <c r="Q36" s="73"/>
      <c r="R36" s="73"/>
    </row>
    <row r="37" spans="7:18" s="90" customFormat="1">
      <c r="G37" s="73"/>
      <c r="H37" s="72"/>
      <c r="I37" s="72"/>
      <c r="J37" s="72"/>
      <c r="K37" s="73"/>
      <c r="L37" s="73"/>
      <c r="M37" s="73"/>
      <c r="N37" s="73"/>
      <c r="O37" s="73"/>
      <c r="P37" s="73"/>
      <c r="Q37" s="73"/>
      <c r="R37" s="73"/>
    </row>
    <row r="38" spans="7:18" s="90" customFormat="1">
      <c r="G38" s="73"/>
      <c r="H38" s="72"/>
      <c r="I38" s="72"/>
      <c r="J38" s="72"/>
      <c r="K38" s="73"/>
      <c r="L38" s="73"/>
      <c r="M38" s="73"/>
      <c r="N38" s="73"/>
      <c r="O38" s="73"/>
      <c r="P38" s="73"/>
      <c r="Q38" s="73"/>
      <c r="R38" s="73"/>
    </row>
    <row r="39" spans="7:18" s="90" customFormat="1">
      <c r="G39" s="73"/>
      <c r="H39" s="72"/>
      <c r="I39" s="72"/>
      <c r="J39" s="72"/>
      <c r="K39" s="73"/>
      <c r="L39" s="73"/>
      <c r="M39" s="73"/>
      <c r="N39" s="73"/>
      <c r="O39" s="73"/>
      <c r="P39" s="73"/>
      <c r="Q39" s="73"/>
      <c r="R39" s="73"/>
    </row>
    <row r="40" spans="7:18" s="90" customFormat="1">
      <c r="G40" s="73"/>
      <c r="H40" s="72"/>
      <c r="I40" s="72"/>
      <c r="J40" s="72"/>
      <c r="K40" s="73"/>
      <c r="L40" s="73"/>
      <c r="M40" s="73"/>
      <c r="N40" s="73"/>
      <c r="O40" s="73"/>
      <c r="P40" s="73"/>
      <c r="Q40" s="73"/>
      <c r="R40" s="73"/>
    </row>
    <row r="41" spans="7:18" s="90" customFormat="1">
      <c r="G41" s="73"/>
      <c r="H41" s="72"/>
      <c r="I41" s="72"/>
      <c r="J41" s="72"/>
      <c r="K41" s="73"/>
      <c r="L41" s="73"/>
      <c r="M41" s="73"/>
      <c r="N41" s="73"/>
      <c r="O41" s="73"/>
      <c r="P41" s="73"/>
      <c r="Q41" s="73"/>
      <c r="R41" s="73"/>
    </row>
    <row r="42" spans="7:18" s="90" customFormat="1">
      <c r="G42" s="73"/>
      <c r="H42" s="72"/>
      <c r="I42" s="72"/>
      <c r="J42" s="72"/>
      <c r="K42" s="73"/>
      <c r="L42" s="73"/>
      <c r="M42" s="73"/>
      <c r="N42" s="73"/>
      <c r="O42" s="73"/>
      <c r="P42" s="73"/>
      <c r="Q42" s="73"/>
      <c r="R42" s="73"/>
    </row>
    <row r="43" spans="7:18" s="90" customFormat="1">
      <c r="G43" s="73"/>
      <c r="H43" s="72"/>
      <c r="I43" s="72"/>
      <c r="J43" s="72"/>
      <c r="K43" s="73"/>
      <c r="L43" s="73"/>
      <c r="M43" s="73"/>
      <c r="N43" s="73"/>
      <c r="O43" s="73"/>
      <c r="P43" s="73"/>
      <c r="Q43" s="73"/>
      <c r="R43" s="73"/>
    </row>
    <row r="44" spans="7:18" s="90" customFormat="1">
      <c r="G44" s="73"/>
      <c r="H44" s="72"/>
      <c r="I44" s="72"/>
      <c r="J44" s="72"/>
      <c r="K44" s="73"/>
      <c r="L44" s="73"/>
      <c r="M44" s="73"/>
      <c r="N44" s="73"/>
      <c r="O44" s="73"/>
      <c r="P44" s="73"/>
      <c r="Q44" s="73"/>
      <c r="R44" s="73"/>
    </row>
    <row r="45" spans="7:18" s="90" customFormat="1">
      <c r="G45" s="73"/>
      <c r="H45" s="72"/>
      <c r="I45" s="72"/>
      <c r="J45" s="72"/>
      <c r="K45" s="73"/>
      <c r="L45" s="73"/>
      <c r="M45" s="73"/>
      <c r="N45" s="73"/>
      <c r="O45" s="73"/>
      <c r="P45" s="73"/>
      <c r="Q45" s="73"/>
      <c r="R45" s="73"/>
    </row>
    <row r="46" spans="7:18" s="90" customFormat="1">
      <c r="G46" s="73"/>
      <c r="H46" s="72"/>
      <c r="I46" s="72"/>
      <c r="J46" s="72"/>
      <c r="K46" s="73"/>
      <c r="L46" s="73"/>
      <c r="M46" s="73"/>
      <c r="N46" s="73"/>
      <c r="O46" s="73"/>
      <c r="P46" s="73"/>
      <c r="Q46" s="73"/>
      <c r="R46" s="73"/>
    </row>
    <row r="47" spans="7:18" s="90" customFormat="1">
      <c r="G47" s="73"/>
      <c r="H47" s="72"/>
      <c r="I47" s="72"/>
      <c r="J47" s="72"/>
      <c r="K47" s="73"/>
      <c r="L47" s="73"/>
      <c r="M47" s="73"/>
      <c r="N47" s="73"/>
      <c r="O47" s="73"/>
      <c r="P47" s="73"/>
      <c r="Q47" s="73"/>
      <c r="R47" s="73"/>
    </row>
    <row r="48" spans="7:18" s="91" customFormat="1">
      <c r="G48" s="73"/>
      <c r="H48" s="72"/>
      <c r="I48" s="72"/>
      <c r="J48" s="72"/>
      <c r="K48" s="73"/>
      <c r="L48" s="73"/>
      <c r="M48" s="73"/>
      <c r="N48" s="73"/>
      <c r="O48" s="73"/>
      <c r="P48" s="73"/>
      <c r="Q48" s="73"/>
      <c r="R48" s="73"/>
    </row>
    <row r="49" spans="7:18" s="91" customFormat="1">
      <c r="G49" s="73"/>
      <c r="H49" s="72"/>
      <c r="I49" s="72"/>
      <c r="J49" s="72"/>
      <c r="K49" s="73"/>
      <c r="L49" s="73"/>
      <c r="M49" s="73"/>
      <c r="N49" s="73"/>
      <c r="O49" s="73"/>
      <c r="P49" s="73"/>
      <c r="Q49" s="73"/>
      <c r="R49" s="73"/>
    </row>
    <row r="50" spans="7:18" s="91" customFormat="1">
      <c r="G50" s="73"/>
      <c r="H50" s="72"/>
      <c r="I50" s="72"/>
      <c r="J50" s="72"/>
      <c r="K50" s="73"/>
      <c r="L50" s="73"/>
      <c r="M50" s="73"/>
      <c r="N50" s="73"/>
      <c r="O50" s="73"/>
      <c r="P50" s="73"/>
      <c r="Q50" s="73"/>
      <c r="R50" s="73"/>
    </row>
    <row r="51" spans="7:18" s="91" customFormat="1">
      <c r="G51" s="73"/>
      <c r="H51" s="72"/>
      <c r="I51" s="72"/>
      <c r="J51" s="72"/>
      <c r="K51" s="73"/>
      <c r="L51" s="73"/>
      <c r="M51" s="73"/>
      <c r="N51" s="73"/>
      <c r="O51" s="73"/>
      <c r="P51" s="73"/>
      <c r="Q51" s="73"/>
      <c r="R51" s="73"/>
    </row>
    <row r="52" spans="7:18" s="91" customFormat="1">
      <c r="G52" s="73"/>
      <c r="H52" s="72"/>
      <c r="I52" s="72"/>
      <c r="J52" s="72"/>
      <c r="K52" s="73"/>
      <c r="L52" s="73"/>
      <c r="M52" s="73"/>
      <c r="N52" s="73"/>
      <c r="O52" s="73"/>
      <c r="P52" s="73"/>
      <c r="Q52" s="73"/>
      <c r="R52" s="73"/>
    </row>
    <row r="53" spans="7:18" s="91" customFormat="1">
      <c r="G53" s="73"/>
      <c r="H53" s="72"/>
      <c r="I53" s="72"/>
      <c r="J53" s="72"/>
      <c r="K53" s="73"/>
      <c r="L53" s="73"/>
      <c r="M53" s="73"/>
      <c r="N53" s="73"/>
      <c r="O53" s="73"/>
      <c r="P53" s="73"/>
      <c r="Q53" s="73"/>
      <c r="R53" s="73"/>
    </row>
    <row r="54" spans="7:18" s="91" customFormat="1">
      <c r="G54" s="73"/>
      <c r="H54" s="72"/>
      <c r="I54" s="72"/>
      <c r="J54" s="72"/>
      <c r="K54" s="73"/>
      <c r="L54" s="73"/>
      <c r="M54" s="73"/>
      <c r="N54" s="73"/>
      <c r="O54" s="73"/>
      <c r="P54" s="73"/>
      <c r="Q54" s="73"/>
      <c r="R54" s="73"/>
    </row>
    <row r="55" spans="7:18" s="91" customFormat="1">
      <c r="G55" s="73"/>
      <c r="H55" s="72"/>
      <c r="I55" s="72"/>
      <c r="J55" s="72"/>
      <c r="K55" s="73"/>
      <c r="L55" s="73"/>
      <c r="M55" s="73"/>
      <c r="N55" s="73"/>
      <c r="O55" s="73"/>
      <c r="P55" s="73"/>
      <c r="Q55" s="73"/>
      <c r="R55" s="73"/>
    </row>
    <row r="56" spans="7:18" s="91" customFormat="1">
      <c r="G56" s="73"/>
      <c r="H56" s="72"/>
      <c r="I56" s="72"/>
      <c r="J56" s="72"/>
      <c r="K56" s="73"/>
      <c r="L56" s="73"/>
      <c r="M56" s="73"/>
      <c r="N56" s="73"/>
      <c r="O56" s="73"/>
      <c r="P56" s="73"/>
      <c r="Q56" s="73"/>
      <c r="R56" s="73"/>
    </row>
    <row r="57" spans="7:18" s="91" customFormat="1">
      <c r="G57" s="73"/>
      <c r="H57" s="72"/>
      <c r="I57" s="72"/>
      <c r="J57" s="72"/>
      <c r="K57" s="73"/>
      <c r="L57" s="73"/>
      <c r="M57" s="73"/>
      <c r="N57" s="73"/>
      <c r="O57" s="73"/>
      <c r="P57" s="73"/>
      <c r="Q57" s="73"/>
      <c r="R57" s="73"/>
    </row>
    <row r="58" spans="7:18" s="91" customFormat="1">
      <c r="G58" s="73"/>
      <c r="H58" s="72"/>
      <c r="I58" s="72"/>
      <c r="J58" s="72"/>
      <c r="K58" s="73"/>
      <c r="L58" s="73"/>
      <c r="M58" s="73"/>
      <c r="N58" s="73"/>
      <c r="O58" s="73"/>
      <c r="P58" s="73"/>
      <c r="Q58" s="73"/>
      <c r="R58" s="73"/>
    </row>
    <row r="59" spans="7:18" s="91" customFormat="1">
      <c r="G59" s="73"/>
      <c r="H59" s="72"/>
      <c r="I59" s="72"/>
      <c r="J59" s="72"/>
      <c r="K59" s="73"/>
      <c r="L59" s="73"/>
      <c r="M59" s="73"/>
      <c r="N59" s="73"/>
      <c r="O59" s="73"/>
      <c r="P59" s="73"/>
      <c r="Q59" s="73"/>
      <c r="R59" s="73"/>
    </row>
    <row r="60" spans="7:18" s="91" customFormat="1">
      <c r="G60" s="73"/>
      <c r="H60" s="72"/>
      <c r="I60" s="72"/>
      <c r="J60" s="72"/>
      <c r="K60" s="73"/>
      <c r="L60" s="73"/>
      <c r="M60" s="73"/>
      <c r="N60" s="73"/>
      <c r="O60" s="73"/>
      <c r="P60" s="73"/>
      <c r="Q60" s="73"/>
      <c r="R60" s="73"/>
    </row>
    <row r="61" spans="7:18" s="91" customFormat="1">
      <c r="G61" s="73"/>
      <c r="H61" s="72"/>
      <c r="I61" s="72"/>
      <c r="J61" s="72"/>
      <c r="K61" s="73"/>
      <c r="L61" s="73"/>
      <c r="M61" s="73"/>
      <c r="N61" s="73"/>
      <c r="O61" s="73"/>
      <c r="P61" s="73"/>
      <c r="Q61" s="73"/>
      <c r="R61" s="73"/>
    </row>
    <row r="62" spans="7:18" s="91" customFormat="1">
      <c r="G62" s="73"/>
      <c r="H62" s="72"/>
      <c r="I62" s="72"/>
      <c r="J62" s="72"/>
      <c r="K62" s="73"/>
      <c r="L62" s="73"/>
      <c r="M62" s="73"/>
      <c r="N62" s="73"/>
      <c r="O62" s="73"/>
      <c r="P62" s="73"/>
      <c r="Q62" s="73"/>
      <c r="R62" s="73"/>
    </row>
    <row r="63" spans="7:18" s="91" customFormat="1">
      <c r="G63" s="73"/>
      <c r="H63" s="72"/>
      <c r="I63" s="72"/>
      <c r="J63" s="72"/>
      <c r="K63" s="73"/>
      <c r="L63" s="73"/>
      <c r="M63" s="73"/>
      <c r="N63" s="73"/>
      <c r="O63" s="73"/>
      <c r="P63" s="73"/>
      <c r="Q63" s="73"/>
      <c r="R63" s="73"/>
    </row>
    <row r="64" spans="7:18" s="91" customFormat="1">
      <c r="G64" s="73"/>
      <c r="H64" s="72"/>
      <c r="I64" s="72"/>
      <c r="J64" s="72"/>
      <c r="K64" s="73"/>
      <c r="L64" s="73"/>
      <c r="M64" s="73"/>
      <c r="N64" s="73"/>
      <c r="O64" s="73"/>
      <c r="P64" s="73"/>
      <c r="Q64" s="73"/>
      <c r="R64" s="73"/>
    </row>
    <row r="65" spans="7:18" s="91" customFormat="1">
      <c r="G65" s="73"/>
      <c r="H65" s="72"/>
      <c r="I65" s="72"/>
      <c r="J65" s="72"/>
      <c r="K65" s="73"/>
      <c r="L65" s="73"/>
      <c r="M65" s="73"/>
      <c r="N65" s="73"/>
      <c r="O65" s="73"/>
      <c r="P65" s="73"/>
      <c r="Q65" s="73"/>
      <c r="R65" s="73"/>
    </row>
    <row r="66" spans="7:18" s="91" customFormat="1">
      <c r="G66" s="73"/>
      <c r="H66" s="72"/>
      <c r="I66" s="72"/>
      <c r="J66" s="72"/>
      <c r="K66" s="73"/>
      <c r="L66" s="73"/>
      <c r="M66" s="73"/>
      <c r="N66" s="73"/>
      <c r="O66" s="73"/>
      <c r="P66" s="73"/>
      <c r="Q66" s="73"/>
      <c r="R66" s="73"/>
    </row>
    <row r="67" spans="7:18" s="91" customFormat="1">
      <c r="G67" s="73"/>
      <c r="H67" s="72"/>
      <c r="I67" s="72"/>
      <c r="J67" s="72"/>
      <c r="K67" s="73"/>
      <c r="L67" s="73"/>
      <c r="M67" s="73"/>
      <c r="N67" s="73"/>
      <c r="O67" s="73"/>
      <c r="P67" s="73"/>
      <c r="Q67" s="73"/>
      <c r="R67" s="73"/>
    </row>
    <row r="68" spans="7:18" s="91" customFormat="1">
      <c r="G68" s="73"/>
      <c r="H68" s="72"/>
      <c r="I68" s="72"/>
      <c r="J68" s="72"/>
      <c r="K68" s="73"/>
      <c r="L68" s="73"/>
      <c r="M68" s="73"/>
      <c r="N68" s="73"/>
      <c r="O68" s="73"/>
      <c r="P68" s="73"/>
      <c r="Q68" s="73"/>
      <c r="R68" s="73"/>
    </row>
  </sheetData>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77046-8959-47F3-9FF9-3D6DA7AD7817}">
  <sheetPr codeName="Sheet27">
    <tabColor rgb="FF802C19"/>
  </sheetPr>
  <dimension ref="A1:R40"/>
  <sheetViews>
    <sheetView workbookViewId="0">
      <selection activeCell="I11" sqref="I11:J14"/>
    </sheetView>
    <sheetView workbookViewId="1">
      <selection activeCell="A10" sqref="A10:E18"/>
    </sheetView>
  </sheetViews>
  <sheetFormatPr defaultColWidth="8.77734375" defaultRowHeight="13.8"/>
  <cols>
    <col min="1" max="1" width="10.21875" style="78" customWidth="1"/>
    <col min="2" max="2" width="64.21875" style="78" customWidth="1"/>
    <col min="3" max="4" width="21.44140625" style="78" customWidth="1"/>
    <col min="5" max="5" width="39" style="78" customWidth="1"/>
    <col min="6" max="6" width="36.44140625" style="78" customWidth="1"/>
    <col min="7" max="7" width="21.44140625" style="73" customWidth="1"/>
    <col min="8" max="18" width="8.77734375" style="73"/>
    <col min="19" max="16384" width="8.77734375" style="78"/>
  </cols>
  <sheetData>
    <row r="1" spans="1:18" s="100" customFormat="1" ht="25.8">
      <c r="A1" s="71" t="s">
        <v>237</v>
      </c>
      <c r="B1" s="72"/>
      <c r="C1" s="56"/>
      <c r="D1" s="72"/>
      <c r="E1" s="72"/>
      <c r="F1" s="72"/>
      <c r="G1" s="73"/>
      <c r="H1" s="73"/>
      <c r="I1" s="73"/>
      <c r="J1" s="73"/>
      <c r="K1" s="73"/>
      <c r="L1" s="73"/>
      <c r="M1" s="73"/>
      <c r="N1" s="73"/>
      <c r="O1" s="73"/>
      <c r="P1" s="73"/>
      <c r="Q1" s="73"/>
      <c r="R1" s="73"/>
    </row>
    <row r="2" spans="1:18" s="100" customFormat="1" ht="25.8">
      <c r="A2" s="71" t="s">
        <v>1013</v>
      </c>
      <c r="B2" s="72"/>
      <c r="C2" s="56"/>
      <c r="D2" s="72"/>
      <c r="E2" s="72"/>
      <c r="F2" s="72"/>
      <c r="G2" s="73"/>
      <c r="H2" s="73"/>
      <c r="I2" s="73"/>
      <c r="J2" s="73"/>
      <c r="K2" s="73"/>
      <c r="L2" s="73"/>
      <c r="M2" s="73"/>
      <c r="N2" s="73"/>
      <c r="O2" s="73"/>
      <c r="P2" s="73"/>
      <c r="Q2" s="73"/>
      <c r="R2" s="73"/>
    </row>
    <row r="3" spans="1:18" s="101" customFormat="1" ht="69">
      <c r="A3" s="74" t="s">
        <v>117</v>
      </c>
      <c r="B3" s="74" t="s">
        <v>238</v>
      </c>
      <c r="C3" s="72"/>
      <c r="D3" s="72"/>
      <c r="E3" s="72"/>
      <c r="F3" s="72"/>
      <c r="G3" s="73"/>
      <c r="H3" s="73"/>
      <c r="I3" s="73"/>
      <c r="J3" s="73"/>
      <c r="K3" s="73"/>
      <c r="L3" s="73"/>
      <c r="M3" s="73"/>
      <c r="N3" s="73"/>
      <c r="O3" s="73"/>
      <c r="P3" s="73"/>
      <c r="Q3" s="73"/>
      <c r="R3" s="73"/>
    </row>
    <row r="4" spans="1:18" s="97" customFormat="1">
      <c r="A4" s="74" t="s">
        <v>725</v>
      </c>
      <c r="B4" s="74" t="s">
        <v>1014</v>
      </c>
      <c r="C4" s="72"/>
      <c r="D4" s="72"/>
      <c r="E4" s="72"/>
      <c r="F4" s="72"/>
      <c r="G4" s="73"/>
      <c r="H4" s="73"/>
      <c r="I4" s="73"/>
      <c r="J4" s="73"/>
      <c r="K4" s="73"/>
      <c r="L4" s="73"/>
      <c r="M4" s="73"/>
      <c r="N4" s="73"/>
      <c r="O4" s="73"/>
      <c r="P4" s="73"/>
      <c r="Q4" s="73"/>
      <c r="R4" s="73"/>
    </row>
    <row r="5" spans="1:18" s="101" customFormat="1">
      <c r="A5" s="72" t="s">
        <v>118</v>
      </c>
      <c r="B5" s="72" t="s">
        <v>239</v>
      </c>
      <c r="C5" s="72"/>
      <c r="D5" s="72"/>
      <c r="E5" s="72"/>
      <c r="F5" s="72"/>
      <c r="G5" s="73"/>
      <c r="H5" s="73"/>
      <c r="I5" s="73"/>
      <c r="J5" s="73"/>
      <c r="K5" s="73"/>
      <c r="L5" s="73"/>
      <c r="M5" s="73"/>
      <c r="N5" s="73"/>
      <c r="O5" s="73"/>
      <c r="P5" s="73"/>
      <c r="Q5" s="73"/>
      <c r="R5" s="73"/>
    </row>
    <row r="6" spans="1:18" s="97" customFormat="1">
      <c r="A6" s="78" t="s">
        <v>727</v>
      </c>
      <c r="B6" s="78" t="s">
        <v>1015</v>
      </c>
      <c r="C6" s="78"/>
      <c r="D6" s="78"/>
      <c r="E6" s="72"/>
      <c r="F6" s="72"/>
      <c r="G6" s="73"/>
      <c r="H6" s="73"/>
      <c r="I6" s="73"/>
      <c r="J6" s="73"/>
      <c r="K6" s="73"/>
      <c r="L6" s="73"/>
      <c r="M6" s="73"/>
      <c r="N6" s="73"/>
      <c r="O6" s="73"/>
      <c r="P6" s="73"/>
      <c r="Q6" s="73"/>
      <c r="R6" s="73"/>
    </row>
    <row r="7" spans="1:18" s="100" customFormat="1">
      <c r="A7" s="78"/>
      <c r="B7" s="78"/>
      <c r="C7" s="78"/>
      <c r="D7" s="78"/>
      <c r="E7" s="72"/>
      <c r="F7" s="72"/>
      <c r="G7" s="112" t="e">
        <f>#REF!</f>
        <v>#REF!</v>
      </c>
      <c r="H7" s="73"/>
      <c r="I7" s="73"/>
      <c r="J7" s="73"/>
      <c r="K7" s="73"/>
      <c r="L7" s="73"/>
      <c r="M7" s="73"/>
      <c r="N7" s="73"/>
      <c r="O7" s="73"/>
      <c r="P7" s="73"/>
      <c r="Q7" s="73"/>
      <c r="R7" s="73"/>
    </row>
    <row r="8" spans="1:18" s="100" customFormat="1">
      <c r="A8" s="103"/>
      <c r="B8" s="103"/>
      <c r="C8" s="103" t="s">
        <v>104</v>
      </c>
      <c r="D8" s="103" t="s">
        <v>654</v>
      </c>
      <c r="E8" s="103" t="s">
        <v>93</v>
      </c>
      <c r="F8" s="103" t="s">
        <v>655</v>
      </c>
      <c r="G8" s="103" t="s">
        <v>691</v>
      </c>
      <c r="H8" s="72"/>
      <c r="I8" s="72"/>
      <c r="J8" s="72"/>
      <c r="K8" s="72"/>
      <c r="L8" s="72"/>
      <c r="M8" s="72"/>
      <c r="N8" s="72"/>
      <c r="O8" s="72"/>
      <c r="P8" s="72"/>
      <c r="Q8" s="72"/>
      <c r="R8" s="72"/>
    </row>
    <row r="9" spans="1:18" s="101" customFormat="1">
      <c r="A9" s="93" t="s">
        <v>55</v>
      </c>
      <c r="B9" s="93"/>
      <c r="C9" s="94"/>
      <c r="D9" s="94"/>
      <c r="E9" s="94"/>
      <c r="F9" s="94"/>
      <c r="G9" s="95"/>
      <c r="H9" s="96"/>
      <c r="I9" s="96"/>
      <c r="J9" s="96"/>
      <c r="K9" s="96"/>
      <c r="L9" s="96"/>
      <c r="M9" s="96"/>
      <c r="N9" s="96"/>
      <c r="O9" s="96"/>
      <c r="P9" s="96"/>
      <c r="Q9" s="96"/>
      <c r="R9" s="96"/>
    </row>
    <row r="10" spans="1:18" s="97" customFormat="1" ht="41.4">
      <c r="A10" s="23" t="s">
        <v>240</v>
      </c>
      <c r="B10" s="23" t="s">
        <v>1016</v>
      </c>
      <c r="C10" s="23"/>
      <c r="D10" s="23"/>
      <c r="E10" s="98" t="s">
        <v>1017</v>
      </c>
      <c r="F10" s="23"/>
      <c r="G10" s="99"/>
      <c r="H10" s="96"/>
      <c r="I10" s="96"/>
      <c r="J10" s="96"/>
      <c r="K10" s="96"/>
      <c r="L10" s="96"/>
      <c r="M10" s="96"/>
      <c r="N10" s="96"/>
      <c r="O10" s="96"/>
      <c r="P10" s="96"/>
      <c r="Q10" s="96"/>
      <c r="R10" s="96"/>
    </row>
    <row r="11" spans="1:18" s="97" customFormat="1" ht="69">
      <c r="A11" s="23" t="s">
        <v>241</v>
      </c>
      <c r="B11" s="23" t="s">
        <v>1018</v>
      </c>
      <c r="C11" s="23"/>
      <c r="D11" s="23"/>
      <c r="E11" s="98" t="s">
        <v>242</v>
      </c>
      <c r="F11" s="98"/>
      <c r="G11" s="99"/>
      <c r="H11" s="96"/>
      <c r="I11" s="96"/>
      <c r="J11" s="96"/>
      <c r="K11" s="96"/>
      <c r="L11" s="96"/>
      <c r="M11" s="96"/>
      <c r="N11" s="96"/>
      <c r="O11" s="96"/>
      <c r="P11" s="96"/>
      <c r="Q11" s="96"/>
      <c r="R11" s="96"/>
    </row>
    <row r="12" spans="1:18" s="100" customFormat="1">
      <c r="A12" s="93" t="s">
        <v>62</v>
      </c>
      <c r="B12" s="93"/>
      <c r="C12" s="94"/>
      <c r="D12" s="94"/>
      <c r="E12" s="94" t="s">
        <v>839</v>
      </c>
      <c r="F12" s="94"/>
      <c r="G12" s="95"/>
      <c r="H12" s="96"/>
      <c r="I12" s="96"/>
      <c r="J12" s="96"/>
      <c r="K12" s="96"/>
      <c r="L12" s="96"/>
      <c r="M12" s="96"/>
      <c r="N12" s="96"/>
      <c r="O12" s="96"/>
      <c r="P12" s="96"/>
      <c r="Q12" s="96"/>
      <c r="R12" s="96"/>
    </row>
    <row r="13" spans="1:18" s="100" customFormat="1" ht="55.2">
      <c r="A13" s="23" t="s">
        <v>243</v>
      </c>
      <c r="B13" s="23" t="s">
        <v>1019</v>
      </c>
      <c r="C13" s="23"/>
      <c r="D13" s="23"/>
      <c r="E13" s="98" t="s">
        <v>244</v>
      </c>
      <c r="F13" s="98"/>
      <c r="G13" s="99"/>
      <c r="H13" s="96"/>
      <c r="I13" s="96"/>
      <c r="J13" s="96"/>
      <c r="K13" s="96"/>
      <c r="L13" s="96"/>
      <c r="M13" s="96"/>
      <c r="N13" s="96"/>
      <c r="O13" s="96"/>
      <c r="P13" s="96"/>
      <c r="Q13" s="96"/>
      <c r="R13" s="96"/>
    </row>
    <row r="14" spans="1:18" s="101" customFormat="1" ht="69">
      <c r="A14" s="23" t="s">
        <v>245</v>
      </c>
      <c r="B14" s="23" t="s">
        <v>1020</v>
      </c>
      <c r="C14" s="23"/>
      <c r="D14" s="23"/>
      <c r="E14" s="98" t="s">
        <v>246</v>
      </c>
      <c r="F14" s="98"/>
      <c r="G14" s="99"/>
      <c r="H14" s="96"/>
      <c r="I14" s="96"/>
      <c r="J14" s="96"/>
      <c r="K14" s="96"/>
      <c r="L14" s="96"/>
      <c r="M14" s="96"/>
      <c r="N14" s="96"/>
      <c r="O14" s="96"/>
      <c r="P14" s="96"/>
      <c r="Q14" s="96"/>
      <c r="R14" s="96"/>
    </row>
    <row r="15" spans="1:18" s="97" customFormat="1" ht="69">
      <c r="A15" s="23" t="s">
        <v>247</v>
      </c>
      <c r="B15" s="23" t="s">
        <v>1021</v>
      </c>
      <c r="C15" s="23"/>
      <c r="D15" s="23"/>
      <c r="E15" s="98" t="s">
        <v>1022</v>
      </c>
      <c r="F15" s="98"/>
      <c r="G15" s="99"/>
      <c r="H15" s="96"/>
      <c r="I15" s="96"/>
      <c r="J15" s="96"/>
      <c r="K15" s="96"/>
      <c r="L15" s="96"/>
      <c r="M15" s="96"/>
      <c r="N15" s="96"/>
      <c r="O15" s="96"/>
      <c r="P15" s="96"/>
      <c r="Q15" s="96"/>
      <c r="R15" s="96"/>
    </row>
    <row r="16" spans="1:18" s="100" customFormat="1">
      <c r="A16" s="93" t="s">
        <v>64</v>
      </c>
      <c r="B16" s="93"/>
      <c r="C16" s="94"/>
      <c r="D16" s="94"/>
      <c r="E16" s="94" t="s">
        <v>839</v>
      </c>
      <c r="F16" s="94"/>
      <c r="G16" s="95"/>
      <c r="H16" s="96"/>
      <c r="I16" s="96"/>
      <c r="J16" s="96"/>
      <c r="K16" s="96"/>
      <c r="L16" s="96"/>
      <c r="M16" s="96"/>
      <c r="N16" s="96"/>
      <c r="O16" s="96"/>
      <c r="P16" s="96"/>
      <c r="Q16" s="96"/>
      <c r="R16" s="96"/>
    </row>
    <row r="17" spans="1:18" s="100" customFormat="1" ht="69">
      <c r="A17" s="23" t="s">
        <v>248</v>
      </c>
      <c r="B17" s="23" t="s">
        <v>1023</v>
      </c>
      <c r="C17" s="23"/>
      <c r="D17" s="23"/>
      <c r="E17" s="98" t="s">
        <v>1024</v>
      </c>
      <c r="F17" s="98"/>
      <c r="G17" s="99"/>
      <c r="H17" s="96"/>
      <c r="I17" s="96"/>
      <c r="J17" s="96"/>
      <c r="K17" s="96"/>
      <c r="L17" s="96"/>
      <c r="M17" s="96"/>
      <c r="N17" s="96"/>
      <c r="O17" s="96"/>
      <c r="P17" s="96"/>
      <c r="Q17" s="96"/>
      <c r="R17" s="96"/>
    </row>
    <row r="18" spans="1:18" s="101" customFormat="1" ht="69">
      <c r="A18" s="23" t="s">
        <v>249</v>
      </c>
      <c r="B18" s="23" t="s">
        <v>1025</v>
      </c>
      <c r="C18" s="23"/>
      <c r="D18" s="23"/>
      <c r="E18" s="98" t="s">
        <v>1026</v>
      </c>
      <c r="F18" s="98"/>
      <c r="G18" s="99"/>
      <c r="H18" s="96"/>
      <c r="I18" s="96"/>
      <c r="J18" s="96"/>
      <c r="K18" s="96"/>
      <c r="L18" s="96"/>
      <c r="M18" s="96"/>
      <c r="N18" s="96"/>
      <c r="O18" s="96"/>
      <c r="P18" s="96"/>
      <c r="Q18" s="96"/>
      <c r="R18" s="96"/>
    </row>
    <row r="19" spans="1:18" s="90" customFormat="1">
      <c r="G19" s="73"/>
      <c r="H19" s="73"/>
      <c r="I19" s="73"/>
      <c r="J19" s="73"/>
      <c r="K19" s="73"/>
      <c r="L19" s="73"/>
      <c r="M19" s="73"/>
      <c r="N19" s="73"/>
      <c r="O19" s="73"/>
      <c r="P19" s="73"/>
      <c r="Q19" s="73"/>
      <c r="R19" s="73"/>
    </row>
    <row r="20" spans="1:18" s="91" customFormat="1">
      <c r="G20" s="73"/>
      <c r="H20" s="73"/>
      <c r="I20" s="73"/>
      <c r="J20" s="73"/>
      <c r="K20" s="73"/>
      <c r="L20" s="73"/>
      <c r="M20" s="73"/>
      <c r="N20" s="73"/>
      <c r="O20" s="73"/>
      <c r="P20" s="73"/>
      <c r="Q20" s="73"/>
      <c r="R20" s="73"/>
    </row>
    <row r="21" spans="1:18" s="91" customFormat="1">
      <c r="G21" s="73"/>
      <c r="H21" s="73"/>
      <c r="I21" s="73"/>
      <c r="J21" s="73"/>
      <c r="K21" s="73"/>
      <c r="L21" s="73"/>
      <c r="M21" s="73"/>
      <c r="N21" s="73"/>
      <c r="O21" s="73"/>
      <c r="P21" s="73"/>
      <c r="Q21" s="73"/>
      <c r="R21" s="73"/>
    </row>
    <row r="22" spans="1:18" s="91" customFormat="1">
      <c r="G22" s="73"/>
      <c r="H22" s="73"/>
      <c r="I22" s="73"/>
      <c r="J22" s="73"/>
      <c r="K22" s="73"/>
      <c r="L22" s="73"/>
      <c r="M22" s="73"/>
      <c r="N22" s="73"/>
      <c r="O22" s="73"/>
      <c r="P22" s="73"/>
      <c r="Q22" s="73"/>
      <c r="R22" s="73"/>
    </row>
    <row r="23" spans="1:18" s="91" customFormat="1">
      <c r="G23" s="73"/>
      <c r="H23" s="73"/>
      <c r="I23" s="73"/>
      <c r="J23" s="73"/>
      <c r="K23" s="73"/>
      <c r="L23" s="73"/>
      <c r="M23" s="73"/>
      <c r="N23" s="73"/>
      <c r="O23" s="73"/>
      <c r="P23" s="73"/>
      <c r="Q23" s="73"/>
      <c r="R23" s="73"/>
    </row>
    <row r="24" spans="1:18" s="91" customFormat="1">
      <c r="G24" s="73"/>
      <c r="H24" s="73"/>
      <c r="I24" s="73"/>
      <c r="J24" s="73"/>
      <c r="K24" s="73"/>
      <c r="L24" s="73"/>
      <c r="M24" s="73"/>
      <c r="N24" s="73"/>
      <c r="O24" s="73"/>
      <c r="P24" s="73"/>
      <c r="Q24" s="73"/>
      <c r="R24" s="73"/>
    </row>
    <row r="25" spans="1:18" s="91"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sheetData>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AC9DF1-A5F1-4C27-A6C4-BAFCF4057B8F}">
  <sheetPr codeName="Sheet28">
    <tabColor rgb="FFF9A51A"/>
  </sheetPr>
  <dimension ref="A1:R46"/>
  <sheetViews>
    <sheetView workbookViewId="0">
      <selection activeCell="I11" sqref="I11:J14"/>
    </sheetView>
    <sheetView workbookViewId="1">
      <selection activeCell="A10" sqref="A10:E20"/>
    </sheetView>
  </sheetViews>
  <sheetFormatPr defaultColWidth="8.77734375" defaultRowHeight="13.8"/>
  <cols>
    <col min="1" max="1" width="10.21875" style="78" customWidth="1"/>
    <col min="2" max="2" width="53.21875" style="78" customWidth="1"/>
    <col min="3" max="4" width="21.44140625" style="78" customWidth="1"/>
    <col min="5" max="5" width="38.21875" style="78" customWidth="1"/>
    <col min="6" max="6" width="24.44140625" style="78" customWidth="1"/>
    <col min="7" max="7" width="21.44140625" style="73" customWidth="1"/>
    <col min="8" max="18" width="8.77734375" style="73"/>
    <col min="19" max="16384" width="8.77734375" style="78"/>
  </cols>
  <sheetData>
    <row r="1" spans="1:18" s="100" customFormat="1" ht="25.8">
      <c r="A1" s="71" t="s">
        <v>1027</v>
      </c>
      <c r="B1" s="72"/>
      <c r="C1" s="56"/>
      <c r="D1" s="72"/>
      <c r="E1" s="72"/>
      <c r="F1" s="72"/>
      <c r="G1" s="73"/>
      <c r="H1" s="73"/>
      <c r="I1" s="73"/>
      <c r="J1" s="73"/>
      <c r="K1" s="73"/>
      <c r="L1" s="73"/>
      <c r="M1" s="73"/>
      <c r="N1" s="73"/>
      <c r="O1" s="73"/>
      <c r="P1" s="73"/>
      <c r="Q1" s="73"/>
      <c r="R1" s="73"/>
    </row>
    <row r="2" spans="1:18" s="100" customFormat="1" ht="25.8">
      <c r="A2" s="71" t="s">
        <v>1028</v>
      </c>
      <c r="B2" s="72"/>
      <c r="C2" s="56"/>
      <c r="D2" s="72"/>
      <c r="E2" s="72"/>
      <c r="F2" s="72"/>
      <c r="G2" s="73"/>
      <c r="H2" s="73"/>
      <c r="I2" s="73"/>
      <c r="J2" s="73"/>
      <c r="K2" s="73"/>
      <c r="L2" s="73"/>
      <c r="M2" s="73"/>
      <c r="N2" s="73"/>
      <c r="O2" s="73"/>
      <c r="P2" s="73"/>
      <c r="Q2" s="73"/>
      <c r="R2" s="73"/>
    </row>
    <row r="3" spans="1:18" s="101" customFormat="1">
      <c r="A3" s="74" t="s">
        <v>117</v>
      </c>
      <c r="B3" s="72" t="s">
        <v>1029</v>
      </c>
      <c r="C3" s="72"/>
      <c r="D3" s="72"/>
      <c r="E3" s="72"/>
      <c r="F3" s="72"/>
      <c r="G3" s="73"/>
      <c r="H3" s="73"/>
      <c r="I3" s="73"/>
      <c r="J3" s="73"/>
      <c r="K3" s="73"/>
      <c r="L3" s="73"/>
      <c r="M3" s="73"/>
      <c r="N3" s="73"/>
      <c r="O3" s="73"/>
      <c r="P3" s="73"/>
      <c r="Q3" s="73"/>
      <c r="R3" s="73"/>
    </row>
    <row r="4" spans="1:18" s="97" customFormat="1">
      <c r="A4" s="74" t="s">
        <v>725</v>
      </c>
      <c r="B4" s="72" t="s">
        <v>1030</v>
      </c>
      <c r="C4" s="72"/>
      <c r="D4" s="72"/>
      <c r="E4" s="72"/>
      <c r="F4" s="72"/>
      <c r="G4" s="73"/>
      <c r="H4" s="73"/>
      <c r="I4" s="73"/>
      <c r="J4" s="73"/>
      <c r="K4" s="73"/>
      <c r="L4" s="73"/>
      <c r="M4" s="73"/>
      <c r="N4" s="73"/>
      <c r="O4" s="73"/>
      <c r="P4" s="73"/>
      <c r="Q4" s="73"/>
      <c r="R4" s="73"/>
    </row>
    <row r="5" spans="1:18" s="100" customFormat="1">
      <c r="A5" s="72" t="s">
        <v>118</v>
      </c>
      <c r="B5" s="72" t="s">
        <v>1031</v>
      </c>
      <c r="C5" s="72"/>
      <c r="D5" s="72"/>
      <c r="E5" s="72"/>
      <c r="F5" s="72"/>
      <c r="G5" s="73"/>
      <c r="H5" s="73"/>
      <c r="I5" s="73"/>
      <c r="J5" s="73"/>
      <c r="K5" s="73"/>
      <c r="L5" s="73"/>
      <c r="M5" s="73"/>
      <c r="N5" s="73"/>
      <c r="O5" s="73"/>
      <c r="P5" s="73"/>
      <c r="Q5" s="73"/>
      <c r="R5" s="73"/>
    </row>
    <row r="6" spans="1:18" s="100" customFormat="1">
      <c r="A6" s="72" t="s">
        <v>727</v>
      </c>
      <c r="B6" s="72" t="s">
        <v>1032</v>
      </c>
      <c r="C6" s="72"/>
      <c r="D6" s="72"/>
      <c r="E6" s="72"/>
      <c r="F6" s="72"/>
      <c r="G6" s="73"/>
      <c r="H6" s="73"/>
      <c r="I6" s="73"/>
      <c r="J6" s="73"/>
      <c r="K6" s="73"/>
      <c r="L6" s="73"/>
      <c r="M6" s="73"/>
      <c r="N6" s="73"/>
      <c r="O6" s="73"/>
      <c r="P6" s="73"/>
      <c r="Q6" s="73"/>
      <c r="R6" s="73"/>
    </row>
    <row r="7" spans="1:18" s="101" customFormat="1">
      <c r="A7" s="78"/>
      <c r="B7" s="78"/>
      <c r="C7" s="78"/>
      <c r="D7" s="78"/>
      <c r="E7" s="78"/>
      <c r="F7" s="78"/>
      <c r="G7" s="72" t="e">
        <f>#REF!</f>
        <v>#REF!</v>
      </c>
      <c r="H7" s="73"/>
      <c r="I7" s="73"/>
      <c r="J7" s="73"/>
      <c r="K7" s="73"/>
      <c r="L7" s="73"/>
      <c r="M7" s="73"/>
      <c r="N7" s="73"/>
      <c r="O7" s="73"/>
      <c r="P7" s="73"/>
      <c r="Q7" s="73"/>
      <c r="R7" s="73"/>
    </row>
    <row r="8" spans="1:18" s="97" customFormat="1">
      <c r="A8" s="103"/>
      <c r="B8" s="103"/>
      <c r="C8" s="103" t="s">
        <v>104</v>
      </c>
      <c r="D8" s="103" t="s">
        <v>654</v>
      </c>
      <c r="E8" s="103" t="s">
        <v>93</v>
      </c>
      <c r="F8" s="103" t="s">
        <v>655</v>
      </c>
      <c r="G8" s="103" t="s">
        <v>691</v>
      </c>
      <c r="H8" s="72"/>
      <c r="I8" s="72"/>
      <c r="J8" s="72"/>
      <c r="K8" s="72"/>
      <c r="L8" s="72"/>
      <c r="M8" s="72"/>
      <c r="N8" s="72"/>
      <c r="O8" s="72"/>
      <c r="P8" s="72"/>
      <c r="Q8" s="72"/>
      <c r="R8" s="72"/>
    </row>
    <row r="9" spans="1:18" s="100" customFormat="1">
      <c r="A9" s="93" t="s">
        <v>55</v>
      </c>
      <c r="B9" s="93"/>
      <c r="C9" s="94"/>
      <c r="D9" s="94"/>
      <c r="E9" s="94"/>
      <c r="F9" s="94"/>
      <c r="G9" s="95"/>
      <c r="H9" s="96"/>
      <c r="I9" s="96"/>
      <c r="J9" s="96"/>
      <c r="K9" s="96"/>
      <c r="L9" s="96"/>
      <c r="M9" s="96"/>
      <c r="N9" s="96"/>
      <c r="O9" s="96"/>
      <c r="P9" s="96"/>
      <c r="Q9" s="96"/>
      <c r="R9" s="96"/>
    </row>
    <row r="10" spans="1:18" s="100" customFormat="1" ht="27.6">
      <c r="A10" s="23" t="s">
        <v>1033</v>
      </c>
      <c r="B10" s="23" t="s">
        <v>1034</v>
      </c>
      <c r="C10" s="23"/>
      <c r="D10" s="23"/>
      <c r="E10" s="98" t="s">
        <v>1035</v>
      </c>
      <c r="F10" s="98"/>
      <c r="G10" s="99"/>
      <c r="H10" s="96"/>
      <c r="I10" s="96"/>
      <c r="J10" s="96"/>
      <c r="K10" s="96"/>
      <c r="L10" s="96"/>
      <c r="M10" s="96"/>
      <c r="N10" s="96"/>
      <c r="O10" s="96"/>
      <c r="P10" s="96"/>
      <c r="Q10" s="96"/>
      <c r="R10" s="96"/>
    </row>
    <row r="11" spans="1:18" s="101" customFormat="1" ht="41.4">
      <c r="A11" s="23" t="s">
        <v>1036</v>
      </c>
      <c r="B11" s="23" t="s">
        <v>1037</v>
      </c>
      <c r="C11" s="23"/>
      <c r="D11" s="23"/>
      <c r="E11" s="98" t="s">
        <v>1038</v>
      </c>
      <c r="F11" s="98"/>
      <c r="G11" s="99"/>
      <c r="H11" s="96"/>
      <c r="I11" s="96"/>
      <c r="J11" s="96"/>
      <c r="K11" s="96"/>
      <c r="L11" s="96"/>
      <c r="M11" s="96"/>
      <c r="N11" s="96"/>
      <c r="O11" s="96"/>
      <c r="P11" s="96"/>
      <c r="Q11" s="96"/>
      <c r="R11" s="96"/>
    </row>
    <row r="12" spans="1:18" s="97" customFormat="1" ht="27.6">
      <c r="A12" s="23" t="s">
        <v>1039</v>
      </c>
      <c r="B12" s="23" t="s">
        <v>1040</v>
      </c>
      <c r="C12" s="23"/>
      <c r="D12" s="23"/>
      <c r="E12" s="98" t="s">
        <v>1041</v>
      </c>
      <c r="F12" s="98"/>
      <c r="G12" s="99"/>
      <c r="H12" s="96"/>
      <c r="I12" s="96"/>
      <c r="J12" s="96"/>
      <c r="K12" s="96"/>
      <c r="L12" s="96"/>
      <c r="M12" s="96"/>
      <c r="N12" s="96"/>
      <c r="O12" s="96"/>
      <c r="P12" s="96"/>
      <c r="Q12" s="96"/>
      <c r="R12" s="96"/>
    </row>
    <row r="13" spans="1:18" s="97" customFormat="1">
      <c r="A13" s="93" t="s">
        <v>62</v>
      </c>
      <c r="B13" s="93"/>
      <c r="C13" s="94"/>
      <c r="D13" s="94"/>
      <c r="E13" s="94" t="s">
        <v>839</v>
      </c>
      <c r="F13" s="94"/>
      <c r="G13" s="95"/>
      <c r="H13" s="96"/>
      <c r="I13" s="96"/>
      <c r="J13" s="96"/>
      <c r="K13" s="96"/>
      <c r="L13" s="96"/>
      <c r="M13" s="96"/>
      <c r="N13" s="96"/>
      <c r="O13" s="96"/>
      <c r="P13" s="96"/>
      <c r="Q13" s="96"/>
      <c r="R13" s="96"/>
    </row>
    <row r="14" spans="1:18" s="100" customFormat="1" ht="69">
      <c r="A14" s="23" t="s">
        <v>1042</v>
      </c>
      <c r="B14" s="23" t="s">
        <v>1043</v>
      </c>
      <c r="C14" s="23"/>
      <c r="D14" s="23"/>
      <c r="E14" s="98" t="s">
        <v>1044</v>
      </c>
      <c r="F14" s="98"/>
      <c r="G14" s="99"/>
      <c r="H14" s="96"/>
      <c r="I14" s="96"/>
      <c r="J14" s="96"/>
      <c r="K14" s="96"/>
      <c r="L14" s="96"/>
      <c r="M14" s="96"/>
      <c r="N14" s="96"/>
      <c r="O14" s="96"/>
      <c r="P14" s="96"/>
      <c r="Q14" s="96"/>
      <c r="R14" s="96"/>
    </row>
    <row r="15" spans="1:18" s="100" customFormat="1" ht="41.4">
      <c r="A15" s="23" t="s">
        <v>1045</v>
      </c>
      <c r="B15" s="23" t="s">
        <v>1046</v>
      </c>
      <c r="C15" s="23"/>
      <c r="D15" s="23"/>
      <c r="E15" s="98" t="s">
        <v>1047</v>
      </c>
      <c r="F15" s="98"/>
      <c r="G15" s="99"/>
      <c r="H15" s="96"/>
      <c r="I15" s="96"/>
      <c r="J15" s="96"/>
      <c r="K15" s="96"/>
      <c r="L15" s="96"/>
      <c r="M15" s="96"/>
      <c r="N15" s="96"/>
      <c r="O15" s="96"/>
      <c r="P15" s="96"/>
      <c r="Q15" s="96"/>
      <c r="R15" s="96"/>
    </row>
    <row r="16" spans="1:18" s="101" customFormat="1" ht="69">
      <c r="A16" s="23" t="s">
        <v>1048</v>
      </c>
      <c r="B16" s="23" t="s">
        <v>1049</v>
      </c>
      <c r="C16" s="23"/>
      <c r="D16" s="23"/>
      <c r="E16" s="98" t="s">
        <v>1050</v>
      </c>
      <c r="F16" s="98"/>
      <c r="G16" s="99"/>
      <c r="H16" s="96"/>
      <c r="I16" s="96"/>
      <c r="J16" s="96"/>
      <c r="K16" s="96"/>
      <c r="L16" s="96"/>
      <c r="M16" s="96"/>
      <c r="N16" s="96"/>
      <c r="O16" s="96"/>
      <c r="P16" s="96"/>
      <c r="Q16" s="96"/>
      <c r="R16" s="96"/>
    </row>
    <row r="17" spans="1:18" s="97" customFormat="1" ht="69">
      <c r="A17" s="23" t="s">
        <v>1051</v>
      </c>
      <c r="B17" s="23" t="s">
        <v>1052</v>
      </c>
      <c r="C17" s="23"/>
      <c r="D17" s="23"/>
      <c r="E17" s="98" t="s">
        <v>1053</v>
      </c>
      <c r="F17" s="98"/>
      <c r="G17" s="99"/>
      <c r="H17" s="96"/>
      <c r="I17" s="96"/>
      <c r="J17" s="96"/>
      <c r="K17" s="96"/>
      <c r="L17" s="96"/>
      <c r="M17" s="96"/>
      <c r="N17" s="96"/>
      <c r="O17" s="96"/>
      <c r="P17" s="96"/>
      <c r="Q17" s="96"/>
      <c r="R17" s="96"/>
    </row>
    <row r="18" spans="1:18" s="100" customFormat="1">
      <c r="A18" s="93" t="s">
        <v>64</v>
      </c>
      <c r="B18" s="93"/>
      <c r="C18" s="94"/>
      <c r="D18" s="94"/>
      <c r="E18" s="94" t="s">
        <v>839</v>
      </c>
      <c r="F18" s="94"/>
      <c r="G18" s="95"/>
      <c r="H18" s="96"/>
      <c r="I18" s="96"/>
      <c r="J18" s="96"/>
      <c r="K18" s="96"/>
      <c r="L18" s="96"/>
      <c r="M18" s="96"/>
      <c r="N18" s="96"/>
      <c r="O18" s="96"/>
      <c r="P18" s="96"/>
      <c r="Q18" s="96"/>
      <c r="R18" s="96"/>
    </row>
    <row r="19" spans="1:18" s="100" customFormat="1" ht="96.6">
      <c r="A19" s="23" t="s">
        <v>1054</v>
      </c>
      <c r="B19" s="23" t="s">
        <v>1055</v>
      </c>
      <c r="C19" s="23"/>
      <c r="D19" s="23"/>
      <c r="E19" s="98" t="s">
        <v>1056</v>
      </c>
      <c r="F19" s="98"/>
      <c r="G19" s="99"/>
      <c r="H19" s="96"/>
      <c r="I19" s="96"/>
      <c r="J19" s="96"/>
      <c r="K19" s="96"/>
      <c r="L19" s="96"/>
      <c r="M19" s="96"/>
      <c r="N19" s="96"/>
      <c r="O19" s="96"/>
      <c r="P19" s="96"/>
      <c r="Q19" s="96"/>
      <c r="R19" s="96"/>
    </row>
    <row r="20" spans="1:18" s="101" customFormat="1" ht="69">
      <c r="A20" s="23" t="s">
        <v>1057</v>
      </c>
      <c r="B20" s="23" t="s">
        <v>1058</v>
      </c>
      <c r="C20" s="23"/>
      <c r="D20" s="23"/>
      <c r="E20" s="98" t="s">
        <v>1059</v>
      </c>
      <c r="F20" s="98"/>
      <c r="G20" s="99"/>
      <c r="H20" s="96"/>
      <c r="I20" s="96"/>
      <c r="J20" s="96"/>
      <c r="K20" s="96"/>
      <c r="L20" s="96"/>
      <c r="M20" s="96"/>
      <c r="N20" s="96"/>
      <c r="O20" s="96"/>
      <c r="P20" s="96"/>
      <c r="Q20" s="96"/>
      <c r="R20" s="96"/>
    </row>
    <row r="21" spans="1:18" s="90" customFormat="1">
      <c r="G21" s="73"/>
      <c r="H21" s="73"/>
      <c r="I21" s="73"/>
      <c r="J21" s="73"/>
      <c r="K21" s="73"/>
      <c r="L21" s="73"/>
      <c r="M21" s="73"/>
      <c r="N21" s="73"/>
      <c r="O21" s="73"/>
      <c r="P21" s="73"/>
      <c r="Q21" s="73"/>
      <c r="R21" s="73"/>
    </row>
    <row r="22" spans="1:18" s="90" customFormat="1">
      <c r="G22" s="73"/>
      <c r="H22" s="73"/>
      <c r="I22" s="73"/>
      <c r="J22" s="73"/>
      <c r="K22" s="73"/>
      <c r="L22" s="73"/>
      <c r="M22" s="73"/>
      <c r="N22" s="73"/>
      <c r="O22" s="73"/>
      <c r="P22" s="73"/>
      <c r="Q22" s="73"/>
      <c r="R22" s="73"/>
    </row>
    <row r="23" spans="1:18" s="90" customFormat="1">
      <c r="G23" s="73"/>
      <c r="H23" s="73"/>
      <c r="I23" s="73"/>
      <c r="J23" s="73"/>
      <c r="K23" s="73"/>
      <c r="L23" s="73"/>
      <c r="M23" s="73"/>
      <c r="N23" s="73"/>
      <c r="O23" s="73"/>
      <c r="P23" s="73"/>
      <c r="Q23" s="73"/>
      <c r="R23" s="73"/>
    </row>
    <row r="24" spans="1:18" s="90" customFormat="1">
      <c r="G24" s="73"/>
      <c r="H24" s="73"/>
      <c r="I24" s="73"/>
      <c r="J24" s="73"/>
      <c r="K24" s="73"/>
      <c r="L24" s="73"/>
      <c r="M24" s="73"/>
      <c r="N24" s="73"/>
      <c r="O24" s="73"/>
      <c r="P24" s="73"/>
      <c r="Q24" s="73"/>
      <c r="R24" s="73"/>
    </row>
    <row r="25" spans="1:18" s="90" customFormat="1">
      <c r="G25" s="73"/>
      <c r="H25" s="73"/>
      <c r="I25" s="73"/>
      <c r="J25" s="73"/>
      <c r="K25" s="73"/>
      <c r="L25" s="73"/>
      <c r="M25" s="73"/>
      <c r="N25" s="73"/>
      <c r="O25" s="73"/>
      <c r="P25" s="73"/>
      <c r="Q25" s="73"/>
      <c r="R25" s="73"/>
    </row>
    <row r="26" spans="1:18" s="91" customFormat="1">
      <c r="G26" s="73"/>
      <c r="H26" s="73"/>
      <c r="I26" s="73"/>
      <c r="J26" s="73"/>
      <c r="K26" s="73"/>
      <c r="L26" s="73"/>
      <c r="M26" s="73"/>
      <c r="N26" s="73"/>
      <c r="O26" s="73"/>
      <c r="P26" s="73"/>
      <c r="Q26" s="73"/>
      <c r="R26" s="73"/>
    </row>
    <row r="27" spans="1:18" s="91" customFormat="1">
      <c r="G27" s="73"/>
      <c r="H27" s="73"/>
      <c r="I27" s="73"/>
      <c r="J27" s="73"/>
      <c r="K27" s="73"/>
      <c r="L27" s="73"/>
      <c r="M27" s="73"/>
      <c r="N27" s="73"/>
      <c r="O27" s="73"/>
      <c r="P27" s="73"/>
      <c r="Q27" s="73"/>
      <c r="R27" s="73"/>
    </row>
    <row r="28" spans="1:18" s="91" customFormat="1">
      <c r="G28" s="73"/>
      <c r="H28" s="73"/>
      <c r="I28" s="73"/>
      <c r="J28" s="73"/>
      <c r="K28" s="73"/>
      <c r="L28" s="73"/>
      <c r="M28" s="73"/>
      <c r="N28" s="73"/>
      <c r="O28" s="73"/>
      <c r="P28" s="73"/>
      <c r="Q28" s="73"/>
      <c r="R28" s="73"/>
    </row>
    <row r="29" spans="1:18" s="91" customFormat="1">
      <c r="G29" s="73"/>
      <c r="H29" s="73"/>
      <c r="I29" s="73"/>
      <c r="J29" s="73"/>
      <c r="K29" s="73"/>
      <c r="L29" s="73"/>
      <c r="M29" s="73"/>
      <c r="N29" s="73"/>
      <c r="O29" s="73"/>
      <c r="P29" s="73"/>
      <c r="Q29" s="73"/>
      <c r="R29" s="73"/>
    </row>
    <row r="30" spans="1:18" s="91" customFormat="1">
      <c r="G30" s="73"/>
      <c r="H30" s="73"/>
      <c r="I30" s="73"/>
      <c r="J30" s="73"/>
      <c r="K30" s="73"/>
      <c r="L30" s="73"/>
      <c r="M30" s="73"/>
      <c r="N30" s="73"/>
      <c r="O30" s="73"/>
      <c r="P30" s="73"/>
      <c r="Q30" s="73"/>
      <c r="R30" s="73"/>
    </row>
    <row r="31" spans="1:18" s="91" customFormat="1">
      <c r="G31" s="73"/>
      <c r="H31" s="73"/>
      <c r="I31" s="73"/>
      <c r="J31" s="73"/>
      <c r="K31" s="73"/>
      <c r="L31" s="73"/>
      <c r="M31" s="73"/>
      <c r="N31" s="73"/>
      <c r="O31" s="73"/>
      <c r="P31" s="73"/>
      <c r="Q31" s="73"/>
      <c r="R31" s="73"/>
    </row>
    <row r="32" spans="1:18" s="91" customFormat="1">
      <c r="G32" s="73"/>
      <c r="H32" s="73"/>
      <c r="I32" s="73"/>
      <c r="J32" s="73"/>
      <c r="K32" s="73"/>
      <c r="L32" s="73"/>
      <c r="M32" s="73"/>
      <c r="N32" s="73"/>
      <c r="O32" s="73"/>
      <c r="P32" s="73"/>
      <c r="Q32" s="73"/>
      <c r="R32" s="73"/>
    </row>
    <row r="33" spans="7:18" s="91" customFormat="1">
      <c r="G33" s="73"/>
      <c r="H33" s="73"/>
      <c r="I33" s="73"/>
      <c r="J33" s="73"/>
      <c r="K33" s="73"/>
      <c r="L33" s="73"/>
      <c r="M33" s="73"/>
      <c r="N33" s="73"/>
      <c r="O33" s="73"/>
      <c r="P33" s="73"/>
      <c r="Q33" s="73"/>
      <c r="R33" s="73"/>
    </row>
    <row r="34" spans="7:18" s="91" customFormat="1">
      <c r="G34" s="73"/>
      <c r="H34" s="73"/>
      <c r="I34" s="73"/>
      <c r="J34" s="73"/>
      <c r="K34" s="73"/>
      <c r="L34" s="73"/>
      <c r="M34" s="73"/>
      <c r="N34" s="73"/>
      <c r="O34" s="73"/>
      <c r="P34" s="73"/>
      <c r="Q34" s="73"/>
      <c r="R34" s="73"/>
    </row>
    <row r="35" spans="7:18" s="91" customFormat="1">
      <c r="G35" s="73"/>
      <c r="H35" s="73"/>
      <c r="I35" s="73"/>
      <c r="J35" s="73"/>
      <c r="K35" s="73"/>
      <c r="L35" s="73"/>
      <c r="M35" s="73"/>
      <c r="N35" s="73"/>
      <c r="O35" s="73"/>
      <c r="P35" s="73"/>
      <c r="Q35" s="73"/>
      <c r="R35" s="73"/>
    </row>
    <row r="36" spans="7:18" s="91" customFormat="1">
      <c r="G36" s="73"/>
      <c r="H36" s="73"/>
      <c r="I36" s="73"/>
      <c r="J36" s="73"/>
      <c r="K36" s="73"/>
      <c r="L36" s="73"/>
      <c r="M36" s="73"/>
      <c r="N36" s="73"/>
      <c r="O36" s="73"/>
      <c r="P36" s="73"/>
      <c r="Q36" s="73"/>
      <c r="R36" s="73"/>
    </row>
    <row r="37" spans="7:18" s="91" customFormat="1">
      <c r="G37" s="73"/>
      <c r="H37" s="73"/>
      <c r="I37" s="73"/>
      <c r="J37" s="73"/>
      <c r="K37" s="73"/>
      <c r="L37" s="73"/>
      <c r="M37" s="73"/>
      <c r="N37" s="73"/>
      <c r="O37" s="73"/>
      <c r="P37" s="73"/>
      <c r="Q37" s="73"/>
      <c r="R37" s="73"/>
    </row>
    <row r="38" spans="7:18" s="91" customFormat="1">
      <c r="G38" s="73"/>
      <c r="H38" s="73"/>
      <c r="I38" s="73"/>
      <c r="J38" s="73"/>
      <c r="K38" s="73"/>
      <c r="L38" s="73"/>
      <c r="M38" s="73"/>
      <c r="N38" s="73"/>
      <c r="O38" s="73"/>
      <c r="P38" s="73"/>
      <c r="Q38" s="73"/>
      <c r="R38" s="73"/>
    </row>
    <row r="39" spans="7:18" s="91" customFormat="1">
      <c r="G39" s="73"/>
      <c r="H39" s="73"/>
      <c r="I39" s="73"/>
      <c r="J39" s="73"/>
      <c r="K39" s="73"/>
      <c r="L39" s="73"/>
      <c r="M39" s="73"/>
      <c r="N39" s="73"/>
      <c r="O39" s="73"/>
      <c r="P39" s="73"/>
      <c r="Q39" s="73"/>
      <c r="R39" s="73"/>
    </row>
    <row r="40" spans="7:18" s="91" customFormat="1">
      <c r="G40" s="73"/>
      <c r="H40" s="73"/>
      <c r="I40" s="73"/>
      <c r="J40" s="73"/>
      <c r="K40" s="73"/>
      <c r="L40" s="73"/>
      <c r="M40" s="73"/>
      <c r="N40" s="73"/>
      <c r="O40" s="73"/>
      <c r="P40" s="73"/>
      <c r="Q40" s="73"/>
      <c r="R40" s="73"/>
    </row>
    <row r="41" spans="7:18" s="91" customFormat="1">
      <c r="G41" s="73"/>
      <c r="H41" s="73"/>
      <c r="I41" s="73"/>
      <c r="J41" s="73"/>
      <c r="K41" s="73"/>
      <c r="L41" s="73"/>
      <c r="M41" s="73"/>
      <c r="N41" s="73"/>
      <c r="O41" s="73"/>
      <c r="P41" s="73"/>
      <c r="Q41" s="73"/>
      <c r="R41" s="73"/>
    </row>
    <row r="42" spans="7:18" s="91" customFormat="1">
      <c r="G42" s="73"/>
      <c r="H42" s="73"/>
      <c r="I42" s="73"/>
      <c r="J42" s="73"/>
      <c r="K42" s="73"/>
      <c r="L42" s="73"/>
      <c r="M42" s="73"/>
      <c r="N42" s="73"/>
      <c r="O42" s="73"/>
      <c r="P42" s="73"/>
      <c r="Q42" s="73"/>
      <c r="R42" s="73"/>
    </row>
    <row r="43" spans="7:18" s="91" customFormat="1">
      <c r="G43" s="73"/>
      <c r="H43" s="73"/>
      <c r="I43" s="73"/>
      <c r="J43" s="73"/>
      <c r="K43" s="73"/>
      <c r="L43" s="73"/>
      <c r="M43" s="73"/>
      <c r="N43" s="73"/>
      <c r="O43" s="73"/>
      <c r="P43" s="73"/>
      <c r="Q43" s="73"/>
      <c r="R43" s="73"/>
    </row>
    <row r="44" spans="7:18" s="91" customFormat="1">
      <c r="G44" s="73"/>
      <c r="H44" s="73"/>
      <c r="I44" s="73"/>
      <c r="J44" s="73"/>
      <c r="K44" s="73"/>
      <c r="L44" s="73"/>
      <c r="M44" s="73"/>
      <c r="N44" s="73"/>
      <c r="O44" s="73"/>
      <c r="P44" s="73"/>
      <c r="Q44" s="73"/>
      <c r="R44" s="73"/>
    </row>
    <row r="45" spans="7:18" s="91" customFormat="1">
      <c r="G45" s="73"/>
      <c r="H45" s="73"/>
      <c r="I45" s="73"/>
      <c r="J45" s="73"/>
      <c r="K45" s="73"/>
      <c r="L45" s="73"/>
      <c r="M45" s="73"/>
      <c r="N45" s="73"/>
      <c r="O45" s="73"/>
      <c r="P45" s="73"/>
      <c r="Q45" s="73"/>
      <c r="R45" s="73"/>
    </row>
    <row r="46" spans="7:18" s="91" customFormat="1">
      <c r="G46" s="73"/>
      <c r="H46" s="73"/>
      <c r="I46" s="73"/>
      <c r="J46" s="73"/>
      <c r="K46" s="73"/>
      <c r="L46" s="73"/>
      <c r="M46" s="73"/>
      <c r="N46" s="73"/>
      <c r="O46" s="73"/>
      <c r="P46" s="73"/>
      <c r="Q46" s="73"/>
      <c r="R46" s="73"/>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76C9C1-29A7-4B2C-8D1A-20E9F0EB9E6A}">
  <sheetPr codeName="Sheet29">
    <tabColor rgb="FF007DC4"/>
  </sheetPr>
  <dimension ref="B2:D11"/>
  <sheetViews>
    <sheetView workbookViewId="0">
      <selection sqref="A1:XFD1048576"/>
    </sheetView>
    <sheetView workbookViewId="1"/>
  </sheetViews>
  <sheetFormatPr defaultRowHeight="14.4"/>
  <cols>
    <col min="1" max="2" width="8.88671875" style="25"/>
    <col min="3" max="3" width="16.44140625" style="25" customWidth="1"/>
    <col min="4" max="16384" width="8.88671875" style="25"/>
  </cols>
  <sheetData>
    <row r="2" spans="2:4">
      <c r="B2" s="25" t="s">
        <v>63</v>
      </c>
      <c r="C2" s="25" t="s">
        <v>119</v>
      </c>
      <c r="D2" s="25" t="s">
        <v>628</v>
      </c>
    </row>
    <row r="3" spans="2:4">
      <c r="B3" s="25" t="s">
        <v>61</v>
      </c>
      <c r="C3" s="25" t="s">
        <v>120</v>
      </c>
      <c r="D3" s="25" t="s">
        <v>121</v>
      </c>
    </row>
    <row r="4" spans="2:4">
      <c r="B4" s="25" t="s">
        <v>60</v>
      </c>
      <c r="C4" s="25" t="s">
        <v>629</v>
      </c>
      <c r="D4" s="25" t="s">
        <v>122</v>
      </c>
    </row>
    <row r="5" spans="2:4">
      <c r="B5" s="25" t="s">
        <v>59</v>
      </c>
      <c r="C5" s="25" t="s">
        <v>123</v>
      </c>
      <c r="D5" s="25" t="s">
        <v>124</v>
      </c>
    </row>
    <row r="6" spans="2:4">
      <c r="B6" s="25" t="s">
        <v>125</v>
      </c>
      <c r="C6" s="25" t="s">
        <v>126</v>
      </c>
      <c r="D6" s="25" t="s">
        <v>127</v>
      </c>
    </row>
    <row r="9" spans="2:4">
      <c r="B9" s="25" t="s">
        <v>128</v>
      </c>
      <c r="C9" s="25" t="s">
        <v>129</v>
      </c>
    </row>
    <row r="10" spans="2:4">
      <c r="B10" s="25" t="s">
        <v>130</v>
      </c>
      <c r="C10" s="25" t="s">
        <v>131</v>
      </c>
    </row>
    <row r="11" spans="2:4">
      <c r="B11" s="25" t="s">
        <v>132</v>
      </c>
    </row>
  </sheetData>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3" ma:contentTypeDescription="Create a new document." ma:contentTypeScope="" ma:versionID="a7beaa5f6e22baffa2529baa41d3433e">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9561288880095744e6d0e1508f7d806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element name="MediaServiceLocation" ma:index="20"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66986F7-A01A-4FA5-A8AE-D52101B4CD4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4</vt:i4>
      </vt:variant>
    </vt:vector>
  </HeadingPairs>
  <TitlesOfParts>
    <vt:vector size="37" baseType="lpstr">
      <vt:lpstr>Tools</vt:lpstr>
      <vt:lpstr>FindingsDB</vt:lpstr>
      <vt:lpstr>QuestionsDB</vt:lpstr>
      <vt:lpstr>Sheet1</vt:lpstr>
      <vt:lpstr>Revision</vt:lpstr>
      <vt:lpstr>OpenClose</vt:lpstr>
      <vt:lpstr>tmp</vt:lpstr>
      <vt:lpstr>ou</vt:lpstr>
      <vt:lpstr>ou-gov&amp;ii</vt:lpstr>
      <vt:lpstr>Findings</vt:lpstr>
      <vt:lpstr>Template1</vt:lpstr>
      <vt:lpstr>Template2</vt:lpstr>
      <vt:lpstr>GOV</vt:lpstr>
      <vt:lpstr>II</vt:lpstr>
      <vt:lpstr>CM</vt:lpstr>
      <vt:lpstr>PQA</vt:lpstr>
      <vt:lpstr>MPM</vt:lpstr>
      <vt:lpstr>CAR</vt:lpstr>
      <vt:lpstr>PAD</vt:lpstr>
      <vt:lpstr>EST</vt:lpstr>
      <vt:lpstr>PCM</vt:lpstr>
      <vt:lpstr>OT</vt:lpstr>
      <vt:lpstr>DAR</vt:lpstr>
      <vt:lpstr>MC</vt:lpstr>
      <vt:lpstr>PR</vt:lpstr>
      <vt:lpstr>RSK</vt:lpstr>
      <vt:lpstr>PLAN</vt:lpstr>
      <vt:lpstr>RDM</vt:lpstr>
      <vt:lpstr>PI</vt:lpstr>
      <vt:lpstr>TS</vt:lpstr>
      <vt:lpstr>VV</vt:lpstr>
      <vt:lpstr>SAM</vt:lpstr>
      <vt:lpstr>Tables</vt:lpstr>
      <vt:lpstr>ou!Print_Area</vt:lpstr>
      <vt:lpstr>'ou-gov&amp;ii'!Print_Area</vt:lpstr>
      <vt:lpstr>Tables!tbl_practiceCharacterization</vt:lpstr>
      <vt:lpstr>Tables!tbl_practiceGroupRated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2022-07-10T11:45:59Z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y fmtid="{D5CDD505-2E9C-101B-9397-08002B2CF9AE}" pid="3" name="ICV">
    <vt:lpwstr>E4C5EF75FC594FDDBB27A5DFB0CE29CB</vt:lpwstr>
  </property>
  <property fmtid="{D5CDD505-2E9C-101B-9397-08002B2CF9AE}" pid="4" name="KSOProductBuildVer">
    <vt:lpwstr>2052-11.1.0.11365</vt:lpwstr>
  </property>
</Properties>
</file>