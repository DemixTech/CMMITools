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GitHubRepository\CMMITools\2021-04-12to04-16 (A5) C53517 SoftMARS\2021-04-12to04-16 (A5) C53517 SoftMARS\01_BASEfiles\"/>
    </mc:Choice>
  </mc:AlternateContent>
  <xr:revisionPtr revIDLastSave="0" documentId="13_ncr:1_{3AA35D15-0773-4EA3-B171-60B47FA81958}" xr6:coauthVersionLast="47" xr6:coauthVersionMax="47" xr10:uidLastSave="{00000000-0000-0000-0000-000000000000}"/>
  <bookViews>
    <workbookView xWindow="-19310" yWindow="-80" windowWidth="19420" windowHeight="10300" firstSheet="32" activeTab="42"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state="hidden" r:id="rId27"/>
    <sheet name="ou" sheetId="99" r:id="rId28"/>
    <sheet name="ou-gov&amp;ii" sheetId="100" r:id="rId29"/>
    <sheet name="Findings" sheetId="101" r:id="rId30"/>
    <sheet name="Template1" sheetId="102" r:id="rId31"/>
    <sheet name="Template2" sheetId="103" r:id="rId32"/>
    <sheet name="ATM" sheetId="127" r:id="rId33"/>
    <sheet name="GOV" sheetId="257" r:id="rId34"/>
    <sheet name="II" sheetId="258" r:id="rId35"/>
    <sheet name="CM" sheetId="259" r:id="rId36"/>
    <sheet name="PQA" sheetId="260" r:id="rId37"/>
    <sheet name="MPM" sheetId="261" r:id="rId38"/>
    <sheet name="CAR" sheetId="262" r:id="rId39"/>
    <sheet name="PAD" sheetId="263" r:id="rId40"/>
    <sheet name="EST" sheetId="264" r:id="rId41"/>
    <sheet name="PCM" sheetId="265" r:id="rId42"/>
    <sheet name="OT" sheetId="266" r:id="rId43"/>
    <sheet name="DAR" sheetId="267" r:id="rId44"/>
    <sheet name="MC" sheetId="268" r:id="rId45"/>
    <sheet name="PR" sheetId="269" r:id="rId46"/>
    <sheet name="RSK" sheetId="270" r:id="rId47"/>
    <sheet name="PLAN" sheetId="271" r:id="rId48"/>
    <sheet name="RDM" sheetId="272" r:id="rId49"/>
    <sheet name="PI" sheetId="273" r:id="rId50"/>
    <sheet name="TS" sheetId="274" r:id="rId51"/>
    <sheet name="VV" sheetId="275" r:id="rId52"/>
    <sheet name="SAM" sheetId="276"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ou!$A$1:$W$40</definedName>
    <definedName name="_xlnm.Print_Area" localSheetId="28">'ou-gov&amp;ii'!$A$1:$U$37</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276" l="1"/>
  <c r="G7" i="275"/>
  <c r="G7" i="274"/>
  <c r="G7" i="273"/>
  <c r="G7" i="270"/>
  <c r="G7" i="269"/>
  <c r="G7" i="268"/>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6" i="99"/>
  <c r="J75" i="99"/>
  <c r="J74" i="99"/>
  <c r="C74" i="99"/>
  <c r="J73" i="99"/>
  <c r="C73" i="99"/>
  <c r="J72" i="99"/>
  <c r="J71" i="99"/>
  <c r="J70" i="99"/>
  <c r="J69" i="99"/>
  <c r="C69" i="99"/>
  <c r="V68" i="99"/>
  <c r="O68" i="99"/>
  <c r="M68" i="99"/>
  <c r="J68" i="99"/>
  <c r="G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H61" i="99"/>
  <c r="G61" i="99"/>
  <c r="F61" i="99"/>
  <c r="C61" i="99"/>
  <c r="V60" i="99"/>
  <c r="U60" i="99"/>
  <c r="T60" i="99"/>
  <c r="S60" i="99"/>
  <c r="R60" i="99"/>
  <c r="Q60" i="99"/>
  <c r="P60" i="99"/>
  <c r="O60" i="99"/>
  <c r="N60" i="99"/>
  <c r="M60" i="99"/>
  <c r="L60" i="99"/>
  <c r="K60" i="99"/>
  <c r="J60" i="99"/>
  <c r="I60" i="99"/>
  <c r="H60" i="99"/>
  <c r="G60" i="99"/>
  <c r="F60" i="99"/>
  <c r="E60" i="99"/>
  <c r="C60" i="99"/>
  <c r="V59" i="99"/>
  <c r="U59" i="99"/>
  <c r="T59" i="99"/>
  <c r="S59" i="99"/>
  <c r="R59" i="99"/>
  <c r="Q59" i="99"/>
  <c r="P59" i="99"/>
  <c r="O59" i="99"/>
  <c r="N59" i="99"/>
  <c r="M59" i="99"/>
  <c r="L59" i="99"/>
  <c r="K59" i="99"/>
  <c r="J59" i="99"/>
  <c r="I59" i="99"/>
  <c r="H59" i="99"/>
  <c r="G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H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G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<sst xmlns="http://schemas.openxmlformats.org/spreadsheetml/2006/main" count="4295" uniqueCount="2086">
  <si>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</si>
  <si>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</si>
  <si>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</si>
  <si>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</si>
  <si>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</si>
  <si>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</si>
  <si>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</si>
  <si>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</si>
  <si>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</si>
  <si>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</si>
  <si>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</si>
  <si>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</si>
  <si>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</si>
  <si>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</si>
  <si>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</si>
  <si>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</si>
  <si>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</si>
  <si>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</si>
  <si>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</si>
  <si>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</si>
  <si>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</si>
  <si>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</si>
  <si>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</si>
  <si>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</si>
  <si>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</si>
  <si>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</si>
  <si>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</si>
  <si>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</si>
  <si>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</si>
  <si>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</si>
  <si>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</si>
  <si>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</si>
  <si>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</si>
  <si>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</si>
  <si>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</si>
  <si>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</si>
  <si>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</si>
  <si>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</si>
  <si>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</si>
  <si>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</si>
  <si>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</si>
  <si>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</si>
  <si>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</si>
  <si>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</si>
  <si>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</si>
  <si>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</si>
  <si>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</si>
  <si>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</si>
  <si>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</si>
  <si>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</si>
  <si>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</si>
  <si>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</si>
  <si>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</si>
  <si>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</si>
  <si>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</si>
  <si>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</si>
  <si>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</si>
  <si>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</si>
  <si>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</si>
  <si>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</si>
  <si>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</si>
  <si>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</si>
  <si>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</si>
  <si>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</si>
  <si>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</si>
  <si>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</si>
  <si>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</si>
  <si>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</si>
  <si>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</si>
  <si>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</si>
  <si>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</si>
  <si>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</si>
  <si>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</si>
  <si>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</si>
  <si>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</si>
  <si>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</si>
  <si>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</si>
  <si>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</si>
  <si>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</si>
  <si>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</si>
  <si>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</si>
  <si>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</si>
  <si>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</si>
  <si>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</si>
  <si>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</si>
  <si>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</si>
  <si>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</si>
  <si>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</si>
  <si>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</si>
  <si>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</si>
  <si>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</si>
  <si>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</si>
  <si>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</si>
  <si>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</si>
  <si>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</si>
  <si>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</si>
  <si>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</si>
  <si>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</si>
  <si>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</si>
  <si>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</si>
  <si>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</si>
  <si>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</si>
  <si>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</si>
  <si>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</si>
  <si>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</si>
  <si>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</si>
  <si>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</si>
  <si>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</si>
  <si>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</si>
  <si>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</si>
  <si>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</si>
  <si>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</si>
  <si>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</si>
  <si>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</si>
  <si>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</si>
  <si>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</si>
  <si>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</si>
  <si>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</si>
  <si>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</si>
  <si>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</si>
  <si>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</si>
  <si>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</si>
  <si>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</si>
  <si>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</si>
  <si>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</si>
  <si>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</si>
  <si>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</si>
  <si>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</si>
  <si>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</si>
  <si>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</si>
  <si>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</si>
  <si>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</si>
  <si>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</si>
  <si>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</si>
  <si>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</si>
  <si>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</si>
  <si>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PI 2.6</t>
  </si>
  <si>
    <t>PI 3.1</t>
  </si>
  <si>
    <t>PI 3.2</t>
  </si>
  <si>
    <t>Confirm, prior to integration, that component interfaces or connections comply with interface or connection descriptions.
在集成之前，确认组件地接口或连接符合接口或连接描述</t>
  </si>
  <si>
    <t>PI 3.3</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</si>
  <si>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</si>
  <si>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</si>
  <si>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</si>
  <si>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</si>
  <si>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</si>
  <si>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</si>
  <si>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</si>
  <si>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TS 2.3</t>
  </si>
  <si>
    <t>TS 3.1</t>
  </si>
  <si>
    <t>TS 3.2</t>
  </si>
  <si>
    <t>TS 3.3</t>
  </si>
  <si>
    <t>TS 3.4</t>
  </si>
  <si>
    <t>TS 3.5</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</si>
  <si>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</si>
  <si>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</si>
  <si>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</si>
  <si>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</si>
  <si>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</si>
  <si>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PQA 2.1</t>
  </si>
  <si>
    <t>Develop, keep updated, and follow a quality assurance approach and plan based on historical quality data.
根据历史质量数据开发、持续更新并遵循质量保证方法和计划</t>
  </si>
  <si>
    <t>PQA 2.2</t>
  </si>
  <si>
    <t>PQA 2.3</t>
  </si>
  <si>
    <t>PQA 2.4</t>
  </si>
  <si>
    <t>PQA 3.1</t>
  </si>
  <si>
    <t>PEER REVIEWS</t>
  </si>
  <si>
    <t>Identify and address work product issues through reviews by the producer's peers or Subject Matter Experts (SMEs).</t>
  </si>
  <si>
    <t>Reduce cost and rework by uncovering issues or defects early.</t>
  </si>
  <si>
    <t>PR 1.1</t>
  </si>
  <si>
    <t>PR 2.1</t>
  </si>
  <si>
    <t>PR 2.2</t>
  </si>
  <si>
    <t>PR 2.3</t>
  </si>
  <si>
    <t>- Can you describe the peer review process, how is it performed from preparation to end?
同行评审的既定程序有哪些？请描述</t>
  </si>
  <si>
    <t>PR 2.4</t>
  </si>
  <si>
    <t>PR 3.1</t>
  </si>
  <si>
    <t>REQUIREMENTS DEVELOPMENT AND MANAGEMENT</t>
  </si>
  <si>
    <t>Elicit requirements, ensure common understanding by stakeholders, and align requirements, plans, and work products.</t>
  </si>
  <si>
    <t>Ensures that customer's needs and expectations are satisfied.</t>
  </si>
  <si>
    <t>RDM 1.1</t>
  </si>
  <si>
    <t>RDM 2.1</t>
  </si>
  <si>
    <t>RDM 2.2</t>
  </si>
  <si>
    <t>RDM 2.3</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</si>
  <si>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</si>
  <si>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</si>
  <si>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</si>
  <si>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</si>
  <si>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</si>
  <si>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</si>
  <si>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RDM 3.3</t>
  </si>
  <si>
    <t>- How do you allocate requirements for implementation?
如何分配要落实地需求？</t>
  </si>
  <si>
    <t>RDM 3.4</t>
  </si>
  <si>
    <t>RDM 3.5</t>
  </si>
  <si>
    <t>RDM 3.6</t>
  </si>
  <si>
    <t>- How do you balance stakeholder needs and constraints?
如何在利益相关方地需求和约束条件之间取得平衡？</t>
  </si>
  <si>
    <t>RDM 3.7</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</si>
  <si>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</si>
  <si>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</si>
  <si>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</si>
  <si>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</si>
  <si>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</si>
  <si>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</si>
  <si>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</si>
  <si>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</si>
  <si>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</si>
  <si>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</si>
  <si>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</si>
  <si>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</si>
  <si>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</si>
  <si>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</si>
  <si>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MPM 1.2</t>
  </si>
  <si>
    <t>MPM 2.1</t>
  </si>
  <si>
    <t>- Do you identify your business needs and then derive measurement objectives from it?
会识别相应的业务需求，然后从中得出度量目标吗？</t>
  </si>
  <si>
    <t>MPM 2.2</t>
  </si>
  <si>
    <t>MPM 2.3</t>
  </si>
  <si>
    <t>- Do you collect measurements according to the operation definiens? If yes, please elaborate?
是否根据操作定义收集收集度量项？如果是，请详细说明？</t>
  </si>
  <si>
    <t>MPM 2.4</t>
  </si>
  <si>
    <t>- Do you analyse performance according to the operation definiens? If yes, please elaborate?
您是否根据操作定义分析性能？如果是，请详细说明？</t>
  </si>
  <si>
    <t>MPM 2.5</t>
  </si>
  <si>
    <t>- Do you store measurements and analysis results? If yes, please elaborate?
您是否会存储测量和分析结果？如果是，请详细说明？</t>
  </si>
  <si>
    <t>MPM 2.6</t>
  </si>
  <si>
    <t>MPM 3.1</t>
  </si>
  <si>
    <t>- How are measurement objectives traced to business objectives?
度量目标是如何追溯到业务目标？</t>
  </si>
  <si>
    <t>MPM 3.2</t>
  </si>
  <si>
    <t>MPM 3.3</t>
  </si>
  <si>
    <t>MPM 3.4</t>
  </si>
  <si>
    <t>- Do you have a measurement repository? If yes, what is it used for.
有度量库吗？主要用途是什么。</t>
  </si>
  <si>
    <t>MPM 3.5</t>
  </si>
  <si>
    <t>- How do you analyse organization performance?
如何分析组织性能？</t>
  </si>
  <si>
    <t>MPM 3.6</t>
  </si>
  <si>
    <t>MPM 4.1</t>
  </si>
  <si>
    <t>MPM 4.2</t>
  </si>
  <si>
    <t>MPM 4.3</t>
  </si>
  <si>
    <t>MPM 4.4</t>
  </si>
  <si>
    <t>MPM 4.5</t>
  </si>
  <si>
    <t>MPM 5.1</t>
  </si>
  <si>
    <t>MPM 5.2</t>
  </si>
  <si>
    <t>MPM 5.3</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</si>
  <si>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</si>
  <si>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</si>
  <si>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</si>
  <si>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</si>
  <si>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</si>
  <si>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</si>
  <si>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</si>
  <si>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</si>
  <si>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</si>
  <si>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</si>
  <si>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</si>
  <si>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</si>
  <si>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</si>
  <si>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</si>
  <si>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</si>
  <si>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</si>
  <si>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PCM 1.2</t>
  </si>
  <si>
    <t>PCM 1.3</t>
  </si>
  <si>
    <t>PCM 2.1</t>
  </si>
  <si>
    <t>PCM 2.2</t>
  </si>
  <si>
    <t>PCM 3.1</t>
  </si>
  <si>
    <t>PCM 3.2</t>
  </si>
  <si>
    <t>PCM 3.3</t>
  </si>
  <si>
    <t>PCM 3.4</t>
  </si>
  <si>
    <t>PCM 3.5</t>
  </si>
  <si>
    <t>PCM 3.6</t>
  </si>
  <si>
    <t>PCM 4.1</t>
  </si>
  <si>
    <t>RISK AND OPPORTUNITY MANAGEMENT</t>
  </si>
  <si>
    <t>Identify, record, analyze, and manage potential risks or opportunities.</t>
  </si>
  <si>
    <t>Mitigate adverse impacts or capitalize on positive impacts to increase the likelihood of meeting objectives.</t>
  </si>
  <si>
    <t>RSK 1.1</t>
  </si>
  <si>
    <t>RSK 2.1</t>
  </si>
  <si>
    <t>- How do you analyse identified risks or opportunities?
如何分析已识别地风险或机会</t>
  </si>
  <si>
    <t>RSK 2.2</t>
  </si>
  <si>
    <t>RSK 3.1</t>
  </si>
  <si>
    <t>- Explain how you make use of risk or opportunity categories?
如何使用风险或机会类别？</t>
  </si>
  <si>
    <t>RSK 3.2</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</si>
  <si>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</si>
  <si>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</si>
  <si>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</si>
  <si>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</si>
  <si>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</si>
  <si>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</si>
  <si>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</si>
  <si>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</si>
  <si>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</si>
  <si>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</si>
  <si>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</si>
  <si>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</si>
  <si>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OT 2.2</t>
  </si>
  <si>
    <t>OT 3.1</t>
  </si>
  <si>
    <t>OT 3.2</t>
  </si>
  <si>
    <t>OT 3.3</t>
  </si>
  <si>
    <t>OT 3.4</t>
  </si>
  <si>
    <t>Develop, keep updated, and use a training capability to address organizational training needs.
开发、持续更新并使用培训能力来处理组织的培训需要</t>
  </si>
  <si>
    <t>OT 3.5</t>
  </si>
  <si>
    <t>OT 3.6</t>
  </si>
  <si>
    <t>ESTIMATING</t>
  </si>
  <si>
    <t>EST 1.1</t>
  </si>
  <si>
    <t>EST 2.1</t>
  </si>
  <si>
    <t>EST 2.2</t>
  </si>
  <si>
    <t>EST 2.3</t>
  </si>
  <si>
    <t>EST 3.1</t>
  </si>
  <si>
    <t>- Explain how your estimation method works? Is this estimation method documented (recorded)?
解释一下如何制定并记录估算方法</t>
  </si>
  <si>
    <t>EST 3.2</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</si>
  <si>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</si>
  <si>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</si>
  <si>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</si>
  <si>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</si>
  <si>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</si>
  <si>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</si>
  <si>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</si>
  <si>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</si>
  <si>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</si>
  <si>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</si>
  <si>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</si>
  <si>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</si>
  <si>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Monitor the work environment to identify issues.
监控工作环境以识别问题</t>
  </si>
  <si>
    <t>MC 3.4</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</si>
  <si>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</si>
  <si>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</si>
  <si>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</si>
  <si>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</si>
  <si>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</si>
  <si>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</si>
  <si>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</si>
  <si>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</si>
  <si>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</si>
  <si>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PLAN 2.3</t>
  </si>
  <si>
    <t>PLAN 2.4</t>
  </si>
  <si>
    <t>PLAN 2.5</t>
  </si>
  <si>
    <t>PLAN 2.6</t>
  </si>
  <si>
    <t>PLAN 2.7</t>
  </si>
  <si>
    <t>PLAN 2.8</t>
  </si>
  <si>
    <t>PLAN 3.1</t>
  </si>
  <si>
    <t>PLAN 3.2</t>
  </si>
  <si>
    <t>PLAN 3.3</t>
  </si>
  <si>
    <t>- Explain how you identify and negotiate critical dependencies?
如何识别和协商关键依赖关系？</t>
  </si>
  <si>
    <t>PLAN 3.4</t>
  </si>
  <si>
    <t>PLAN 4.1</t>
  </si>
  <si>
    <t>CAUSAL ANALYSIS AND RESOLUTION</t>
  </si>
  <si>
    <t>CAR 1.1</t>
  </si>
  <si>
    <t>Identify and address causes of selected outcomes.
识别并处理造成选定结果的原因</t>
  </si>
  <si>
    <t>CAR 2.1</t>
  </si>
  <si>
    <t>CAR 2.2</t>
  </si>
  <si>
    <t>CAR 3.1</t>
  </si>
  <si>
    <t>CAR 3.2</t>
  </si>
  <si>
    <t>CAR 3.3</t>
  </si>
  <si>
    <t>CAR 3.4</t>
  </si>
  <si>
    <t>CAR 3.5</t>
  </si>
  <si>
    <t>CAR 4.1</t>
  </si>
  <si>
    <t>Perform root cause analysis of selected outcomes using statistical and other quantitative techniques.
使用统计的与其他量化的技术对选定结果进行根本原因分析</t>
  </si>
  <si>
    <t>CAR 4.2</t>
  </si>
  <si>
    <t>CAR 5.1</t>
  </si>
  <si>
    <t>CONFIGURATION MANAGEMENT</t>
  </si>
  <si>
    <t>CM 1.1</t>
  </si>
  <si>
    <t>- Describe how you perform version control.
'请描述一下是如何执行版本控制的？</t>
  </si>
  <si>
    <t>CM 2.1</t>
  </si>
  <si>
    <t>Identify items to be placed under configuration management.
识别将置于配置管理下的配置项</t>
  </si>
  <si>
    <t>CM 2.2</t>
  </si>
  <si>
    <t>CM 2.3</t>
  </si>
  <si>
    <t>CM 2.4</t>
  </si>
  <si>
    <t>CM 2.5</t>
  </si>
  <si>
    <t>CM 2.6</t>
  </si>
  <si>
    <t>DECISION ANALYSIS AND RESOLUTION</t>
  </si>
  <si>
    <t>DAR 1.1</t>
  </si>
  <si>
    <t>DAR 1.2</t>
  </si>
  <si>
    <t>DAR 2.1</t>
  </si>
  <si>
    <t>DAR 2.2</t>
  </si>
  <si>
    <t>DAR 2.3</t>
  </si>
  <si>
    <t>DAR 2.4</t>
  </si>
  <si>
    <t>DAR 2.5</t>
  </si>
  <si>
    <t>DAR 3.1</t>
  </si>
  <si>
    <t>IMPLEMENTATION INFRASTRUCTURE</t>
  </si>
  <si>
    <t>II 1.1</t>
  </si>
  <si>
    <t>- Do you follow process? How can this be shown?
'遵循相应的过程了嘛？如何体现？</t>
  </si>
  <si>
    <t>II 2.1</t>
  </si>
  <si>
    <t>- Engineering Process Group
工程过程组</t>
  </si>
  <si>
    <t>II 2.2</t>
  </si>
  <si>
    <t>II 3.1</t>
  </si>
  <si>
    <t>II 3.2</t>
  </si>
  <si>
    <t>Evaluate the adherence to and effectiveness of the organizational processes.
评估组织过程的符合性和有效性</t>
  </si>
  <si>
    <t>II 3.3</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</si>
  <si>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</si>
  <si>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</si>
  <si>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</si>
  <si>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</si>
  <si>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</si>
  <si>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</si>
  <si>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GOV 2.4</t>
  </si>
  <si>
    <t>Senior management holds people accountable for adhering to organization directives and achieving process implementation and improvement objectives.
高级管理层督促员工遵守组织级的方针并实现过程实施和改进的目标</t>
  </si>
  <si>
    <t>GOV 3.1</t>
  </si>
  <si>
    <t>GOV 3.2</t>
  </si>
  <si>
    <t>GOV 4.1</t>
  </si>
  <si>
    <t>RDM, TS, PI, VV, PR, CM, EST, PLAN, MC, RSK, PCM, PAD, MPM, CAR, OT, PQA, DAR, GOV, II</t>
  </si>
  <si>
    <t>PAs:</t>
  </si>
  <si>
    <t>ID</t>
  </si>
  <si>
    <t>PAxy</t>
  </si>
  <si>
    <t>FindingChinese</t>
  </si>
  <si>
    <t>ReviewedBy</t>
  </si>
  <si>
    <t>FindingType</t>
  </si>
  <si>
    <t>Update/Add/Delete</t>
  </si>
  <si>
    <t>FindingEnglish</t>
  </si>
  <si>
    <t>https://www.whatismyip.com/</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</si>
  <si>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</si>
  <si>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</si>
  <si>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</si>
  <si>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</si>
  <si>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</si>
  <si>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</si>
  <si>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</si>
  <si>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</si>
  <si>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</si>
  <si>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</si>
  <si>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</si>
  <si>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</si>
  <si>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</si>
  <si>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</si>
  <si>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</si>
  <si>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</si>
  <si>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</si>
  <si>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</si>
  <si>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</si>
  <si>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</si>
  <si>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</si>
  <si>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</si>
  <si>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Ensures that processes, infrastructure, and their improvement contribute to successfully meeting business objectives.</t>
  </si>
  <si>
    <t>Review and keep updated interface or connection descriptions for coverage, completeness, and consistency throughout the solution's life.
在整个解决方案地生命周期中，评审并持续更新接口或连接描述地覆盖范围、完整性和一致性</t>
  </si>
  <si>
    <t>https://docs.microsoft.com/en-us/sql/connect/oledb/download-oledb-driver-for-sql-server?view=sql-server-ver15</t>
  </si>
  <si>
    <t>https://go.microsoft.com/fwlink/?linkid=866658</t>
  </si>
  <si>
    <t>NOTE: KEEP SPACE BETWEEN PA AND x.y, for example CAR 1.1 (NOT CAR1.1)</t>
  </si>
  <si>
    <t>Search string &gt;&gt;</t>
  </si>
  <si>
    <t>ATM</t>
  </si>
  <si>
    <t>email</t>
  </si>
  <si>
    <t>Sponsor detail</t>
  </si>
  <si>
    <t>OU Coordinator</t>
  </si>
  <si>
    <t>Registered Interpreter</t>
  </si>
  <si>
    <t>Lead appraiser</t>
  </si>
  <si>
    <t>x</t>
  </si>
  <si>
    <t>Appraisal team member</t>
  </si>
  <si>
    <t>Objective evidence done</t>
  </si>
  <si>
    <t>Affirmation done</t>
  </si>
  <si>
    <t xml:space="preserve">Characterisation  </t>
  </si>
  <si>
    <t>OU Characterisation done</t>
  </si>
  <si>
    <t>Manage the integrity of work products using configuration identification, version control, change control, and audits.</t>
  </si>
  <si>
    <t>FirstSort</t>
  </si>
  <si>
    <t>SecondSort</t>
  </si>
  <si>
    <t>QuestionEnglish</t>
  </si>
  <si>
    <t>QuestionChinese</t>
  </si>
  <si>
    <t>ExpectedAnswerEnglish</t>
  </si>
  <si>
    <t>What process improvement actions are followed to implement identified improvements?</t>
  </si>
  <si>
    <t>How do you prioritise your process improvements?</t>
  </si>
  <si>
    <t>What support is provided for implementing and deploying new process improvements?</t>
  </si>
  <si>
    <t>How are organisational standard processes and process assets deployed?</t>
  </si>
  <si>
    <t>\PAs</t>
  </si>
  <si>
    <t>Name</t>
  </si>
  <si>
    <t>Provides a cost effective design and solution that meets customer requirements and reduces rework.</t>
  </si>
  <si>
    <t>PROCESS ASSET DEVELOPMENT</t>
  </si>
  <si>
    <t xml:space="preserve">Reduces loss of work and increases the ability to deliver the correct version of the solution to the customer. </t>
  </si>
  <si>
    <t>Intent</t>
  </si>
  <si>
    <t>Value</t>
  </si>
  <si>
    <t>- PQA reports stored</t>
  </si>
  <si>
    <t>- PQA reports stored under CM</t>
  </si>
  <si>
    <t>- Identify quality trends and register improvements or training needs based on them</t>
  </si>
  <si>
    <t>- Performance measurements.</t>
  </si>
  <si>
    <t>- Collect "available" data and distribute performance reprots.</t>
  </si>
  <si>
    <t>- Performance issue analysis</t>
  </si>
  <si>
    <t>- Identify performance issues.</t>
  </si>
  <si>
    <t>- Measurement database</t>
  </si>
  <si>
    <t>- Collecting measurements</t>
  </si>
  <si>
    <t>- Measurement reports according to GQIM sheet</t>
  </si>
  <si>
    <t>- Analysing measurements</t>
  </si>
  <si>
    <t>- Measurement repository</t>
  </si>
  <si>
    <t>- Storing measurement, reports and analysis</t>
  </si>
  <si>
    <t>- Corrective actions</t>
  </si>
  <si>
    <t>- Take corrective action on measurement results as appropriate</t>
  </si>
  <si>
    <t>- Measurements process</t>
  </si>
  <si>
    <t>- Data quality checks (within Measurements process)</t>
  </si>
  <si>
    <t>- Process improvements based on measurement analysis reports</t>
  </si>
  <si>
    <t>- Defined QPPOs traced to business objectives</t>
  </si>
  <si>
    <t>- GQIM sheets that specify the QPPOs and its associated analytical techniques</t>
  </si>
  <si>
    <t>- Process Performance Baselines</t>
  </si>
  <si>
    <t>- Process Performance Models</t>
  </si>
  <si>
    <t>- Revised business objectives  based on QPPO achievements</t>
  </si>
  <si>
    <t>- Revised PPB and PPM results based on improvements incorporated</t>
  </si>
  <si>
    <t>- Evaluate improvement proposals based on its potential to achieve or improve QPPOs towards business objectives</t>
  </si>
  <si>
    <t>- Any process assets</t>
  </si>
  <si>
    <t>- Perform some form of process engineering</t>
  </si>
  <si>
    <t>- Processes and process template library on GitHub, SVN, Drobox or SharePoint</t>
  </si>
  <si>
    <t>- Process Engineering Steering committee meetings</t>
  </si>
  <si>
    <t>- EPG structure</t>
  </si>
  <si>
    <t>- EPG developing processes</t>
  </si>
  <si>
    <t>- Appraisal report</t>
  </si>
  <si>
    <t>- Process improvement register</t>
  </si>
  <si>
    <t>- Subset of proposed improvements from the full list of suggested (identified) improvements.</t>
  </si>
  <si>
    <t>- Evaluate improvements to select most promising improvements</t>
  </si>
  <si>
    <t>- Process improvement action plan (implementation plan)</t>
  </si>
  <si>
    <t>- Business objective traced to process improvement objectives</t>
  </si>
  <si>
    <t>- Process improvement value assessment</t>
  </si>
  <si>
    <t>- Identify major process improvements and their potential contribution to business objectives</t>
  </si>
  <si>
    <t>- Evaluation results of new processes, techniques, methods or tools</t>
  </si>
  <si>
    <t>- Released process asset library</t>
  </si>
  <si>
    <t>- Develop a transition plan for projects to manage the deployment of new process releases</t>
  </si>
  <si>
    <t>- Process release effectiveness assessment against business objectives</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</si>
  <si>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</si>
  <si>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</si>
  <si>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Make high level estimates of work effort, cost or duration</t>
  </si>
  <si>
    <t>- Work scoping session</t>
  </si>
  <si>
    <t>- Work package size estimates</t>
  </si>
  <si>
    <t>- Size the work packages</t>
  </si>
  <si>
    <t>- Use historical measurements and the size estimates to determine effort, duration or cost estimates</t>
  </si>
  <si>
    <t>- Estimation algorithm (or method)</t>
  </si>
  <si>
    <t>- Minutes with issues identified</t>
  </si>
  <si>
    <t>- Meeting attendance registers</t>
  </si>
  <si>
    <t>- Reports showing thresholds exceeded (planned versus actual)</t>
  </si>
  <si>
    <t>- Set thresholds for when corrective actions must be taken</t>
  </si>
  <si>
    <t>- Using the tailroing guidliens, develop a project plan for the project from the orgnaisaitonal set of standard process assets</t>
  </si>
  <si>
    <t>- What procesess do you use for manaign the projects?</t>
  </si>
  <si>
    <t>- Identified critical dependencies in the project plan and schedule</t>
  </si>
  <si>
    <t>- Minutes of actions to address work environments issues</t>
  </si>
  <si>
    <t>- Relevant stakeholder meeting minutes</t>
  </si>
  <si>
    <t>- Lost of actions identified to address causes</t>
  </si>
  <si>
    <t>- Identified actions to address causes</t>
  </si>
  <si>
    <t>- Prioritise actions based on benefits</t>
  </si>
  <si>
    <t>- How do you select actions proposals to address identified causes?</t>
  </si>
  <si>
    <t>- Root cause analysis records</t>
  </si>
  <si>
    <t>- Root cause analysis data is recorded and distributed</t>
  </si>
  <si>
    <t>- Control chart signal detection rules</t>
  </si>
  <si>
    <t>- Use of control charts to identify signals for root cause analysis</t>
  </si>
  <si>
    <t>- Projects process performance objective before the action proposal and after the action proposal.</t>
  </si>
  <si>
    <t>- Process control charts before and after root cause action proposal has been taken</t>
  </si>
  <si>
    <t>- Version management system (example GitHub)</t>
  </si>
  <si>
    <t>- Configuration Management plan listing items to put under CM</t>
  </si>
  <si>
    <t>- Develop and maintain a configuration management plan</t>
  </si>
  <si>
    <t>- Configuration Management System</t>
  </si>
  <si>
    <t>- Establish and maintain a configuration management system</t>
  </si>
  <si>
    <t>- CCB minutes</t>
  </si>
  <si>
    <t>- Establish and maintain configuration change histories on configuration items</t>
  </si>
  <si>
    <t>- Configuration audit reports</t>
  </si>
  <si>
    <t>- Perform configuration audits on configuration items, configuration baselines and configuration releases</t>
  </si>
  <si>
    <t>- Invoice approval limits based on management level</t>
  </si>
  <si>
    <t>- Process documentation</t>
  </si>
  <si>
    <t>- Write processes</t>
  </si>
  <si>
    <t>- Senior management makes training resources (budget, tools, staff) available to support process training</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</si>
  <si>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</si>
  <si>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 Improvement incentives, rewards and recognition for process "champions"</t>
  </si>
  <si>
    <t>- Make resources available for measurement activities</t>
  </si>
  <si>
    <t>- Develop measurement competencies</t>
  </si>
  <si>
    <t>atm to complete</t>
  </si>
  <si>
    <t>TS - TECHNICAL SOLUTION (TS)</t>
  </si>
  <si>
    <t>Provides a cost-effective design and solution that meets customer requirements and reduces rework.</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</si>
  <si>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</si>
  <si>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</si>
  <si>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</si>
  <si>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</si>
  <si>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</si>
  <si>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</si>
  <si>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</si>
  <si>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</si>
  <si>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</si>
  <si>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</si>
  <si>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</si>
  <si>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</si>
  <si>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</si>
  <si>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</si>
  <si>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</si>
  <si>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</si>
  <si>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</si>
  <si>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</si>
  <si>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</si>
  <si>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</si>
  <si>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</si>
  <si>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</si>
  <si>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</si>
  <si>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</si>
  <si>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</si>
  <si>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</si>
  <si>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</si>
  <si>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</si>
  <si>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</si>
  <si>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</si>
  <si>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</si>
  <si>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</si>
  <si>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</si>
  <si>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</si>
  <si>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</si>
  <si>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</si>
  <si>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</si>
  <si>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</si>
  <si>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</si>
  <si>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</si>
  <si>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</si>
  <si>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</si>
  <si>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</si>
  <si>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</si>
  <si>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</si>
  <si>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</si>
  <si>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</si>
  <si>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</si>
  <si>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</si>
  <si>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</si>
  <si>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</si>
  <si>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</si>
  <si>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</si>
  <si>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</si>
  <si>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PI - PRODUCT INTEGRATION (PI)</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</si>
  <si>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</si>
  <si>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</si>
  <si>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</si>
  <si>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</si>
  <si>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</si>
  <si>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</si>
  <si>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</si>
  <si>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</si>
  <si>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</si>
  <si>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</si>
  <si>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</si>
  <si>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</si>
  <si>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</si>
  <si>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</si>
  <si>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</si>
  <si>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</si>
  <si>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</si>
  <si>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</si>
  <si>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</si>
  <si>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</si>
  <si>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</si>
  <si>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</si>
  <si>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</si>
  <si>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</si>
  <si>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</si>
  <si>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</si>
  <si>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</si>
  <si>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</si>
  <si>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</si>
  <si>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</si>
  <si>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</si>
  <si>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</si>
  <si>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</si>
  <si>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</si>
  <si>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</si>
  <si>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</si>
  <si>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</si>
  <si>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</si>
  <si>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</si>
  <si>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</si>
  <si>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</si>
  <si>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</si>
  <si>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</si>
  <si>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</si>
  <si>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</si>
  <si>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</si>
  <si>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</si>
  <si>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</si>
  <si>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 -PEER REVIEWS (PR)</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</si>
  <si>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</si>
  <si>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</si>
  <si>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</si>
  <si>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</si>
  <si>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</si>
  <si>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</si>
  <si>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</si>
  <si>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</si>
  <si>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</si>
  <si>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</si>
  <si>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</si>
  <si>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</si>
  <si>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</si>
  <si>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</si>
  <si>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</si>
  <si>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</si>
  <si>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</si>
  <si>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</si>
  <si>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</si>
  <si>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</si>
  <si>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</si>
  <si>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</si>
  <si>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</si>
  <si>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</si>
  <si>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</si>
  <si>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</si>
  <si>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</si>
  <si>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</si>
  <si>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</si>
  <si>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</si>
  <si>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</si>
  <si>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</si>
  <si>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</si>
  <si>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</si>
  <si>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</si>
  <si>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</si>
  <si>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</si>
  <si>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</si>
  <si>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</si>
  <si>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</si>
  <si>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</si>
  <si>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</si>
  <si>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</si>
  <si>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</si>
  <si>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</si>
  <si>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</si>
  <si>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</si>
  <si>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</si>
  <si>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</si>
  <si>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</si>
  <si>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</si>
  <si>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</si>
  <si>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</si>
  <si>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</si>
  <si>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</si>
  <si>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</si>
  <si>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</si>
  <si>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</si>
  <si>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</si>
  <si>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</si>
  <si>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</si>
  <si>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</si>
  <si>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</si>
  <si>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</si>
  <si>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</si>
  <si>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</si>
  <si>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</si>
  <si>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</si>
  <si>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</si>
  <si>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</si>
  <si>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</si>
  <si>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</si>
  <si>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</si>
  <si>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</si>
  <si>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</si>
  <si>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</si>
  <si>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</si>
  <si>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</si>
  <si>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</si>
  <si>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</si>
  <si>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</si>
  <si>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</si>
  <si>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</si>
  <si>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</si>
  <si>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</si>
  <si>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</si>
  <si>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</si>
  <si>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</si>
  <si>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</si>
  <si>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</si>
  <si>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</si>
  <si>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</si>
  <si>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</si>
  <si>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</si>
  <si>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</si>
  <si>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</si>
  <si>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</si>
  <si>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</si>
  <si>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</si>
  <si>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</si>
  <si>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</si>
  <si>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</si>
  <si>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</si>
  <si>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</si>
  <si>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</si>
  <si>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</si>
  <si>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</si>
  <si>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</si>
  <si>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</si>
  <si>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</si>
  <si>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</si>
  <si>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</si>
  <si>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</si>
  <si>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</si>
  <si>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</si>
  <si>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</si>
  <si>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</si>
  <si>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</si>
  <si>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</si>
  <si>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</si>
  <si>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</si>
  <si>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</si>
  <si>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</si>
  <si>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</si>
  <si>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</si>
  <si>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</si>
  <si>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</si>
  <si>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</si>
  <si>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</si>
  <si>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</si>
  <si>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</si>
  <si>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</si>
  <si>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</si>
  <si>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</si>
  <si>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</si>
  <si>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</si>
  <si>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</si>
  <si>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</si>
  <si>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</si>
  <si>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</si>
  <si>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</si>
  <si>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</si>
  <si>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</si>
  <si>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</si>
  <si>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</si>
  <si>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</si>
  <si>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</si>
  <si>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</si>
  <si>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</si>
  <si>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</si>
  <si>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</si>
  <si>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</si>
  <si>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</si>
  <si>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</si>
  <si>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</si>
  <si>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</si>
  <si>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</si>
  <si>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</si>
  <si>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</si>
  <si>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</si>
  <si>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</si>
  <si>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</si>
  <si>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use measurement and analysis to control/ stabilise/ predict/ identify and reduce variance; set QPPOs to meet Bos</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</si>
  <si>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</si>
  <si>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</si>
  <si>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</si>
  <si>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</si>
  <si>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</si>
  <si>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</si>
  <si>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</si>
  <si>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</si>
  <si>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</si>
  <si>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</si>
  <si>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</si>
  <si>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</si>
  <si>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</si>
  <si>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</si>
  <si>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</si>
  <si>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</si>
  <si>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</si>
  <si>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</si>
  <si>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</si>
  <si>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</si>
  <si>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</si>
  <si>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</si>
  <si>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</si>
  <si>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</si>
  <si>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</si>
  <si>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</si>
  <si>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</si>
  <si>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</si>
  <si>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</si>
  <si>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</si>
  <si>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</si>
  <si>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</si>
  <si>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</si>
  <si>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</si>
  <si>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</si>
  <si>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</si>
  <si>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</si>
  <si>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</si>
  <si>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</si>
  <si>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</si>
  <si>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Explain how you link your process improvements to business objectives?</t>
  </si>
  <si>
    <t>How do you evaluate potential new improvements opportunities. 
Improvements include new processes, techniques, methods and tools?</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</si>
  <si>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</si>
  <si>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</si>
  <si>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</si>
  <si>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</si>
  <si>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</si>
  <si>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</si>
  <si>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</si>
  <si>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</si>
  <si>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</si>
  <si>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</si>
  <si>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</si>
  <si>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</si>
  <si>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</si>
  <si>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</si>
  <si>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</si>
  <si>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</si>
  <si>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</si>
  <si>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</si>
  <si>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</si>
  <si>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</si>
  <si>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</si>
  <si>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</si>
  <si>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</si>
  <si>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</si>
  <si>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</si>
  <si>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</si>
  <si>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</si>
  <si>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</si>
  <si>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</si>
  <si>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</si>
  <si>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</si>
  <si>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</si>
  <si>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</si>
  <si>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</si>
  <si>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</si>
  <si>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</si>
  <si>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</si>
  <si>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</si>
  <si>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</si>
  <si>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</si>
  <si>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</si>
  <si>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</si>
  <si>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</si>
  <si>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</si>
  <si>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</si>
  <si>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</si>
  <si>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</si>
  <si>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</si>
  <si>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</si>
  <si>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</si>
  <si>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</si>
  <si>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</si>
  <si>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</si>
  <si>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</si>
  <si>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</si>
  <si>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</si>
  <si>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</si>
  <si>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</si>
  <si>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</si>
  <si>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</si>
  <si>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</si>
  <si>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</si>
  <si>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</si>
  <si>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</si>
  <si>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use stat. analysis to optimise performance and improvement to achieve the QPPO's, business objectives and strategy</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</si>
  <si>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</si>
  <si>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</si>
  <si>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</si>
  <si>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</si>
  <si>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</si>
  <si>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</si>
  <si>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</si>
  <si>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</si>
  <si>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</si>
  <si>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</si>
  <si>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</si>
  <si>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</si>
  <si>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</si>
  <si>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</si>
  <si>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</si>
  <si>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</si>
  <si>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</si>
  <si>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</si>
  <si>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</si>
  <si>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</si>
  <si>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</si>
  <si>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</si>
  <si>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</si>
  <si>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</si>
  <si>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</si>
  <si>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</si>
  <si>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</si>
  <si>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</si>
  <si>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</si>
  <si>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</si>
  <si>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</si>
  <si>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</si>
  <si>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</si>
  <si>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</si>
  <si>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</si>
  <si>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</si>
  <si>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</si>
  <si>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</si>
  <si>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</si>
  <si>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</si>
  <si>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</si>
  <si>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</si>
  <si>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</si>
  <si>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</si>
  <si>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</si>
  <si>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</si>
  <si>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</si>
  <si>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</si>
  <si>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</si>
  <si>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</si>
  <si>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</si>
  <si>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</si>
  <si>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</si>
  <si>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</si>
  <si>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</si>
  <si>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</si>
  <si>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</si>
  <si>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</si>
  <si>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</si>
  <si>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</si>
  <si>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</si>
  <si>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</si>
  <si>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</si>
  <si>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</si>
  <si>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</si>
  <si>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</si>
  <si>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</si>
  <si>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</si>
  <si>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</si>
  <si>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</si>
  <si>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</si>
  <si>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</si>
  <si>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</si>
  <si>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</si>
  <si>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</si>
  <si>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</si>
  <si>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</si>
  <si>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</si>
  <si>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</si>
  <si>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</si>
  <si>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</si>
  <si>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</si>
  <si>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</si>
  <si>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</si>
  <si>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</si>
  <si>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</si>
  <si>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</si>
  <si>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</si>
  <si>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</si>
  <si>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</si>
  <si>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</si>
  <si>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</si>
  <si>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</si>
  <si>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</si>
  <si>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</si>
  <si>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</si>
  <si>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</si>
  <si>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</si>
  <si>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</si>
  <si>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</si>
  <si>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</si>
  <si>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</si>
  <si>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</si>
  <si>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</si>
  <si>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</si>
  <si>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</si>
  <si>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</si>
  <si>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</si>
  <si>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</si>
  <si>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</si>
  <si>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</si>
  <si>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</si>
  <si>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</si>
  <si>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</si>
  <si>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</si>
  <si>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</si>
  <si>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</si>
  <si>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</si>
  <si>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</si>
  <si>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</si>
  <si>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</si>
  <si>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</si>
  <si>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</si>
  <si>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</si>
  <si>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</si>
  <si>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</si>
  <si>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</si>
  <si>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</si>
  <si>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</si>
  <si>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</si>
  <si>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</si>
  <si>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</si>
  <si>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</si>
  <si>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</si>
  <si>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</si>
  <si>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</si>
  <si>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</si>
  <si>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</si>
  <si>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</si>
  <si>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</si>
  <si>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</si>
  <si>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</si>
  <si>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</si>
  <si>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</si>
  <si>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</si>
  <si>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</si>
  <si>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</si>
  <si>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</si>
  <si>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</si>
  <si>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</si>
  <si>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</si>
  <si>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</si>
  <si>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</si>
  <si>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</si>
  <si>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</si>
  <si>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</si>
  <si>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</si>
  <si>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</si>
  <si>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</si>
  <si>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</si>
  <si>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</si>
  <si>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</si>
  <si>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</si>
  <si>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</si>
  <si>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</si>
  <si>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</si>
  <si>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</si>
  <si>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</si>
  <si>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</si>
  <si>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</si>
  <si>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</si>
  <si>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</si>
  <si>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</si>
  <si>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</si>
  <si>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</si>
  <si>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</si>
  <si>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</si>
  <si>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</si>
  <si>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</si>
  <si>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</si>
  <si>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</si>
  <si>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</si>
  <si>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</si>
  <si>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</si>
  <si>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</si>
  <si>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</si>
  <si>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</si>
  <si>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</si>
  <si>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</si>
  <si>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</si>
  <si>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</si>
  <si>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</si>
  <si>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</si>
  <si>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</si>
  <si>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</si>
  <si>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</si>
  <si>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</si>
  <si>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</si>
  <si>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</si>
  <si>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</si>
  <si>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</si>
  <si>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</si>
  <si>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</si>
  <si>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</si>
  <si>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</si>
  <si>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</si>
  <si>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</si>
  <si>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</si>
  <si>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</si>
  <si>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</si>
  <si>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</si>
  <si>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</si>
  <si>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</si>
  <si>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</si>
  <si>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</si>
  <si>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</si>
  <si>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</si>
  <si>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</si>
  <si>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</si>
  <si>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</si>
  <si>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</si>
  <si>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</si>
  <si>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</si>
  <si>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</si>
  <si>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</si>
  <si>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</si>
  <si>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</si>
  <si>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</si>
  <si>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</si>
  <si>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</si>
  <si>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</si>
  <si>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</si>
  <si>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</si>
  <si>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</si>
  <si>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</si>
  <si>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</si>
  <si>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</si>
  <si>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</si>
  <si>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</si>
  <si>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</si>
  <si>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</si>
  <si>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</si>
  <si>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</si>
  <si>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</si>
  <si>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</si>
  <si>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</si>
  <si>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</si>
  <si>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</si>
  <si>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</si>
  <si>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</si>
  <si>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</si>
  <si>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</si>
  <si>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</si>
  <si>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</si>
  <si>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</si>
  <si>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</si>
  <si>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</si>
  <si>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</si>
  <si>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</si>
  <si>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</si>
  <si>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</si>
  <si>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</si>
  <si>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</si>
  <si>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</si>
  <si>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</si>
  <si>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</si>
  <si>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</si>
  <si>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</si>
  <si>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</si>
  <si>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</si>
  <si>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</si>
  <si>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</si>
  <si>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</si>
  <si>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</si>
  <si>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</si>
  <si>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</si>
  <si>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</si>
  <si>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</si>
  <si>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</si>
  <si>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</si>
  <si>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</si>
  <si>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</si>
  <si>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</si>
  <si>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</si>
  <si>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</si>
  <si>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</si>
  <si>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</si>
  <si>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</si>
  <si>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</si>
  <si>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</si>
  <si>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</si>
  <si>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</si>
  <si>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</si>
  <si>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</si>
  <si>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</si>
  <si>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</si>
  <si>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</si>
  <si>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</si>
  <si>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</si>
  <si>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</si>
  <si>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</si>
  <si>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</si>
  <si>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</si>
  <si>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</si>
  <si>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</si>
  <si>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</si>
  <si>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</si>
  <si>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</si>
  <si>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</si>
  <si>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</si>
  <si>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</si>
  <si>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</si>
  <si>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</si>
  <si>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</si>
  <si>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</si>
  <si>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</si>
  <si>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</si>
  <si>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</si>
  <si>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</si>
  <si>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</si>
  <si>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</si>
  <si>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</si>
  <si>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</si>
  <si>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</si>
  <si>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</si>
  <si>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</si>
  <si>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</si>
  <si>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</si>
  <si>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</si>
  <si>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</si>
  <si>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</si>
  <si>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</si>
  <si>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</si>
  <si>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</si>
  <si>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</si>
  <si>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</si>
  <si>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</si>
  <si>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</si>
  <si>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</si>
  <si>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</si>
  <si>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</si>
  <si>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</si>
  <si>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17" type="noConversion"/>
  </si>
  <si>
    <t xml:space="preserve">Identify causes of selected outcomes and take action to either prevent recurrence of undesirable outcomes or ensure recurrence of positive outcomes. </t>
    <phoneticPr fontId="17" type="noConversion"/>
  </si>
  <si>
    <t>Value</t>
    <phoneticPr fontId="17" type="noConversion"/>
  </si>
  <si>
    <t>Addressing root cause issues eliminates rework and directly improves quality and productivity.</t>
    <phoneticPr fontId="17" type="noConversion"/>
  </si>
  <si>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</si>
  <si>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</si>
  <si>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</si>
  <si>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</si>
  <si>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</si>
  <si>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</si>
  <si>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</si>
  <si>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</si>
  <si>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</si>
  <si>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</si>
  <si>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</si>
  <si>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</si>
  <si>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</si>
  <si>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</si>
  <si>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</si>
  <si>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</si>
  <si>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</si>
  <si>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</si>
  <si>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</si>
  <si>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</si>
  <si>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</si>
  <si>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</si>
  <si>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</si>
  <si>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</si>
  <si>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</si>
  <si>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</si>
  <si>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</si>
  <si>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</si>
  <si>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</si>
  <si>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</si>
  <si>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</si>
  <si>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</si>
  <si>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</si>
  <si>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</si>
  <si>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</si>
  <si>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</si>
  <si>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</si>
  <si>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</si>
  <si>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</si>
  <si>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</si>
  <si>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</si>
  <si>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</si>
  <si>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</si>
  <si>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</si>
  <si>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</si>
  <si>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</si>
  <si>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</si>
  <si>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</si>
  <si>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</si>
  <si>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</si>
  <si>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</si>
  <si>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17" type="noConversion"/>
  </si>
  <si>
    <t xml:space="preserve">Make and record decisions using a recorded process that analyzes alternatives. </t>
    <phoneticPr fontId="17" type="noConversion"/>
  </si>
  <si>
    <t xml:space="preserve">Increases the objectivity of decision making and the probability of selecting the optimal solution. </t>
    <phoneticPr fontId="17" type="noConversion"/>
  </si>
  <si>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</si>
  <si>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</si>
  <si>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</si>
  <si>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</si>
  <si>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</si>
  <si>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</si>
  <si>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</si>
  <si>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</si>
  <si>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</si>
  <si>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</si>
  <si>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</si>
  <si>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</si>
  <si>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</si>
  <si>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</si>
  <si>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</si>
  <si>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</si>
  <si>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</si>
  <si>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</si>
  <si>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</si>
  <si>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</si>
  <si>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</si>
  <si>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</si>
  <si>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</si>
  <si>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</si>
  <si>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</si>
  <si>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</si>
  <si>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</si>
  <si>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</si>
  <si>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</si>
  <si>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</si>
  <si>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</si>
  <si>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</si>
  <si>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</si>
  <si>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</si>
  <si>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</si>
  <si>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</si>
  <si>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</si>
  <si>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</si>
  <si>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</si>
  <si>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</si>
  <si>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</si>
  <si>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</si>
  <si>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</si>
  <si>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</si>
  <si>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</si>
  <si>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</si>
  <si>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</si>
  <si>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</si>
  <si>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</si>
  <si>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</si>
  <si>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</si>
  <si>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</si>
  <si>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</si>
  <si>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</si>
  <si>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</si>
  <si>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</si>
  <si>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</si>
  <si>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</si>
  <si>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</si>
  <si>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</si>
  <si>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</si>
  <si>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</si>
  <si>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</si>
  <si>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</si>
  <si>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</si>
  <si>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</si>
  <si>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</si>
  <si>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</si>
  <si>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</si>
  <si>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</si>
  <si>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</si>
  <si>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</si>
  <si>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</si>
  <si>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</si>
  <si>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</si>
  <si>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</si>
  <si>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17" type="noConversion"/>
  </si>
  <si>
    <t xml:space="preserve">Sustains the ability to consistently achieve goals and objectives efficiently and effectively. </t>
    <phoneticPr fontId="17" type="noConversion"/>
  </si>
  <si>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</si>
  <si>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</si>
  <si>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</si>
  <si>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</si>
  <si>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</si>
  <si>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</si>
  <si>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</si>
  <si>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</si>
  <si>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</si>
  <si>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</si>
  <si>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</si>
  <si>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</si>
  <si>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</si>
  <si>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</si>
  <si>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</si>
  <si>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</si>
  <si>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</si>
  <si>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</si>
  <si>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</si>
  <si>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</si>
  <si>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</si>
  <si>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</si>
  <si>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</si>
  <si>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</si>
  <si>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</si>
  <si>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</si>
  <si>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</si>
  <si>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</si>
  <si>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</si>
  <si>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</si>
  <si>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</si>
  <si>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</si>
  <si>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</si>
  <si>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Intent </t>
    <phoneticPr fontId="17" type="noConversion"/>
  </si>
  <si>
    <t xml:space="preserve">Provides guidance to senior management on their role in the sponsorship and governance of process activities. </t>
    <phoneticPr fontId="17" type="noConversion"/>
  </si>
  <si>
    <t xml:space="preserve">Value </t>
    <phoneticPr fontId="17" type="noConversion"/>
  </si>
  <si>
    <t xml:space="preserve">Minimizes the cost of process implementation, increases the likelihood of meeting objectives, and ensures that the implemented processes support and contribute to the success of the business. </t>
    <phoneticPr fontId="17" type="noConversion"/>
  </si>
  <si>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</si>
  <si>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</si>
  <si>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</si>
  <si>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</si>
  <si>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</si>
  <si>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</si>
  <si>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</si>
  <si>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</si>
  <si>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</si>
  <si>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</si>
  <si>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</si>
  <si>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</si>
  <si>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</si>
  <si>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</si>
  <si>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</si>
  <si>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</si>
  <si>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</si>
  <si>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</si>
  <si>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</si>
  <si>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</si>
  <si>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</si>
  <si>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</si>
  <si>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</si>
  <si>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</si>
  <si>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</si>
  <si>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</si>
  <si>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</si>
  <si>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</si>
  <si>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</si>
  <si>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</si>
  <si>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</si>
  <si>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</si>
  <si>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</si>
  <si>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</si>
  <si>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</si>
  <si>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</si>
  <si>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</si>
  <si>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</si>
  <si>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</si>
  <si>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</si>
  <si>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Summarise at levels</t>
  </si>
  <si>
    <t>Summarise at PA level</t>
  </si>
  <si>
    <t>Summarise at Process level</t>
  </si>
  <si>
    <t>Summarise at PA instantiation level</t>
  </si>
  <si>
    <t>Clear all filters</t>
  </si>
  <si>
    <t>Set levels = 's'</t>
  </si>
  <si>
    <t>Set levels = 'FM'</t>
  </si>
  <si>
    <t>Clear PAs</t>
  </si>
  <si>
    <t>Set PA's = 'FM'</t>
  </si>
  <si>
    <t>Clear instantiations</t>
  </si>
  <si>
    <t>Clear all Level characterisations</t>
  </si>
  <si>
    <t>TV sheets</t>
  </si>
  <si>
    <t>Characterisation and filtering</t>
  </si>
  <si>
    <t>https://www.microsoft.com/en-us/sql-server/sql-server-downloads</t>
  </si>
  <si>
    <t>Jared Twigg</t>
  </si>
  <si>
    <t>Melanie van Zyl</t>
  </si>
  <si>
    <t>ATL</t>
  </si>
  <si>
    <t>ATL Coordinator</t>
  </si>
  <si>
    <t>Sponsor</t>
  </si>
  <si>
    <t>Scheduler</t>
  </si>
  <si>
    <t>BPOC</t>
  </si>
  <si>
    <t>30p</t>
  </si>
  <si>
    <t>50p</t>
  </si>
  <si>
    <t>90p</t>
  </si>
  <si>
    <t>100p</t>
  </si>
  <si>
    <t>60d b4 p2</t>
  </si>
  <si>
    <t>40d b4 p2</t>
  </si>
  <si>
    <t>Done</t>
  </si>
  <si>
    <t>Not started</t>
  </si>
  <si>
    <t>Work Task Status</t>
  </si>
  <si>
    <t>Task</t>
  </si>
  <si>
    <t>cmd</t>
  </si>
  <si>
    <t>AssignDate</t>
  </si>
  <si>
    <t>CompletionDate</t>
  </si>
  <si>
    <t>DueDate</t>
  </si>
  <si>
    <t>Staff</t>
  </si>
  <si>
    <t>StaffRole</t>
  </si>
  <si>
    <t>WorkTaskStatus</t>
  </si>
  <si>
    <t>WorkTaskCode</t>
  </si>
  <si>
    <t>Id</t>
  </si>
  <si>
    <t>AppraisalId</t>
  </si>
  <si>
    <t>WorkTaskCodeId</t>
  </si>
  <si>
    <t>WorkTaskStatusId</t>
  </si>
  <si>
    <t>StaffId</t>
  </si>
  <si>
    <t>StafRoleId</t>
  </si>
  <si>
    <t>End</t>
  </si>
  <si>
    <t>2. 30p</t>
  </si>
  <si>
    <t>3. Not started</t>
  </si>
  <si>
    <t>3. Frans Joubert</t>
  </si>
  <si>
    <t>2. ATL</t>
  </si>
  <si>
    <t>None</t>
  </si>
  <si>
    <t>ProjectCode</t>
  </si>
  <si>
    <t>CAS0123</t>
  </si>
  <si>
    <t>CAS321</t>
  </si>
  <si>
    <t>Pieter van Zyl</t>
  </si>
  <si>
    <t>Joan van Zyl</t>
  </si>
  <si>
    <t>Bianca Coetzee</t>
  </si>
  <si>
    <t>Marike Matthee</t>
  </si>
  <si>
    <t>Francois van Niekerk</t>
  </si>
  <si>
    <t>Andries vd Walt</t>
  </si>
  <si>
    <t>Francina Botha</t>
  </si>
  <si>
    <t>Tony Gardiner</t>
  </si>
  <si>
    <t>Elmo Scheffer</t>
  </si>
  <si>
    <t>Pieter Roos</t>
  </si>
  <si>
    <t>Barry Headland</t>
  </si>
  <si>
    <t>Nigel Owen</t>
  </si>
  <si>
    <t>Ria Fouche</t>
  </si>
  <si>
    <t>Elsabie Koster</t>
  </si>
  <si>
    <t>Lizwin Jacobs</t>
  </si>
  <si>
    <t>Michael</t>
  </si>
  <si>
    <t>Alice Erasmus</t>
  </si>
  <si>
    <t>Sasha</t>
  </si>
  <si>
    <t>Tembeka</t>
  </si>
  <si>
    <t>Translator</t>
  </si>
  <si>
    <t>IPOC</t>
  </si>
  <si>
    <t>ATLC Leader</t>
  </si>
  <si>
    <t>Scope approval</t>
  </si>
  <si>
    <t>Tech Test</t>
  </si>
  <si>
    <t>Final RR</t>
  </si>
  <si>
    <t>WIP</t>
  </si>
  <si>
    <t>CAS01234</t>
  </si>
  <si>
    <t>Task 1</t>
  </si>
  <si>
    <t>Task 2</t>
  </si>
  <si>
    <t>Task 3</t>
  </si>
  <si>
    <t>Task 4</t>
  </si>
  <si>
    <t>- How do you evaluate integrated components to ensure conformance to the solution's requirements and design?
如何评价集成地组件以确保其符合解决方案地需求和设计</t>
  </si>
  <si>
    <t>- What is your integration strategy?
集成策略是什么</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</si>
  <si>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</si>
  <si>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 How do you confirm, prior to integration, that component interfaces or connections comply with interface or connection descriptions?
在集成之前，如何确认组件地接口或连接符合接口或连接描述</t>
  </si>
  <si>
    <t>- How do you evaluate integrated components for interface or connection compatibility?
图和评价已集成组件地接口或连接地兼容性</t>
  </si>
  <si>
    <t>- How do you evaluate the designs (reviews) and how do you address identified issues?
如何评估设计并解决识别的问题？</t>
  </si>
  <si>
    <t>- What guidance do you (as designer) provide on the use of the solution (user manuals, instellation manuals)?
提供那些解决方案使用指南？</t>
  </si>
  <si>
    <t>- What criteria do you (user) develop for design decisions?
会制定哪些设计决策标准？</t>
  </si>
  <si>
    <t>- What alternative solutions for selected components do you make?
会制定哪些针对选定组件的备选解决方案？</t>
  </si>
  <si>
    <t>- How do you perform, build, buy or reuse decisions?
如何执行构建、采购或复用分析？</t>
  </si>
  <si>
    <t>- How do you use criteria to select your solutions?
如何使用设计标准选择解决方案？</t>
  </si>
  <si>
    <t>- How do you develop, keep updates, and use information needed to implement the design?
如何制定、保持更新并采用实现设计所需的信息？</t>
  </si>
  <si>
    <t>- How do you identify work products and processes for process quality assurance?
'如何识别工作产品和过程以保证过程质量？</t>
  </si>
  <si>
    <t>- Where do you record the results of quality assurance activities?
'将记录质量保证活动的结果记录在哪里</t>
  </si>
  <si>
    <t>- How do you record and use the results of quality assurance activities?
'如何记录和使用质量保证活动的结果？</t>
  </si>
  <si>
    <t>- What peer reviews do you (process actor) perform or are performed on your work products?
对哪些工作产品进行同行评审</t>
  </si>
  <si>
    <t>- What procedures do you use to prepare and perform peer reviews?
准备和执行同行评审的步骤有哪些</t>
  </si>
  <si>
    <t>- What works products (generated by the process actor) are selected for peer reviews?
选择进行同行评审的工作产品有哪些？</t>
  </si>
  <si>
    <t>- What do you do with issues identified during peer reviews?
如何解决同行评审中发现的问题</t>
  </si>
  <si>
    <t>- What do you do with the results of peer reviews?
如何分析从同行评审得到的结果和数据</t>
  </si>
  <si>
    <t>- What requirements have you documented (or recorded)
会记录哪些需求？</t>
  </si>
  <si>
    <t>- How do you elicit (extract) stakeholder needs, expectations, constraints, and interfaces (or connections)?
如何抽取利益相关方地需求、期望、约束条件和接口或连接？</t>
  </si>
  <si>
    <t>- How do you transform stakeholder needs, expectations, contains, and interfaces (or connections) into prioritized customer requirements?
如何将利益相关方地需求、期望、约束条件、接口或连接转化为优先地客户需求</t>
  </si>
  <si>
    <t>- How do you developed and understanding with the requirements provider on the meaning of the requirements?
如何与需求提供者就需求地含义达成一致？</t>
  </si>
  <si>
    <t>- What operational concepts and scenarios do you develop for requirements?
针对需求开发哪些操作概念和场景？</t>
  </si>
  <si>
    <t>- How do you identify, develop, and keep updated interfaces or connection requirements?
如何识别、开发并持续更新接口或连接需求？</t>
  </si>
  <si>
    <t>- How do you ensure requirements are necessary and sufficient?
如何确保需求是必要且充分的？</t>
  </si>
  <si>
    <t>- How do you validate requirements to ensure the resulting solution will perform as intended in the target environment?
如何 确认需求，以确保生成地解决方案在目标环境中按照预期工作？</t>
  </si>
  <si>
    <t>- What validation do you perform to ensure solutions function in the intended target environment?
执行哪些确认来确保解决方案在目标环境下按预期运行？</t>
  </si>
  <si>
    <t>- How do you decide which components and the methods that will be followed for verification and validation?
如何选择用于验证和确认的组件和方法？</t>
  </si>
  <si>
    <t>- How do you setup, maintain and use the environment needed to support verification and validation?
如何开发、使用并保持更新支持验证和确认所需的环境？</t>
  </si>
  <si>
    <t>- What performance measurements do you collect?
会收集哪些性能指标？</t>
  </si>
  <si>
    <t>- What performance issues do you identify?
会识别哪些性能问题？</t>
  </si>
  <si>
    <t>- What measurement operational definitions are specified (who to collect, what to collect, when to collect)?
有详细规定哪些度量项的操作性定义（谁收集，收集什么，何时收集）？</t>
  </si>
  <si>
    <t>- What actions to you take on issues identified from performance reports?
会对绩效报告中发现的问题采取了哪些措施？</t>
  </si>
  <si>
    <t>- Please explain how your measurement process functions?
请说明度量过程是怎样的？</t>
  </si>
  <si>
    <t>- How do you ensure data quality for measurements?
您如何确保度量数据的质量？</t>
  </si>
  <si>
    <t>- How do you select measures and analyst techniques to quantitively mange performance to achieve quality and process performance objectives?
您如何选择度量和分析技术来量化管理性能以实现质量和流程绩效目标？</t>
  </si>
  <si>
    <t>- How do you make use of statistical and other quantitative techniques to develop and analyse process performance baselines and keep them updated.
您如何利用统计和其他定量技术来开发和分析流程绩效基准并保持更新最新状态。</t>
  </si>
  <si>
    <t>- How do you make use of statistical and other quantitative techniques to develop and analyse process performance models and keep them updated.
您如何利用统计和其他定量技术来开发和分析流程绩效基准并保持更新最新状态。</t>
  </si>
  <si>
    <t>- How do you make use of statistical and other quantitative techniques to ensure that business objectives are aligned with business strategy and performance.
您如何利用统计和其他定量技术来确保业务目标与业务战略和绩效保持一致。</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</si>
  <si>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</si>
  <si>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 What processes assets has been identified as needed?
多需要识别的过程资产有哪些？</t>
  </si>
  <si>
    <t>- What processes assets has been developed (reused) or purchased?
已开发（复用）或购买了哪些流程资产？</t>
  </si>
  <si>
    <t>- What process is defined for developing process assets?
为开发过程资产定义了什么流程？</t>
  </si>
  <si>
    <t>- What process architecture is in place describing the structure of the organization's processes?
哪种过体系结构描述了组织过程结构？</t>
  </si>
  <si>
    <t>- What tailoring guidelines do you have for your standard process assets?
对标准过程资产的裁剪准则有哪些？</t>
  </si>
  <si>
    <t>- What work environment standards have been established and maintained?
建立并维护了哪些工作环境标准？</t>
  </si>
  <si>
    <t>- What process support structure (for example an EPG) do you have in place?
您拥有什么过程支持结构（例如EPG）？</t>
  </si>
  <si>
    <t>- What appraisals (CMMI, COBIT, ISO) have you done on your current processes?
对当前过程进行了哪些评估？(update)</t>
  </si>
  <si>
    <t>- What process improvement actions are followed to implement identified improvements?
采取了哪些过程改进措施以实现识别的改进？</t>
  </si>
  <si>
    <t>- How do you link your process improvement objectives to your business objectives?
如何将过程改进与业务目标联系起来？</t>
  </si>
  <si>
    <t>- How do you prioritise your process improvements?
如何确定过程改进的优先级？</t>
  </si>
  <si>
    <t>- How do you evaluate potential new improvements opportunities. Improvements include against processes, techniques, methods and tools?
您如何评估潜在的新的改进机会。改进包括针对过程，技术，方法和工具使用的改进嘛？</t>
  </si>
  <si>
    <t>- What support is provided for implementing and deploying new process improvements?
为实施和部署新过程改进提供了哪些支持？</t>
  </si>
  <si>
    <t>- How do you evaluate the effectiveness of improvements towards achieving business objectives?
如何评估对实现业务目标的改进效果？</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</si>
  <si>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</si>
  <si>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 How do you identify and record risks or opportunities and keep them updated?
如何识别、记录风险或机会并持续对其更新？</t>
  </si>
  <si>
    <t>- How do you monitor identified risks or opportunities and comminate this tatus to affected stakeholders?
如何监控已识别地风险或机会并与受影响地干系人沟通风险或机会地状态？</t>
  </si>
  <si>
    <t>- What parameters for risk or opportunity analysis is defined and what is it used for?
定义用于风险或机会分析的参数用那些，如何使用？</t>
  </si>
  <si>
    <t>- How do you identify training needs?
如何确定培训需求？</t>
  </si>
  <si>
    <t>- What training records do you maintain?
有哪些培训记录？</t>
  </si>
  <si>
    <t>- How do you execute the strategic and short term training plans?
如何执行战略和短期培训计划？</t>
  </si>
  <si>
    <t>- What training records to you establish ad maintain?
需要建立并维护哪些培训记录</t>
  </si>
  <si>
    <t>- What high level estimates do you make?
有制定哪些粗略估算来执行工作？</t>
  </si>
  <si>
    <t>- How do you scope the work (what is included and what is excluded)?
如何确定工作的估算范围，包含哪些？</t>
  </si>
  <si>
    <t>- How do you size the work (FP, LOC, number of UCs, number of workstations, number of network points, number of data records, etc)?
如何估算工作规模（FP，LOC，UC数，工作站数，网络点数，数据记录数等）？</t>
  </si>
  <si>
    <t>- How do you use the size estimates to develop effort, duration and cost estimates?
如何根据规模估算来制定所需的工作量、周期和成本</t>
  </si>
  <si>
    <t>- How do you record completed tasks?
如何记录任务完成情况</t>
  </si>
  <si>
    <t>- How do you identify and resolve issues?
如何识别并解决问题</t>
  </si>
  <si>
    <t>- How do you track actual results achieved (size, effort, duration, or cost) against planned values?
如何从规模、工作量、进度、资源、知识和技能以及预算等方面，对比估算跟踪实际结果？</t>
  </si>
  <si>
    <t>- How do you monitor transitioning of solutions to operations and support?
如何监控向运营和支持的迁移</t>
  </si>
  <si>
    <t>- When and how do you take corrective actions when actual results differ significantly from planned result?
当实际结果相较于计划结果存在显著差异时，如何采取纠正措施并管理直至关闭</t>
  </si>
  <si>
    <t>- How do you manage critical dependencies?
如何管理关键依赖关系？</t>
  </si>
  <si>
    <t>- How do you identify work environ issues?
如何识别工作环境问题</t>
  </si>
  <si>
    <t>- How do you make sure you have the right knowledge and skills for the task to be performed?
如何确保具备执行工作所需的知识和技能？</t>
  </si>
  <si>
    <t>- How do you develop the budget and schedule?
如何制定预算和进度表</t>
  </si>
  <si>
    <t>- How do you plan for stakeholder involvement?
如何对干系人的参与做相应的计划</t>
  </si>
  <si>
    <t>- How do you plan for transition to operations and support?
如何对向运营和支持的转移做相应的计划？</t>
  </si>
  <si>
    <t>- How do you ensure your plans are feasible in terms of resource availability and work that needs to be performed?
在资源可用性和需要执行的工作方面，如何确保计划可行？</t>
  </si>
  <si>
    <t>- How do you ensure the plan and its deliverablea are consistent and aligned.
在项目计划中会记录哪些信息？</t>
  </si>
  <si>
    <t>- How do you review the plans with stakeholders, and how do you get commitment to the plans?
如何制定评审计划？如何获得受影响的干系人的承诺？</t>
  </si>
  <si>
    <t>- How do you keep your plan updated with the project process, the process assets and the measurement repository?
如何使用项目过程、组织的过程资产和度量库制定计划并保持更新？</t>
  </si>
  <si>
    <t>- How do you identify what items (documents and source code) to put under configuration management?
'如何识别要管理的项目？</t>
  </si>
  <si>
    <t>- What configuration management systems do you use (the name of the system or systems)?
'使用什么配置管理系统？</t>
  </si>
  <si>
    <t>- How do you manage changes (who is allowed to make changes) to items under configuration management, as well as configuration management baselines and releases?
'如何管理配置管理下的变更？</t>
  </si>
  <si>
    <t>- What records, such as version history, do you maintain on configuration items?
'对于配置项会保留哪些记录？</t>
  </si>
  <si>
    <t>- How do you ensure the integrity of items under configuration management, the integrity of baselines and the integrity of releases?
'如何确保配置管理下项目的完整性，基准的完整性和发行版的完整性？</t>
  </si>
  <si>
    <t>- Process compliance check
过程遵从检查</t>
  </si>
  <si>
    <t>- What resources (people, budget, tools) are made available for developing process?
为开发过程提供了哪些资源（人员，预算，工具）？</t>
  </si>
  <si>
    <t>- What process do you (process actor) follow?
'您（过程参与者）遵循什么过程？</t>
  </si>
  <si>
    <t>- Process compliance
过程遵从</t>
  </si>
  <si>
    <t>- Process compliance audit
过程遵从检查</t>
  </si>
  <si>
    <t>- How is your (process actor) compliance to your process checked?
'如何检查（流程参与者）对过程是否被遵循？</t>
  </si>
  <si>
    <t>- Process improvements registered
已注册流程改进</t>
  </si>
  <si>
    <t>- What process improvements have you (process actor) submitted, or do you know of that has been submitted, to the processes that you follow?
'是否有提交过过程改进？内容是什么？</t>
  </si>
  <si>
    <t>Product Integration Plan</t>
  </si>
  <si>
    <t>Product Integration Phase Report</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</si>
  <si>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</si>
  <si>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</si>
  <si>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</si>
  <si>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</si>
  <si>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问题</t>
    <phoneticPr fontId="9"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</si>
  <si>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9" type="noConversion"/>
  </si>
  <si>
    <t>- Improvement approach/strategy
改进方法/策略
- Improvement targets
改进的目标</t>
  </si>
  <si>
    <t>高层如何识别工作重点？高层如何定义实现组织目标所需的方法？</t>
    <phoneticPr fontId="9" type="noConversion"/>
  </si>
  <si>
    <t>- Develop the strategy (may include a mission and/or vision statement) 
- Define a strategic target to be achieved</t>
  </si>
  <si>
    <t>高级管理层定义并传达了哪些组织目标？这些目标会通过过程改进实现嘛？</t>
    <phoneticPr fontId="9"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</si>
  <si>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</si>
  <si>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</si>
  <si>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9"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</si>
  <si>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</si>
  <si>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</si>
  <si>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9" type="noConversion"/>
  </si>
  <si>
    <t>- Verify compliance to directives
- Review performance improvements
- Review improvement trends</t>
  </si>
  <si>
    <t>Senior management ensures that measures supporting objectives throughout the organization are collected, analysed, and used. 
高级管理层确保支持整个组织目标的度量项得到收集、分析和使用</t>
  </si>
  <si>
    <t>您如何（高级管理层）确保收集，分析和使用支持目标的度量？</t>
    <phoneticPr fontId="9" type="noConversion"/>
  </si>
  <si>
    <t>Senior management ensures that competencies and processes are aligned with the objectives of the organization. 
高级管理层确保胜任力和过程与组织目标保持一致</t>
  </si>
  <si>
    <t>（高层）您如何确保能力和过程与组织目标的一致性？</t>
    <phoneticPr fontId="9"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</si>
  <si>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</si>
  <si>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</si>
  <si>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9" type="noConversion"/>
  </si>
  <si>
    <t>（高层）如何确保所选的（关键或重要的）决策由统计和量化分析所驱动？</t>
    <phoneticPr fontId="9" type="noConversion"/>
  </si>
  <si>
    <t>实施基础条件</t>
  </si>
  <si>
    <t>Intent</t>
    <phoneticPr fontId="9" type="noConversion"/>
  </si>
  <si>
    <t>Ensure that the processes important to an organization are persistently and habitually used and improved.</t>
    <phoneticPr fontId="9" type="noConversion"/>
  </si>
  <si>
    <t>确保针对组织重要的过程能够坚持从而形成习惯并加以应用和改进</t>
  </si>
  <si>
    <t>Value</t>
    <phoneticPr fontId="9" type="noConversion"/>
  </si>
  <si>
    <t xml:space="preserve">Sustains the ability to consistently achieve goals and objectives efficiently and effectively. </t>
    <phoneticPr fontId="9"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</si>
  <si>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</si>
  <si>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</si>
  <si>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</si>
  <si>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</si>
  <si>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</si>
  <si>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</si>
  <si>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</si>
  <si>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</si>
  <si>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</si>
  <si>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</si>
  <si>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</si>
  <si>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</si>
  <si>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</si>
  <si>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</si>
  <si>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</si>
  <si>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9" type="noConversion"/>
  </si>
  <si>
    <t>使用配置识别、版本控制、变更控制和审计来管理工作产品的完整性。</t>
  </si>
  <si>
    <t xml:space="preserve">Reduces loss of work and increases the ability to deliver the correct version of the solution to the customer. </t>
    <phoneticPr fontId="9"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</si>
  <si>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</si>
  <si>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</si>
  <si>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</si>
  <si>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</si>
  <si>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</si>
  <si>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</si>
  <si>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</si>
  <si>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</si>
  <si>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</si>
  <si>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</si>
  <si>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</si>
  <si>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</si>
  <si>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</si>
  <si>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</si>
  <si>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9" type="noConversion"/>
  </si>
  <si>
    <t>目的</t>
    <phoneticPr fontId="9" type="noConversion"/>
  </si>
  <si>
    <t>验证并改进已执行的过程和所产生的工作产品的质量</t>
    <phoneticPr fontId="9" type="noConversion"/>
  </si>
  <si>
    <t>价值</t>
    <phoneticPr fontId="9" type="noConversion"/>
  </si>
  <si>
    <t>增强过程使用和改进的一致性，以最大限度地提高业务效益和客户满意度</t>
    <phoneticPr fontId="9"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</si>
  <si>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</si>
  <si>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</si>
  <si>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</si>
  <si>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</si>
  <si>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</si>
  <si>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</si>
  <si>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</si>
  <si>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</si>
  <si>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</si>
  <si>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</si>
  <si>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</si>
  <si>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</si>
  <si>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</si>
  <si>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</si>
  <si>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</si>
  <si>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9" type="noConversion"/>
  </si>
  <si>
    <t>使用度量和分析来管理性能，以实现业务目标</t>
    <phoneticPr fontId="9" type="noConversion"/>
  </si>
  <si>
    <t>将管理和改进工作集中在成本、进度表和质量性能上，最大限度地提高业务投资回报</t>
    <phoneticPr fontId="9"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</si>
  <si>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</si>
  <si>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</si>
  <si>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</si>
  <si>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</si>
  <si>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</si>
  <si>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</si>
  <si>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</si>
  <si>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</si>
  <si>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</si>
  <si>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</si>
  <si>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</si>
  <si>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</si>
  <si>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</si>
  <si>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</si>
  <si>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</si>
  <si>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</si>
  <si>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</si>
  <si>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</si>
  <si>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</si>
  <si>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</si>
  <si>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</si>
  <si>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</si>
  <si>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</si>
  <si>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</si>
  <si>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</si>
  <si>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</si>
  <si>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</si>
  <si>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</si>
  <si>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</si>
  <si>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9" type="noConversion"/>
  </si>
  <si>
    <t>识别选定结果的原因并采取行动，防止不合需要的结果再次发生或确保再次出现正面结果</t>
    <phoneticPr fontId="9" type="noConversion"/>
  </si>
  <si>
    <t>Addressing root cause issues eliminates rework and directly improves quality and productivity.</t>
    <phoneticPr fontId="9"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</si>
  <si>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</si>
  <si>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</si>
  <si>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</si>
  <si>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</si>
  <si>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</si>
  <si>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</si>
  <si>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</si>
  <si>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</si>
  <si>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</si>
  <si>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</si>
  <si>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</si>
  <si>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</si>
  <si>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</si>
  <si>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</si>
  <si>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</si>
  <si>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</si>
  <si>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</si>
  <si>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</si>
  <si>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</si>
  <si>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</si>
  <si>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</si>
  <si>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</si>
  <si>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</si>
  <si>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</si>
  <si>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</si>
  <si>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</si>
  <si>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</si>
  <si>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</si>
  <si>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</si>
  <si>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</si>
  <si>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过程资产开发</t>
    <phoneticPr fontId="9" type="noConversion"/>
  </si>
  <si>
    <t>开发并保持更新执行工作所需的过程资产</t>
    <phoneticPr fontId="9" type="noConversion"/>
  </si>
  <si>
    <t>提供了解和重复成功性能的能力</t>
    <phoneticPr fontId="9"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</si>
  <si>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</si>
  <si>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</si>
  <si>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</si>
  <si>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</si>
  <si>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</si>
  <si>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</si>
  <si>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</si>
  <si>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</si>
  <si>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</si>
  <si>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</si>
  <si>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</si>
  <si>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</si>
  <si>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</si>
  <si>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</si>
  <si>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</si>
  <si>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</si>
  <si>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9"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</si>
  <si>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</si>
  <si>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9"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</si>
  <si>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</si>
  <si>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</si>
  <si>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</si>
  <si>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</si>
  <si>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</si>
  <si>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</si>
  <si>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</si>
  <si>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</si>
  <si>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</si>
  <si>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</si>
  <si>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</si>
  <si>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9" type="noConversion"/>
  </si>
  <si>
    <t>管理和实施过程和基础条件的持续改进来：支持业务目标的实现；确定和实施能够带来最大效益的过程改进；使过程改进结果可见、可使用和可持续</t>
    <phoneticPr fontId="9" type="noConversion"/>
  </si>
  <si>
    <t>确保过程、基础条件及其环境有助于成功实现业务目标</t>
    <phoneticPr fontId="9"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</si>
  <si>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</si>
  <si>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</si>
  <si>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</si>
  <si>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</si>
  <si>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</si>
  <si>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</si>
  <si>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</si>
  <si>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</si>
  <si>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</si>
  <si>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</si>
  <si>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</si>
  <si>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</si>
  <si>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</si>
  <si>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</si>
  <si>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</si>
  <si>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</si>
  <si>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</si>
  <si>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9" type="noConversion"/>
  </si>
  <si>
    <t>培养人员的技能和知识，以便他们高效且有效地执行他们的角色</t>
    <phoneticPr fontId="9" type="noConversion"/>
  </si>
  <si>
    <t>增强个人的技能和知识，提高组织工作性能</t>
    <phoneticPr fontId="9"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</si>
  <si>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</si>
  <si>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</si>
  <si>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</si>
  <si>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</si>
  <si>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</si>
  <si>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</si>
  <si>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</si>
  <si>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</si>
  <si>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</si>
  <si>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</si>
  <si>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</si>
  <si>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9" type="noConversion"/>
  </si>
  <si>
    <t>使用分析备选方案的已记录过程做出并记录决策</t>
  </si>
  <si>
    <t xml:space="preserve">Increases the objectivity of decision making and the probability of selecting the optimal solution. </t>
    <phoneticPr fontId="9"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</si>
  <si>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</si>
  <si>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</si>
  <si>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</si>
  <si>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</si>
  <si>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</si>
  <si>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</si>
  <si>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</si>
  <si>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</si>
  <si>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</si>
  <si>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</si>
  <si>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</si>
  <si>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</si>
  <si>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</si>
  <si>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</si>
  <si>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</si>
  <si>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</si>
  <si>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</si>
  <si>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监视与控制</t>
    <phoneticPr fontId="9" type="noConversion"/>
  </si>
  <si>
    <t>提供对项目进度的掌握，以便在绩效显著偏离计划时采取适当的纠正措施</t>
    <phoneticPr fontId="9" type="noConversion"/>
  </si>
  <si>
    <t>通过及早采取行动调整显著绩效偏差，提高达成目标的可能性</t>
    <phoneticPr fontId="9"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</si>
  <si>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</si>
  <si>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</si>
  <si>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</si>
  <si>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</si>
  <si>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</si>
  <si>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</si>
  <si>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</si>
  <si>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</si>
  <si>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</si>
  <si>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</si>
  <si>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</si>
  <si>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</si>
  <si>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</si>
  <si>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</si>
  <si>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</si>
  <si>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9" type="noConversion"/>
  </si>
  <si>
    <t>通过生产者同行或主体专家（SME）的评审来识别并解决工作产品的问题</t>
    <phoneticPr fontId="9" type="noConversion"/>
  </si>
  <si>
    <t>及早发现问题或缺陷，降低成本和返工</t>
    <phoneticPr fontId="9"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</si>
  <si>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</si>
  <si>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</si>
  <si>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</si>
  <si>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</si>
  <si>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</si>
  <si>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</si>
  <si>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</si>
  <si>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</si>
  <si>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9" type="noConversion"/>
  </si>
  <si>
    <t>识别、记录、分析和管理潜在地风险或机会</t>
    <phoneticPr fontId="9" type="noConversion"/>
  </si>
  <si>
    <t>缓解不利影响或充分利用积极影响来提高实现目标地可能性</t>
    <phoneticPr fontId="9"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</si>
  <si>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</si>
  <si>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</si>
  <si>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</si>
  <si>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</si>
  <si>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</si>
  <si>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</si>
  <si>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</si>
  <si>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</si>
  <si>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9"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</si>
  <si>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</si>
  <si>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9" type="noConversion"/>
  </si>
  <si>
    <t>优化成本、功能和质量以增加实现目标的可能性</t>
    <phoneticPr fontId="9"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</si>
  <si>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</si>
  <si>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</si>
  <si>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</si>
  <si>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</si>
  <si>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</si>
  <si>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</si>
  <si>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</si>
  <si>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</si>
  <si>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</si>
  <si>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</si>
  <si>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</si>
  <si>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</si>
  <si>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</si>
  <si>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</si>
  <si>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</si>
  <si>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9" type="noConversion"/>
  </si>
  <si>
    <t>抽取需求，确保利益相关方取得一致理解，并调整需求、计划和工作产品</t>
    <phoneticPr fontId="9" type="noConversion"/>
  </si>
  <si>
    <t>确保客户地需求和期望得到满足</t>
    <phoneticPr fontId="9"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</si>
  <si>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</si>
  <si>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</si>
  <si>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</si>
  <si>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</si>
  <si>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</si>
  <si>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</si>
  <si>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</si>
  <si>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</si>
  <si>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</si>
  <si>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</si>
  <si>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</si>
  <si>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</si>
  <si>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</si>
  <si>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</si>
  <si>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</si>
  <si>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</si>
  <si>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</si>
  <si>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9" type="noConversion"/>
  </si>
  <si>
    <t>集成并交付满足功能和质量需求地解决方案</t>
    <phoneticPr fontId="9" type="noConversion"/>
  </si>
  <si>
    <t>通过提供达到或超过其功能和质量要求地解决方案来提高客户地满意度</t>
    <phoneticPr fontId="9"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</si>
  <si>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</si>
  <si>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</si>
  <si>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</si>
  <si>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</si>
  <si>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</si>
  <si>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</si>
  <si>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</si>
  <si>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</si>
  <si>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Evaluate integrated components for interface or connection compatibility. 
评价已集成组件地接口或连接地兼容性</t>
  </si>
  <si>
    <t>技术解决方案</t>
    <phoneticPr fontId="9" type="noConversion"/>
  </si>
  <si>
    <t>设计和构建满足客户需求的解决方案</t>
    <phoneticPr fontId="9" type="noConversion"/>
  </si>
  <si>
    <t>提供高效的设计和解决方案，以满足客户需求并且减少返工</t>
    <phoneticPr fontId="9"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</si>
  <si>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</si>
  <si>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</si>
  <si>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</si>
  <si>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</si>
  <si>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</si>
  <si>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</si>
  <si>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</si>
  <si>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</si>
  <si>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</si>
  <si>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</si>
  <si>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</si>
  <si>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9" type="noConversion"/>
  </si>
  <si>
    <t>验证和确认的活动包括：确认选定的解决方案和组件能够满足需求</t>
    <phoneticPr fontId="9" type="noConversion"/>
  </si>
  <si>
    <t>正式选定的解决方案和组件在目标环境下能够实现其预期用途</t>
    <phoneticPr fontId="9"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</si>
  <si>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</si>
  <si>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</si>
  <si>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</si>
  <si>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</si>
  <si>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</si>
  <si>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</si>
  <si>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</si>
  <si>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</si>
  <si>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</si>
  <si>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</si>
  <si>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</si>
  <si>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</si>
  <si>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9"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</si>
  <si>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</si>
  <si>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9"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</si>
  <si>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</si>
  <si>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9"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</si>
  <si>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</si>
  <si>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</si>
  <si>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</si>
  <si>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</si>
  <si>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</si>
  <si>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</si>
  <si>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</si>
  <si>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</si>
  <si>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</si>
  <si>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</si>
  <si>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</si>
  <si>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</si>
  <si>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</si>
  <si>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</si>
  <si>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</si>
  <si>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</si>
  <si>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</si>
  <si>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</si>
  <si>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</si>
  <si>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</si>
  <si>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</si>
  <si>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</si>
  <si>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</si>
  <si>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</si>
  <si>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</si>
  <si>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</si>
  <si>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</si>
  <si>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https://translate.google.com/?sl=auto&amp;tl=en&amp;op=translate</t>
  </si>
  <si>
    <t>- What quality assurance reports do you obtain about compliance/noncompliance to your policy (in support of your strategy)? What do you do with noncomplinace? How do you handel exemplary compliance and support for process? How do you (senior management) provide governance and oversight of effective process implementation and improvement?</t>
  </si>
  <si>
    <t xml:space="preserve">What is your strategy (business goals)? What policies do you have to support you achieving the strategy (business goals)? Does the policy require staff to follow process in support of your strategy (business goals)? 
How do they tell staff that they expect them to follow process in order to achieve the business objectives? 
How does senior management identify what is essential for doing work?
How does senior management define the approach needed to accomplish the objectives of the organization?       </t>
  </si>
  <si>
    <t xml:space="preserve">How do you communicate your strategy (business goals) to staff? How do you communicate your policy to staff?
What organizational objectives has senior management defined and communicated?
Are these objectives to be achieved through process improvements?	</t>
  </si>
  <si>
    <t>- Determine how the organization will improve
确定组织要如何改进
- Set the approach for improvement
设定改进方法
- Communicate the result of improvement
沟通改进的结果</t>
  </si>
  <si>
    <t>- organizational strategy with strategic targets
- Process improvement directives in support of achieving the strategic targets</t>
  </si>
  <si>
    <t>- Process training function in the organizational chart
- Budget for process training resources (staff, tools, facilities)</t>
  </si>
  <si>
    <t>- Updated organization measurement repository</t>
  </si>
  <si>
    <t xml:space="preserve">- What organizational measurement repository do you have and how is it used? How do you support the creation, maintenance and use of the different performance objective?
- We have seen your QPPOs, we understand the measures, with regards to the remaining organizational objectives, how do you ensure that those measures are collected, analysed and used accross the organization?x
- What are 
- How do you (senior management) ensure that measures supporting objectives are collected, analysed and used?	 </t>
  </si>
  <si>
    <t>- How do you (senior management) ensure that competencies and processes align with the goals of the organization?</t>
  </si>
  <si>
    <t>- Tailor organizational process assets for a project
为项目裁剪组织过程资产</t>
  </si>
  <si>
    <t>- Tailored process
已裁剪的过程
- organizational process assets
组织过程资产
- Tailoring guidelines</t>
  </si>
  <si>
    <t>- Do you (process actor) have an organizational process for doing your work?
'您（流程参与者）自己的工作是否有遵循组织工作过程？ 
- How do you apply the process in your work?
您如何在工作中应用该过程？</t>
  </si>
  <si>
    <t>- Up to date organizational measurement repository</t>
  </si>
  <si>
    <t>- organizational performance reports</t>
  </si>
  <si>
    <t>- How is performance results common communicated within the organization?
如何在组织内部共同沟通绩效结果？</t>
  </si>
  <si>
    <t>- Identify stakeholders for a car analysis
- Follow the organizational process for car
- Use the the organizational tools for performing car
- Document the root causes</t>
  </si>
  <si>
    <t>- Comparing process performance baselines before and after the root cause action proposal has been implemented on the process across the organization.</t>
  </si>
  <si>
    <t>- Have you implemented the action proposal organizationally? If yes, how did you measure if it was effective? 
您是否实施了行动建议？如果是，如何衡量它是否有效？</t>
  </si>
  <si>
    <t>- What processes assets is defined for your organization?
组织定义的过程资产有哪些？</t>
  </si>
  <si>
    <t>- How is process assets made available to the organization?
过程资产如何提供给组织？</t>
  </si>
  <si>
    <t>- organizational process for developing new and maintaining existing processes</t>
  </si>
  <si>
    <t>- How are process assets made available for use in the organization?
如何在组织中使用过程资产？</t>
  </si>
  <si>
    <t>- What organizational measurement and analysis standards are available for use?
有哪些可用的组织度量和分析标准？</t>
  </si>
  <si>
    <t>- Use the organization measurement repository (historical data) as input into the estimation algorithm to derive new estimates for the current work package</t>
  </si>
  <si>
    <t>- organizational measurement repository</t>
  </si>
  <si>
    <t>- How do you make use of the organizational measurement repository to perform your estimates?
如何使用组织的度量库和过程资产进行估算工作</t>
  </si>
  <si>
    <t xml:space="preserve">- How do you address process improvements identified via appraisals?
- How do you collect improvements submitted internally within the organization?
记录了哪些过程改进？ </t>
  </si>
  <si>
    <t>- How are organizational standard processes and process assets deployed?
组织标准过程和过程资产如何部署？</t>
  </si>
  <si>
    <t>- How is training needs between projects (and support functions) coordinated with organizational training needs?
项目（和支持职能）之间的培训需求如何与组织培训需求相协调一致？</t>
  </si>
  <si>
    <t>- How do you establish and maintain a training capability for the organization?
如何建立和维护组织的培训能力？</t>
  </si>
  <si>
    <t>- How do you assess the effectiveness of the organization training program?
如何评估组织培训计划的有效性？</t>
  </si>
  <si>
    <t>- What role based decision making guidelines or processes do you have in the organization?
 - Explain role based decision authority in your organization?
 请针对基于角色的决策权威主体做相应描述</t>
  </si>
  <si>
    <t>- Explain how you derive your plan form your organizational set of standard process?
说明如何根据组织标准过程集制定出计划？ 
- How do you make use of tailoring guidelines to plan?
如何利用裁剪指南做计划？</t>
  </si>
  <si>
    <t>- Explain how you use organizational standards to plan for your project environment?
如何使用组织标准计划项目环境并保持更新？</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</si>
  <si>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</si>
  <si>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 Explain how quality and noncompliance issues that cannot be resolve, are handled?
- How to you communicate and address noncompliance issues?
'您如何沟通和解决不符合项问题？</t>
  </si>
  <si>
    <t>- Throughout the project, how do you objectively evaluate process and work products?
- How do you objectively evaluate process and work products?
'如何客观评价过程和工作产品？</t>
  </si>
  <si>
    <t>- How do you analyze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</si>
</sst>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11"/>
      <color rgb="FF000000"/>
      <name val="Calibri"/>
      <family val="2"/>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color rgb="FF002060"/>
      <name val="Calibri"/>
      <family val="2"/>
      <scheme val="minor"/>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30" fillId="0" borderId="0" applyNumberFormat="0" applyFill="0" applyBorder="0" applyAlignment="0" applyProtection="0">
      <alignment vertical="top"/>
      <protection locked="0"/>
    </xf>
    <xf numFmtId="0" fontId="39" fillId="0" borderId="0"/>
    <xf numFmtId="0" fontId="40" fillId="0" borderId="0"/>
    <xf numFmtId="0" fontId="40" fillId="0" borderId="0"/>
    <xf numFmtId="0" fontId="39" fillId="0" borderId="0"/>
    <xf numFmtId="0" fontId="20" fillId="0" borderId="0"/>
    <xf numFmtId="0" fontId="19" fillId="0" borderId="0"/>
    <xf numFmtId="0" fontId="19" fillId="0" borderId="0"/>
    <xf numFmtId="0" fontId="39" fillId="0" borderId="0"/>
    <xf numFmtId="0" fontId="19" fillId="0" borderId="0"/>
    <xf numFmtId="0" fontId="16" fillId="0" borderId="0"/>
    <xf numFmtId="0" fontId="15" fillId="0" borderId="0"/>
    <xf numFmtId="0" fontId="15" fillId="0" borderId="0"/>
    <xf numFmtId="0" fontId="15" fillId="0" borderId="0"/>
    <xf numFmtId="0" fontId="43" fillId="0" borderId="0"/>
    <xf numFmtId="0" fontId="13" fillId="0" borderId="0"/>
    <xf numFmtId="0" fontId="13" fillId="0" borderId="0"/>
    <xf numFmtId="0" fontId="12" fillId="0" borderId="0"/>
    <xf numFmtId="0" fontId="11" fillId="0" borderId="0"/>
    <xf numFmtId="0" fontId="11" fillId="0" borderId="0"/>
    <xf numFmtId="0" fontId="39" fillId="0" borderId="0"/>
    <xf numFmtId="0" fontId="3" fillId="0" borderId="0"/>
    <xf numFmtId="0" fontId="1" fillId="0" borderId="0"/>
  </cellStyleXfs>
  <cellXfs count="384">
    <xf numFmtId="0" fontId="0" fillId="0" borderId="0" xfId="0"/>
    <xf numFmtId="0" fontId="26" fillId="3" borderId="1" xfId="2" applyFont="1" applyFill="1" applyBorder="1" applyAlignment="1">
      <alignment horizontal="left" vertical="center"/>
    </xf>
    <xf numFmtId="0" fontId="26" fillId="3" borderId="1" xfId="2" applyFont="1" applyFill="1" applyBorder="1" applyAlignment="1">
      <alignment horizontal="left" vertical="center" wrapText="1"/>
    </xf>
    <xf numFmtId="0" fontId="26" fillId="4" borderId="1" xfId="2" applyFont="1" applyFill="1" applyBorder="1" applyAlignment="1">
      <alignment horizontal="left" vertical="top" wrapText="1"/>
    </xf>
    <xf numFmtId="0" fontId="26" fillId="2" borderId="1" xfId="2" applyFont="1" applyFill="1" applyBorder="1" applyAlignment="1">
      <alignment horizontal="center" vertical="center"/>
    </xf>
    <xf numFmtId="0" fontId="26" fillId="0" borderId="1" xfId="5" applyFont="1" applyBorder="1" applyAlignment="1">
      <alignment horizontal="left" vertical="center" wrapText="1"/>
    </xf>
    <xf numFmtId="0" fontId="28" fillId="0" borderId="1" xfId="5" applyFont="1" applyBorder="1" applyAlignment="1">
      <alignment horizontal="center" vertical="center" wrapText="1"/>
    </xf>
    <xf numFmtId="0" fontId="26" fillId="5" borderId="1" xfId="2" applyFont="1" applyFill="1" applyBorder="1" applyAlignment="1">
      <alignment horizontal="center" vertical="center" wrapText="1"/>
    </xf>
    <xf numFmtId="0" fontId="26" fillId="2" borderId="1" xfId="2" applyFont="1" applyFill="1" applyBorder="1" applyAlignment="1">
      <alignment horizontal="left" vertical="center" wrapText="1"/>
    </xf>
    <xf numFmtId="0" fontId="26" fillId="2" borderId="1" xfId="2" applyFont="1" applyFill="1" applyBorder="1" applyAlignment="1">
      <alignment horizontal="center" vertical="center" wrapText="1"/>
    </xf>
    <xf numFmtId="0" fontId="26" fillId="5" borderId="2" xfId="2" applyFont="1" applyFill="1" applyBorder="1" applyAlignment="1">
      <alignment vertical="center" wrapText="1"/>
    </xf>
    <xf numFmtId="0" fontId="26" fillId="4" borderId="1" xfId="2" applyFont="1" applyFill="1" applyBorder="1" applyAlignment="1">
      <alignment vertical="center" wrapText="1"/>
    </xf>
    <xf numFmtId="0" fontId="29" fillId="0" borderId="1" xfId="1" applyNumberFormat="1" applyFont="1" applyFill="1" applyBorder="1" applyAlignment="1" applyProtection="1">
      <alignment horizontal="center" vertical="center" wrapText="1"/>
    </xf>
    <xf numFmtId="0" fontId="26" fillId="3" borderId="1" xfId="2" applyFont="1" applyFill="1" applyBorder="1" applyAlignment="1">
      <alignment horizontal="center" vertical="center" wrapText="1"/>
    </xf>
    <xf numFmtId="0" fontId="0" fillId="0" borderId="0" xfId="0" applyAlignment="1">
      <alignment horizontal="left" vertical="top" wrapText="1"/>
    </xf>
    <xf numFmtId="0" fontId="30" fillId="0" borderId="0" xfId="1" applyAlignment="1" applyProtection="1"/>
    <xf numFmtId="0" fontId="18" fillId="0" borderId="0" xfId="0" applyFont="1"/>
    <xf numFmtId="0" fontId="17" fillId="0" borderId="0" xfId="0" applyFont="1"/>
    <xf numFmtId="0" fontId="0" fillId="0" borderId="0" xfId="0" applyAlignment="1">
      <alignment horizontal="left" vertical="top"/>
    </xf>
    <xf numFmtId="0" fontId="27" fillId="10" borderId="2" xfId="2" applyFont="1" applyFill="1" applyBorder="1" applyAlignment="1">
      <alignment vertical="center" wrapText="1"/>
    </xf>
    <xf numFmtId="0" fontId="27" fillId="10" borderId="3" xfId="2" applyFont="1" applyFill="1" applyBorder="1" applyAlignment="1">
      <alignment vertical="center" wrapText="1"/>
    </xf>
    <xf numFmtId="0" fontId="26" fillId="9" borderId="1" xfId="2" applyFont="1" applyFill="1" applyBorder="1" applyAlignment="1">
      <alignment horizontal="left" vertical="center" wrapText="1"/>
    </xf>
    <xf numFmtId="0" fontId="26" fillId="4" borderId="1" xfId="2" applyFont="1" applyFill="1" applyBorder="1" applyAlignment="1">
      <alignment horizontal="left" vertical="center" wrapText="1"/>
    </xf>
    <xf numFmtId="0" fontId="23" fillId="0" borderId="0" xfId="13" applyFont="1"/>
    <xf numFmtId="0" fontId="23" fillId="0" borderId="0" xfId="13" applyFont="1" applyAlignment="1">
      <alignment horizontal="left" indent="1"/>
    </xf>
    <xf numFmtId="0" fontId="42" fillId="0" borderId="0" xfId="1" applyFont="1" applyAlignment="1" applyProtection="1"/>
    <xf numFmtId="0" fontId="32" fillId="12" borderId="5" xfId="13" applyFont="1" applyFill="1" applyBorder="1" applyAlignment="1">
      <alignment horizontal="center" vertical="center" textRotation="90" wrapText="1"/>
    </xf>
    <xf numFmtId="0" fontId="32" fillId="0" borderId="5" xfId="13" applyFont="1" applyBorder="1" applyAlignment="1">
      <alignment horizontal="center" vertical="center" textRotation="90" wrapText="1"/>
    </xf>
    <xf numFmtId="0" fontId="25" fillId="12" borderId="4" xfId="13" applyFont="1" applyFill="1" applyBorder="1" applyAlignment="1">
      <alignment horizontal="center" vertical="center" wrapText="1"/>
    </xf>
    <xf numFmtId="0" fontId="15" fillId="2" borderId="0" xfId="13" applyFill="1"/>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10" borderId="5" xfId="13" applyFont="1" applyFill="1" applyBorder="1" applyAlignment="1">
      <alignment horizontal="center" vertical="center" wrapText="1"/>
    </xf>
    <xf numFmtId="0" fontId="32" fillId="10" borderId="5" xfId="14" quotePrefix="1" applyFont="1" applyFill="1" applyBorder="1" applyAlignment="1">
      <alignment horizontal="center" vertical="center" wrapText="1"/>
    </xf>
    <xf numFmtId="0" fontId="25" fillId="8" borderId="4" xfId="13" applyFont="1" applyFill="1" applyBorder="1" applyAlignment="1">
      <alignment horizontal="center" vertical="center" wrapText="1"/>
    </xf>
    <xf numFmtId="0" fontId="32" fillId="10" borderId="5" xfId="14" applyFont="1" applyFill="1" applyBorder="1" applyAlignment="1">
      <alignment horizontal="center" vertical="center" wrapText="1"/>
    </xf>
    <xf numFmtId="0" fontId="34" fillId="2" borderId="0" xfId="13" applyFont="1" applyFill="1"/>
    <xf numFmtId="0" fontId="21" fillId="2" borderId="0" xfId="13" applyFont="1" applyFill="1"/>
    <xf numFmtId="0" fontId="36" fillId="12" borderId="5" xfId="13" applyFont="1" applyFill="1" applyBorder="1" applyAlignment="1">
      <alignment horizontal="center" vertical="center" wrapText="1"/>
    </xf>
    <xf numFmtId="0" fontId="36" fillId="0" borderId="5" xfId="13" applyFont="1" applyBorder="1" applyAlignment="1">
      <alignment horizontal="center" vertical="center" wrapText="1"/>
    </xf>
    <xf numFmtId="0" fontId="24" fillId="12" borderId="4" xfId="13" applyFont="1" applyFill="1" applyBorder="1" applyAlignment="1">
      <alignment horizontal="center" vertical="center" wrapText="1"/>
    </xf>
    <xf numFmtId="0" fontId="35" fillId="2" borderId="0" xfId="13" applyFont="1" applyFill="1" applyAlignment="1">
      <alignment horizontal="center" vertical="center"/>
    </xf>
    <xf numFmtId="0" fontId="35" fillId="2" borderId="5" xfId="13" applyFont="1" applyFill="1" applyBorder="1" applyAlignment="1">
      <alignment horizontal="center" vertical="center"/>
    </xf>
    <xf numFmtId="0" fontId="37" fillId="2" borderId="0" xfId="13" applyFont="1" applyFill="1"/>
    <xf numFmtId="0" fontId="15" fillId="2" borderId="0" xfId="13" applyFill="1" applyAlignment="1">
      <alignment horizontal="center" vertical="center"/>
    </xf>
    <xf numFmtId="0" fontId="38" fillId="7" borderId="5" xfId="13" applyFont="1" applyFill="1" applyBorder="1" applyAlignment="1">
      <alignment horizontal="center" vertical="center" wrapText="1"/>
    </xf>
    <xf numFmtId="0" fontId="38" fillId="0" borderId="5" xfId="13" applyFont="1" applyBorder="1" applyAlignment="1">
      <alignment horizontal="center" vertical="center" wrapText="1"/>
    </xf>
    <xf numFmtId="0" fontId="31" fillId="2" borderId="0" xfId="13" applyFont="1" applyFill="1"/>
    <xf numFmtId="0" fontId="31" fillId="2" borderId="0" xfId="13" applyFont="1" applyFill="1" applyAlignment="1">
      <alignment horizontal="center" vertical="center"/>
    </xf>
    <xf numFmtId="0" fontId="22" fillId="13" borderId="0" xfId="13" applyFont="1" applyFill="1" applyAlignment="1">
      <alignment horizontal="center" vertical="center" textRotation="90" wrapText="1"/>
    </xf>
    <xf numFmtId="0" fontId="32" fillId="10" borderId="5" xfId="13" quotePrefix="1" applyFont="1" applyFill="1" applyBorder="1" applyAlignment="1">
      <alignment horizontal="center" vertical="center" wrapText="1"/>
    </xf>
    <xf numFmtId="0" fontId="33" fillId="2" borderId="0" xfId="13" applyFont="1" applyFill="1"/>
    <xf numFmtId="0" fontId="15" fillId="0" borderId="0" xfId="13" applyAlignment="1">
      <alignment horizontal="left" vertical="top"/>
    </xf>
    <xf numFmtId="0" fontId="26" fillId="3" borderId="1" xfId="15" applyFont="1" applyFill="1" applyBorder="1" applyAlignment="1">
      <alignment horizontal="left" vertical="center" wrapText="1"/>
    </xf>
    <xf numFmtId="0" fontId="26" fillId="3" borderId="1" xfId="15" applyFont="1" applyFill="1" applyBorder="1" applyAlignment="1">
      <alignment horizontal="center" vertical="center" textRotation="90" wrapText="1"/>
    </xf>
    <xf numFmtId="0" fontId="26" fillId="3" borderId="1" xfId="15" applyFont="1" applyFill="1" applyBorder="1" applyAlignment="1">
      <alignment horizontal="center" vertical="center" wrapText="1"/>
    </xf>
    <xf numFmtId="0" fontId="22" fillId="0" borderId="1" xfId="13" applyFont="1" applyBorder="1" applyAlignment="1">
      <alignment horizontal="left" vertical="center" wrapText="1"/>
    </xf>
    <xf numFmtId="0" fontId="22" fillId="2" borderId="0" xfId="13" applyFont="1" applyFill="1"/>
    <xf numFmtId="0" fontId="22" fillId="0" borderId="1" xfId="13" applyFont="1" applyBorder="1" applyAlignment="1">
      <alignment horizontal="left" vertical="top" wrapText="1"/>
    </xf>
    <xf numFmtId="0" fontId="22" fillId="2" borderId="0" xfId="13" applyFont="1" applyFill="1" applyAlignment="1">
      <alignment horizontal="left" vertical="top" wrapText="1"/>
    </xf>
    <xf numFmtId="0" fontId="22" fillId="2" borderId="0" xfId="13" applyFont="1" applyFill="1" applyAlignment="1">
      <alignment horizontal="center" vertical="center"/>
    </xf>
    <xf numFmtId="0" fontId="22" fillId="0" borderId="1" xfId="13" applyFont="1" applyBorder="1" applyAlignment="1">
      <alignment horizontal="left" vertical="center"/>
    </xf>
    <xf numFmtId="0" fontId="24" fillId="2" borderId="0" xfId="13" applyFont="1" applyFill="1" applyAlignment="1">
      <alignment horizontal="left" vertical="top"/>
    </xf>
    <xf numFmtId="0" fontId="21" fillId="2" borderId="0" xfId="13" applyFont="1" applyFill="1" applyAlignment="1">
      <alignment horizontal="left" vertical="top"/>
    </xf>
    <xf numFmtId="0" fontId="25" fillId="2" borderId="0" xfId="13" applyFont="1" applyFill="1" applyAlignment="1">
      <alignment horizontal="left" vertical="top"/>
    </xf>
    <xf numFmtId="0" fontId="23" fillId="2" borderId="0" xfId="13" applyFont="1" applyFill="1" applyAlignment="1">
      <alignment horizontal="left" vertical="top"/>
    </xf>
    <xf numFmtId="0" fontId="22" fillId="2" borderId="0" xfId="13" applyFont="1" applyFill="1" applyAlignment="1">
      <alignment horizontal="left" vertical="top"/>
    </xf>
    <xf numFmtId="0" fontId="44" fillId="0" borderId="0" xfId="0" applyFont="1"/>
    <xf numFmtId="0" fontId="14" fillId="0" borderId="1" xfId="0" applyFont="1" applyBorder="1"/>
    <xf numFmtId="0" fontId="0" fillId="0" borderId="0" xfId="0" applyAlignment="1">
      <alignment horizontal="right" vertical="top" wrapText="1"/>
    </xf>
    <xf numFmtId="0" fontId="0" fillId="0" borderId="1" xfId="0" applyBorder="1" applyAlignment="1">
      <alignment horizontal="left" vertical="top" wrapText="1"/>
    </xf>
    <xf numFmtId="0" fontId="13" fillId="0" borderId="0" xfId="17"/>
    <xf numFmtId="0" fontId="45" fillId="0" borderId="0" xfId="19" applyFont="1" applyAlignment="1">
      <alignment horizontal="left" vertical="top"/>
    </xf>
    <xf numFmtId="0" fontId="11" fillId="0" borderId="0" xfId="19" applyAlignment="1">
      <alignment horizontal="left" vertical="top"/>
    </xf>
    <xf numFmtId="0" fontId="22" fillId="0" borderId="0" xfId="19" applyFont="1" applyAlignment="1">
      <alignment horizontal="left" vertical="top"/>
    </xf>
    <xf numFmtId="0" fontId="22" fillId="0" borderId="0" xfId="19" applyFont="1" applyAlignment="1">
      <alignment horizontal="center" vertical="center"/>
    </xf>
    <xf numFmtId="0" fontId="22" fillId="0" borderId="0" xfId="19" applyFont="1" applyAlignment="1">
      <alignment horizontal="center" vertical="top"/>
    </xf>
    <xf numFmtId="0" fontId="11" fillId="0" borderId="0" xfId="19"/>
    <xf numFmtId="0" fontId="22" fillId="0" borderId="0" xfId="19" applyFont="1" applyAlignment="1">
      <alignment horizontal="left" vertical="top" wrapText="1"/>
    </xf>
    <xf numFmtId="0" fontId="32" fillId="2" borderId="0" xfId="19" applyFont="1" applyFill="1" applyAlignment="1">
      <alignment horizontal="left" vertical="top"/>
    </xf>
    <xf numFmtId="0" fontId="22" fillId="14" borderId="0" xfId="19" applyFont="1" applyFill="1" applyAlignment="1">
      <alignment horizontal="left" vertical="top"/>
    </xf>
    <xf numFmtId="0" fontId="22" fillId="6" borderId="0" xfId="19" applyFont="1" applyFill="1" applyAlignment="1">
      <alignment horizontal="left" vertical="top"/>
    </xf>
    <xf numFmtId="0" fontId="22" fillId="6" borderId="0" xfId="19" applyFont="1" applyFill="1" applyAlignment="1">
      <alignment horizontal="center" vertical="center"/>
    </xf>
    <xf numFmtId="0" fontId="22" fillId="15" borderId="0" xfId="19" applyFont="1" applyFill="1" applyAlignment="1">
      <alignment horizontal="left" vertical="top"/>
    </xf>
    <xf numFmtId="0" fontId="22" fillId="15" borderId="0" xfId="19" applyFont="1" applyFill="1" applyAlignment="1">
      <alignment horizontal="left" vertical="top" wrapText="1"/>
    </xf>
    <xf numFmtId="0" fontId="22" fillId="0" borderId="0" xfId="19" applyFont="1"/>
    <xf numFmtId="0" fontId="22" fillId="14" borderId="0" xfId="19" applyFont="1" applyFill="1"/>
    <xf numFmtId="0" fontId="22" fillId="6" borderId="0" xfId="19" applyFont="1" applyFill="1"/>
    <xf numFmtId="0" fontId="22" fillId="15" borderId="0" xfId="19" applyFont="1" applyFill="1" applyAlignment="1">
      <alignment horizontal="center" vertical="top"/>
    </xf>
    <xf numFmtId="0" fontId="32" fillId="16" borderId="1" xfId="19" applyFont="1" applyFill="1" applyBorder="1" applyAlignment="1">
      <alignment horizontal="left" vertical="top"/>
    </xf>
    <xf numFmtId="0" fontId="26" fillId="6" borderId="1" xfId="2" applyFont="1" applyFill="1" applyBorder="1" applyAlignment="1">
      <alignment horizontal="left" vertical="top" wrapText="1"/>
    </xf>
    <xf numFmtId="0" fontId="26" fillId="15" borderId="1" xfId="2" applyFont="1" applyFill="1" applyBorder="1" applyAlignment="1">
      <alignment horizontal="left" vertical="top" wrapText="1"/>
    </xf>
    <xf numFmtId="0" fontId="26" fillId="15" borderId="2" xfId="2" applyFont="1" applyFill="1" applyBorder="1" applyAlignment="1">
      <alignment horizontal="left" vertical="top" wrapText="1"/>
    </xf>
    <xf numFmtId="0" fontId="26" fillId="0" borderId="0" xfId="2" applyFont="1" applyAlignment="1">
      <alignment horizontal="left" vertical="top" wrapText="1"/>
    </xf>
    <xf numFmtId="0" fontId="22" fillId="0" borderId="0" xfId="19" applyFont="1" applyAlignment="1">
      <alignment vertical="top"/>
    </xf>
    <xf numFmtId="0" fontId="11" fillId="0" borderId="0" xfId="19" applyAlignment="1">
      <alignment vertical="top"/>
    </xf>
    <xf numFmtId="0" fontId="32" fillId="3" borderId="1" xfId="19" applyFont="1" applyFill="1" applyBorder="1" applyAlignment="1">
      <alignment horizontal="left" vertical="top"/>
    </xf>
    <xf numFmtId="0" fontId="26" fillId="3" borderId="1" xfId="2" applyFont="1" applyFill="1" applyBorder="1" applyAlignment="1">
      <alignment horizontal="left" vertical="top" wrapText="1"/>
    </xf>
    <xf numFmtId="0" fontId="46" fillId="17" borderId="1" xfId="2" quotePrefix="1" applyFont="1" applyFill="1" applyBorder="1" applyAlignment="1">
      <alignment horizontal="left" vertical="top" wrapText="1"/>
    </xf>
    <xf numFmtId="0" fontId="46" fillId="0" borderId="0" xfId="2" quotePrefix="1" applyFont="1" applyAlignment="1">
      <alignment horizontal="left" vertical="top" wrapText="1"/>
    </xf>
    <xf numFmtId="0" fontId="22" fillId="0" borderId="0" xfId="20" applyFont="1" applyAlignment="1" applyProtection="1">
      <alignment horizontal="left" vertical="top" wrapText="1"/>
      <protection locked="0"/>
    </xf>
    <xf numFmtId="0" fontId="22" fillId="0" borderId="0" xfId="20" applyFont="1" applyAlignment="1" applyProtection="1">
      <alignment vertical="top"/>
      <protection locked="0"/>
    </xf>
    <xf numFmtId="0" fontId="26" fillId="17" borderId="1" xfId="2" quotePrefix="1" applyFont="1" applyFill="1" applyBorder="1" applyAlignment="1">
      <alignment horizontal="left" vertical="top" wrapText="1"/>
    </xf>
    <xf numFmtId="0" fontId="26" fillId="17" borderId="1" xfId="2" applyFont="1" applyFill="1" applyBorder="1" applyAlignment="1">
      <alignment horizontal="left" vertical="top" wrapText="1"/>
    </xf>
    <xf numFmtId="0" fontId="32" fillId="19" borderId="1" xfId="19" applyFont="1" applyFill="1" applyBorder="1" applyAlignment="1">
      <alignment horizontal="left" vertical="top"/>
    </xf>
    <xf numFmtId="0" fontId="45" fillId="0" borderId="0" xfId="20" applyFont="1" applyAlignment="1">
      <alignment horizontal="left" vertical="top"/>
    </xf>
    <xf numFmtId="0" fontId="11" fillId="0" borderId="0" xfId="20" applyAlignment="1">
      <alignment horizontal="left" vertical="top"/>
    </xf>
    <xf numFmtId="0" fontId="22" fillId="0" borderId="0" xfId="20" applyFont="1" applyAlignment="1">
      <alignment horizontal="left" vertical="top"/>
    </xf>
    <xf numFmtId="0" fontId="22" fillId="0" borderId="0" xfId="20" applyFont="1" applyAlignment="1">
      <alignment horizontal="center" vertical="top"/>
    </xf>
    <xf numFmtId="0" fontId="11" fillId="0" borderId="0" xfId="20" applyAlignment="1">
      <alignment vertical="top"/>
    </xf>
    <xf numFmtId="0" fontId="22" fillId="0" borderId="0" xfId="20" applyFont="1" applyAlignment="1">
      <alignment horizontal="left" vertical="top" wrapText="1"/>
    </xf>
    <xf numFmtId="0" fontId="32" fillId="2" borderId="0" xfId="20" applyFont="1" applyFill="1" applyAlignment="1">
      <alignment horizontal="left" vertical="top"/>
    </xf>
    <xf numFmtId="0" fontId="22" fillId="14" borderId="0" xfId="20" applyFont="1" applyFill="1" applyAlignment="1">
      <alignment horizontal="left" vertical="top"/>
    </xf>
    <xf numFmtId="0" fontId="22" fillId="6" borderId="0" xfId="20" applyFont="1" applyFill="1" applyAlignment="1">
      <alignment horizontal="left" vertical="top"/>
    </xf>
    <xf numFmtId="0" fontId="22" fillId="6" borderId="0" xfId="20" applyFont="1" applyFill="1" applyAlignment="1">
      <alignment horizontal="center" vertical="center"/>
    </xf>
    <xf numFmtId="0" fontId="22" fillId="6" borderId="0" xfId="20" applyFont="1" applyFill="1" applyAlignment="1">
      <alignment horizontal="left" vertical="top" wrapText="1"/>
    </xf>
    <xf numFmtId="0" fontId="22" fillId="15" borderId="0" xfId="20" applyFont="1" applyFill="1" applyAlignment="1">
      <alignment horizontal="left" vertical="top"/>
    </xf>
    <xf numFmtId="0" fontId="11" fillId="0" borderId="0" xfId="20"/>
    <xf numFmtId="0" fontId="22" fillId="0" borderId="0" xfId="20" applyFont="1"/>
    <xf numFmtId="0" fontId="22" fillId="14" borderId="0" xfId="20" applyFont="1" applyFill="1"/>
    <xf numFmtId="0" fontId="22" fillId="6" borderId="0" xfId="20" applyFont="1" applyFill="1"/>
    <xf numFmtId="0" fontId="22" fillId="15" borderId="0" xfId="20" applyFont="1" applyFill="1" applyAlignment="1">
      <alignment horizontal="center" vertical="top"/>
    </xf>
    <xf numFmtId="0" fontId="32" fillId="16" borderId="1" xfId="20" applyFont="1" applyFill="1" applyBorder="1" applyAlignment="1">
      <alignment horizontal="left" vertical="top"/>
    </xf>
    <xf numFmtId="0" fontId="22" fillId="0" borderId="0" xfId="20" applyFont="1" applyAlignment="1">
      <alignment vertical="top"/>
    </xf>
    <xf numFmtId="0" fontId="32" fillId="3" borderId="1" xfId="20" applyFont="1" applyFill="1" applyBorder="1" applyAlignment="1">
      <alignment horizontal="left" vertical="top"/>
    </xf>
    <xf numFmtId="0" fontId="46" fillId="17" borderId="1" xfId="2" applyFont="1" applyFill="1" applyBorder="1" applyAlignment="1">
      <alignment horizontal="left" vertical="top" wrapText="1"/>
    </xf>
    <xf numFmtId="0" fontId="46" fillId="0" borderId="1" xfId="2" applyFont="1" applyBorder="1" applyAlignment="1">
      <alignment horizontal="left" vertical="top" wrapText="1"/>
    </xf>
    <xf numFmtId="0" fontId="46" fillId="0" borderId="0" xfId="2" applyFont="1" applyAlignment="1">
      <alignment horizontal="left" vertical="top" wrapText="1"/>
    </xf>
    <xf numFmtId="0" fontId="22" fillId="0" borderId="0" xfId="20" applyFont="1" applyAlignment="1" applyProtection="1">
      <alignment horizontal="left" vertical="center"/>
      <protection locked="0"/>
    </xf>
    <xf numFmtId="0" fontId="26" fillId="0" borderId="0" xfId="2" applyFont="1" applyAlignment="1" applyProtection="1">
      <alignment horizontal="left" vertical="top" wrapText="1"/>
      <protection locked="0"/>
    </xf>
    <xf numFmtId="0" fontId="22" fillId="0" borderId="0" xfId="20" applyFont="1" applyAlignment="1">
      <alignment horizontal="left" vertical="center"/>
    </xf>
    <xf numFmtId="0" fontId="22" fillId="0" borderId="0" xfId="20" applyFont="1" applyAlignment="1" applyProtection="1">
      <alignment horizontal="center" vertical="center"/>
      <protection locked="0"/>
    </xf>
    <xf numFmtId="0" fontId="22" fillId="0" borderId="0" xfId="20" applyFont="1" applyAlignment="1" applyProtection="1">
      <alignment vertical="center"/>
      <protection locked="0"/>
    </xf>
    <xf numFmtId="0" fontId="49" fillId="17" borderId="1" xfId="2" quotePrefix="1" applyFont="1" applyFill="1" applyBorder="1" applyAlignment="1">
      <alignment horizontal="left" vertical="top" wrapText="1"/>
    </xf>
    <xf numFmtId="0" fontId="49" fillId="0" borderId="0" xfId="2" quotePrefix="1" applyFont="1" applyAlignment="1">
      <alignment horizontal="left" vertical="top" wrapText="1"/>
    </xf>
    <xf numFmtId="0" fontId="32" fillId="19" borderId="1" xfId="20" applyFont="1" applyFill="1" applyBorder="1" applyAlignment="1">
      <alignment horizontal="left" vertical="top"/>
    </xf>
    <xf numFmtId="0" fontId="22" fillId="0" borderId="0" xfId="20" applyFont="1" applyAlignment="1">
      <alignment horizontal="center" vertical="center"/>
    </xf>
    <xf numFmtId="0" fontId="26" fillId="0" borderId="0" xfId="2" applyFont="1" applyAlignment="1">
      <alignment horizontal="left" vertical="center" wrapText="1"/>
    </xf>
    <xf numFmtId="0" fontId="22" fillId="0" borderId="0" xfId="20" applyFont="1" applyAlignment="1">
      <alignment horizontal="left" vertical="center" wrapText="1"/>
    </xf>
    <xf numFmtId="0" fontId="26" fillId="0" borderId="0" xfId="5" applyFont="1" applyAlignment="1">
      <alignment horizontal="left" vertical="center" wrapText="1"/>
    </xf>
    <xf numFmtId="0" fontId="22" fillId="0" borderId="0" xfId="20" applyFont="1" applyAlignment="1">
      <alignment vertical="center"/>
    </xf>
    <xf numFmtId="0" fontId="22" fillId="17" borderId="1" xfId="20" applyFont="1" applyFill="1" applyBorder="1" applyAlignment="1" applyProtection="1">
      <alignment horizontal="left" vertical="top"/>
      <protection locked="0"/>
    </xf>
    <xf numFmtId="0" fontId="47" fillId="17" borderId="1" xfId="20" applyFont="1" applyFill="1" applyBorder="1" applyAlignment="1" applyProtection="1">
      <alignment horizontal="left" vertical="top" wrapText="1"/>
      <protection locked="0"/>
    </xf>
    <xf numFmtId="0" fontId="47" fillId="0" borderId="0" xfId="20" applyFont="1" applyAlignment="1" applyProtection="1">
      <alignment horizontal="left" vertical="top" wrapText="1"/>
      <protection locked="0"/>
    </xf>
    <xf numFmtId="0" fontId="22" fillId="12" borderId="0" xfId="20" applyFont="1" applyFill="1" applyAlignment="1">
      <alignment vertical="top"/>
    </xf>
    <xf numFmtId="0" fontId="22" fillId="12" borderId="0" xfId="20" applyFont="1" applyFill="1" applyAlignment="1">
      <alignment vertical="top" wrapText="1"/>
    </xf>
    <xf numFmtId="0" fontId="22" fillId="12" borderId="0" xfId="20" applyFont="1" applyFill="1" applyAlignment="1">
      <alignment horizontal="center" vertical="top" wrapText="1"/>
    </xf>
    <xf numFmtId="0" fontId="22" fillId="0" borderId="0" xfId="20" applyFont="1" applyAlignment="1">
      <alignment horizontal="center" vertical="top" wrapText="1"/>
    </xf>
    <xf numFmtId="0" fontId="26" fillId="0" borderId="0" xfId="5" applyFont="1" applyAlignment="1">
      <alignment horizontal="left" vertical="top" wrapText="1"/>
    </xf>
    <xf numFmtId="0" fontId="22" fillId="14" borderId="0" xfId="20" applyFont="1" applyFill="1" applyAlignment="1">
      <alignment horizontal="left" vertical="top" wrapText="1"/>
    </xf>
    <xf numFmtId="0" fontId="22" fillId="15" borderId="0" xfId="20" applyFont="1" applyFill="1" applyAlignment="1">
      <alignment horizontal="left" vertical="top" wrapText="1"/>
    </xf>
    <xf numFmtId="0" fontId="49" fillId="17" borderId="1" xfId="2" applyFont="1" applyFill="1" applyBorder="1" applyAlignment="1">
      <alignment horizontal="left" vertical="top" wrapText="1"/>
    </xf>
    <xf numFmtId="0" fontId="26" fillId="0" borderId="0" xfId="2" quotePrefix="1" applyFont="1" applyAlignment="1">
      <alignment horizontal="left" vertical="top" wrapText="1"/>
    </xf>
    <xf numFmtId="0" fontId="26" fillId="0" borderId="9" xfId="2" applyFont="1" applyBorder="1" applyAlignment="1">
      <alignment horizontal="left" vertical="top" wrapText="1"/>
    </xf>
    <xf numFmtId="0" fontId="11" fillId="0" borderId="13" xfId="20" applyBorder="1"/>
    <xf numFmtId="0" fontId="11" fillId="0" borderId="14" xfId="20" applyBorder="1"/>
    <xf numFmtId="0" fontId="22" fillId="17" borderId="1" xfId="20" applyFont="1" applyFill="1" applyBorder="1" applyAlignment="1" applyProtection="1">
      <alignment horizontal="left" vertical="top" wrapText="1"/>
      <protection locked="0"/>
    </xf>
    <xf numFmtId="0" fontId="22" fillId="12" borderId="0" xfId="20" quotePrefix="1" applyFont="1" applyFill="1" applyAlignment="1">
      <alignment vertical="top" wrapText="1"/>
    </xf>
    <xf numFmtId="0" fontId="22" fillId="0" borderId="0" xfId="20" quotePrefix="1" applyFont="1" applyAlignment="1">
      <alignment vertical="top" wrapText="1"/>
    </xf>
    <xf numFmtId="0" fontId="51" fillId="0" borderId="0" xfId="20" applyFont="1" applyAlignment="1">
      <alignment horizontal="left" vertical="top"/>
    </xf>
    <xf numFmtId="0" fontId="51" fillId="0" borderId="0" xfId="20" applyFont="1" applyAlignment="1">
      <alignment horizontal="center" vertical="center"/>
    </xf>
    <xf numFmtId="0" fontId="32" fillId="20" borderId="1" xfId="20" applyFont="1" applyFill="1" applyBorder="1" applyAlignment="1">
      <alignment horizontal="left" vertical="top"/>
    </xf>
    <xf numFmtId="0" fontId="54" fillId="17" borderId="1" xfId="2" quotePrefix="1" applyFont="1" applyFill="1" applyBorder="1" applyAlignment="1">
      <alignment horizontal="left" vertical="top" wrapText="1"/>
    </xf>
    <xf numFmtId="0" fontId="52" fillId="17" borderId="1" xfId="2" quotePrefix="1" applyFont="1" applyFill="1" applyBorder="1" applyAlignment="1">
      <alignment horizontal="left" vertical="top" wrapText="1"/>
    </xf>
    <xf numFmtId="0" fontId="55" fillId="0" borderId="0" xfId="20" applyFont="1" applyAlignment="1">
      <alignment horizontal="left" vertical="top"/>
    </xf>
    <xf numFmtId="0" fontId="23" fillId="0" borderId="0" xfId="20" applyFont="1" applyAlignment="1">
      <alignment horizontal="left" vertical="top"/>
    </xf>
    <xf numFmtId="0" fontId="23" fillId="0" borderId="0" xfId="20" applyFont="1" applyAlignment="1">
      <alignment horizontal="center" vertical="top"/>
    </xf>
    <xf numFmtId="0" fontId="56" fillId="0" borderId="0" xfId="5" applyFont="1" applyAlignment="1">
      <alignment horizontal="left" vertical="top" wrapText="1"/>
    </xf>
    <xf numFmtId="0" fontId="23" fillId="0" borderId="0" xfId="20" applyFont="1"/>
    <xf numFmtId="0" fontId="22" fillId="15" borderId="0" xfId="20" applyFont="1" applyFill="1"/>
    <xf numFmtId="0" fontId="26" fillId="0" borderId="0" xfId="2" applyFont="1" applyAlignment="1">
      <alignment horizontal="center" vertical="top" wrapText="1"/>
    </xf>
    <xf numFmtId="0" fontId="32" fillId="16" borderId="10" xfId="20" applyFont="1" applyFill="1" applyBorder="1" applyAlignment="1">
      <alignment horizontal="left" vertical="top"/>
    </xf>
    <xf numFmtId="0" fontId="26" fillId="18" borderId="1" xfId="2" applyFont="1" applyFill="1" applyBorder="1" applyAlignment="1">
      <alignment horizontal="left" vertical="top" wrapText="1"/>
    </xf>
    <xf numFmtId="0" fontId="11" fillId="21" borderId="0" xfId="20" applyFill="1"/>
    <xf numFmtId="0" fontId="22" fillId="21" borderId="0" xfId="20" applyFont="1" applyFill="1"/>
    <xf numFmtId="0" fontId="26" fillId="14" borderId="1" xfId="2" applyFont="1" applyFill="1" applyBorder="1" applyAlignment="1">
      <alignment horizontal="left" vertical="top" wrapText="1"/>
    </xf>
    <xf numFmtId="0" fontId="26" fillId="21" borderId="2" xfId="2" applyFont="1" applyFill="1" applyBorder="1" applyAlignment="1">
      <alignment horizontal="left" vertical="top" wrapText="1"/>
    </xf>
    <xf numFmtId="0" fontId="22" fillId="0" borderId="9" xfId="20" applyFont="1" applyBorder="1"/>
    <xf numFmtId="0" fontId="46" fillId="22" borderId="1" xfId="2" applyFont="1" applyFill="1" applyBorder="1" applyAlignment="1">
      <alignment horizontal="left" vertical="top" wrapText="1"/>
    </xf>
    <xf numFmtId="0" fontId="46" fillId="17" borderId="1" xfId="2" quotePrefix="1" applyFont="1" applyFill="1" applyBorder="1" applyAlignment="1">
      <alignment vertical="top" wrapText="1"/>
    </xf>
    <xf numFmtId="0" fontId="46" fillId="0" borderId="0" xfId="2" quotePrefix="1" applyFont="1" applyAlignment="1">
      <alignment vertical="top" wrapText="1"/>
    </xf>
    <xf numFmtId="0" fontId="26" fillId="4" borderId="1" xfId="2" applyFont="1" applyFill="1" applyBorder="1" applyAlignment="1">
      <alignment horizontal="center" vertical="top" wrapText="1"/>
    </xf>
    <xf numFmtId="0" fontId="26" fillId="6" borderId="1" xfId="2" applyFont="1" applyFill="1" applyBorder="1" applyAlignment="1">
      <alignment horizontal="center" vertical="top" wrapText="1"/>
    </xf>
    <xf numFmtId="0" fontId="26" fillId="15" borderId="1" xfId="2" applyFont="1" applyFill="1" applyBorder="1" applyAlignment="1">
      <alignment horizontal="center" vertical="top" wrapText="1"/>
    </xf>
    <xf numFmtId="0" fontId="26" fillId="15" borderId="2" xfId="2" applyFont="1" applyFill="1" applyBorder="1" applyAlignment="1">
      <alignment horizontal="center" vertical="top" wrapText="1"/>
    </xf>
    <xf numFmtId="0" fontId="26" fillId="22" borderId="1" xfId="2" quotePrefix="1" applyFont="1" applyFill="1" applyBorder="1" applyAlignment="1">
      <alignment horizontal="left" vertical="top" wrapText="1"/>
    </xf>
    <xf numFmtId="0" fontId="34" fillId="2" borderId="0" xfId="20" applyFont="1" applyFill="1" applyAlignment="1">
      <alignment horizontal="left" vertical="top"/>
    </xf>
    <xf numFmtId="0" fontId="21" fillId="2" borderId="0" xfId="20" applyFont="1" applyFill="1" applyAlignment="1">
      <alignment horizontal="left" vertical="top"/>
    </xf>
    <xf numFmtId="0" fontId="25" fillId="2" borderId="0" xfId="20" applyFont="1" applyFill="1" applyAlignment="1">
      <alignment horizontal="left" vertical="top"/>
    </xf>
    <xf numFmtId="0" fontId="23" fillId="2" borderId="0" xfId="20" applyFont="1" applyFill="1" applyAlignment="1">
      <alignment horizontal="left" vertical="top"/>
    </xf>
    <xf numFmtId="0" fontId="22" fillId="2" borderId="0" xfId="20" applyFont="1" applyFill="1" applyAlignment="1">
      <alignment horizontal="left" vertical="top"/>
    </xf>
    <xf numFmtId="0" fontId="23" fillId="14" borderId="0" xfId="20" applyFont="1" applyFill="1" applyAlignment="1">
      <alignment horizontal="left" vertical="top"/>
    </xf>
    <xf numFmtId="0" fontId="23" fillId="6" borderId="0" xfId="20" applyFont="1" applyFill="1" applyAlignment="1">
      <alignment horizontal="left" vertical="top"/>
    </xf>
    <xf numFmtId="0" fontId="23" fillId="15" borderId="0" xfId="20" applyFont="1" applyFill="1" applyAlignment="1">
      <alignment horizontal="left" vertical="top"/>
    </xf>
    <xf numFmtId="0" fontId="11" fillId="15" borderId="0" xfId="20" applyFill="1"/>
    <xf numFmtId="0" fontId="11" fillId="18" borderId="0" xfId="20" applyFill="1"/>
    <xf numFmtId="0" fontId="11" fillId="14" borderId="0" xfId="20" applyFill="1"/>
    <xf numFmtId="0" fontId="11" fillId="6" borderId="0" xfId="20" applyFill="1"/>
    <xf numFmtId="0" fontId="22" fillId="18" borderId="0" xfId="20" applyFont="1" applyFill="1"/>
    <xf numFmtId="0" fontId="26" fillId="6" borderId="2" xfId="2" applyFont="1" applyFill="1" applyBorder="1" applyAlignment="1">
      <alignment horizontal="left" vertical="top" wrapText="1"/>
    </xf>
    <xf numFmtId="0" fontId="26" fillId="15" borderId="4" xfId="2" applyFont="1" applyFill="1" applyBorder="1" applyAlignment="1">
      <alignment horizontal="left" vertical="top" wrapText="1"/>
    </xf>
    <xf numFmtId="0" fontId="26" fillId="21" borderId="1" xfId="2" applyFont="1" applyFill="1" applyBorder="1" applyAlignment="1">
      <alignment horizontal="left" vertical="top" wrapText="1"/>
    </xf>
    <xf numFmtId="0" fontId="26" fillId="18" borderId="2" xfId="2" applyFont="1" applyFill="1" applyBorder="1" applyAlignment="1">
      <alignment horizontal="left" vertical="top" wrapText="1"/>
    </xf>
    <xf numFmtId="0" fontId="26" fillId="3" borderId="4" xfId="2" applyFont="1" applyFill="1" applyBorder="1" applyAlignment="1">
      <alignment horizontal="left" vertical="top" wrapText="1"/>
    </xf>
    <xf numFmtId="0" fontId="26" fillId="3" borderId="2" xfId="2" applyFont="1" applyFill="1" applyBorder="1" applyAlignment="1">
      <alignment horizontal="left" vertical="top" wrapText="1"/>
    </xf>
    <xf numFmtId="0" fontId="49" fillId="17" borderId="2" xfId="2" quotePrefix="1" applyFont="1" applyFill="1" applyBorder="1" applyAlignment="1">
      <alignment horizontal="left" vertical="top" wrapText="1"/>
    </xf>
    <xf numFmtId="0" fontId="49" fillId="17" borderId="4" xfId="2" quotePrefix="1" applyFont="1" applyFill="1" applyBorder="1" applyAlignment="1">
      <alignment horizontal="left" vertical="top" wrapText="1"/>
    </xf>
    <xf numFmtId="0" fontId="46" fillId="17" borderId="2" xfId="2" quotePrefix="1" applyFont="1" applyFill="1" applyBorder="1" applyAlignment="1">
      <alignment horizontal="left" vertical="top" wrapText="1"/>
    </xf>
    <xf numFmtId="0" fontId="46" fillId="17" borderId="4" xfId="2" quotePrefix="1" applyFont="1" applyFill="1" applyBorder="1" applyAlignment="1">
      <alignment horizontal="left" vertical="top" wrapText="1"/>
    </xf>
    <xf numFmtId="0" fontId="26" fillId="17" borderId="2" xfId="2" quotePrefix="1" applyFont="1" applyFill="1" applyBorder="1" applyAlignment="1">
      <alignment horizontal="left" vertical="top" wrapText="1"/>
    </xf>
    <xf numFmtId="0" fontId="26" fillId="17" borderId="4" xfId="2" applyFont="1" applyFill="1" applyBorder="1" applyAlignment="1">
      <alignment horizontal="left" vertical="top" wrapText="1"/>
    </xf>
    <xf numFmtId="0" fontId="22" fillId="0" borderId="7" xfId="20" applyFont="1" applyBorder="1" applyAlignment="1">
      <alignment vertical="top"/>
    </xf>
    <xf numFmtId="0" fontId="46" fillId="22" borderId="6" xfId="2" quotePrefix="1" applyFont="1" applyFill="1" applyBorder="1" applyAlignment="1">
      <alignment horizontal="left" vertical="top" wrapText="1"/>
    </xf>
    <xf numFmtId="0" fontId="46" fillId="17" borderId="6" xfId="2" quotePrefix="1" applyFont="1" applyFill="1" applyBorder="1" applyAlignment="1">
      <alignment horizontal="left" vertical="top" wrapText="1"/>
    </xf>
    <xf numFmtId="0" fontId="46" fillId="22" borderId="1" xfId="2" quotePrefix="1" applyFont="1" applyFill="1" applyBorder="1" applyAlignment="1">
      <alignment horizontal="left" vertical="top" wrapText="1"/>
    </xf>
    <xf numFmtId="0" fontId="51" fillId="0" borderId="0" xfId="20" applyFont="1" applyAlignment="1">
      <alignment horizontal="center" vertical="top"/>
    </xf>
    <xf numFmtId="0" fontId="51" fillId="0" borderId="0" xfId="20" applyFont="1" applyAlignment="1">
      <alignment horizontal="left" vertical="top" wrapText="1"/>
    </xf>
    <xf numFmtId="0" fontId="46" fillId="0" borderId="1" xfId="2" quotePrefix="1" applyFont="1" applyBorder="1" applyAlignment="1">
      <alignment horizontal="left" vertical="top" wrapText="1"/>
    </xf>
    <xf numFmtId="0" fontId="46" fillId="0" borderId="9" xfId="2" quotePrefix="1" applyFont="1" applyBorder="1" applyAlignment="1">
      <alignment horizontal="left" vertical="top" wrapText="1"/>
    </xf>
    <xf numFmtId="0" fontId="22" fillId="0" borderId="9" xfId="20" applyFont="1" applyBorder="1" applyAlignment="1">
      <alignment horizontal="left" vertical="top"/>
    </xf>
    <xf numFmtId="0" fontId="22" fillId="0" borderId="0" xfId="20" applyFont="1" applyAlignment="1">
      <alignment horizontal="left"/>
    </xf>
    <xf numFmtId="0" fontId="32" fillId="16" borderId="1" xfId="20" applyFont="1" applyFill="1" applyBorder="1" applyAlignment="1">
      <alignment horizontal="left" vertical="top" wrapText="1"/>
    </xf>
    <xf numFmtId="0" fontId="26" fillId="4" borderId="1" xfId="21" applyFont="1" applyFill="1" applyBorder="1" applyAlignment="1">
      <alignment horizontal="left" vertical="top" wrapText="1"/>
    </xf>
    <xf numFmtId="0" fontId="26" fillId="6" borderId="1" xfId="21" applyFont="1" applyFill="1" applyBorder="1" applyAlignment="1">
      <alignment horizontal="left" vertical="top" wrapText="1"/>
    </xf>
    <xf numFmtId="0" fontId="26" fillId="15" borderId="1" xfId="21" applyFont="1" applyFill="1" applyBorder="1" applyAlignment="1">
      <alignment horizontal="left" vertical="top" wrapText="1"/>
    </xf>
    <xf numFmtId="0" fontId="26" fillId="15" borderId="2" xfId="21" applyFont="1" applyFill="1" applyBorder="1" applyAlignment="1">
      <alignment horizontal="left" vertical="top" wrapText="1"/>
    </xf>
    <xf numFmtId="0" fontId="26" fillId="0" borderId="0" xfId="21" applyFont="1" applyAlignment="1">
      <alignment horizontal="left" vertical="top" wrapText="1"/>
    </xf>
    <xf numFmtId="0" fontId="32" fillId="3" borderId="1" xfId="20" applyFont="1" applyFill="1" applyBorder="1" applyAlignment="1">
      <alignment horizontal="left" vertical="top" wrapText="1"/>
    </xf>
    <xf numFmtId="0" fontId="26" fillId="3" borderId="1" xfId="21" applyFont="1" applyFill="1" applyBorder="1" applyAlignment="1">
      <alignment horizontal="left" vertical="top" wrapText="1"/>
    </xf>
    <xf numFmtId="0" fontId="22" fillId="0" borderId="0" xfId="20" applyFont="1" applyAlignment="1">
      <alignment horizontal="center" vertical="center" wrapText="1"/>
    </xf>
    <xf numFmtId="0" fontId="49" fillId="17" borderId="1" xfId="21" quotePrefix="1" applyFont="1" applyFill="1" applyBorder="1" applyAlignment="1">
      <alignment horizontal="left" vertical="top" wrapText="1"/>
    </xf>
    <xf numFmtId="0" fontId="49" fillId="0" borderId="0" xfId="21" quotePrefix="1" applyFont="1" applyAlignment="1">
      <alignment horizontal="left" vertical="top" wrapText="1"/>
    </xf>
    <xf numFmtId="0" fontId="46" fillId="0" borderId="0" xfId="21" quotePrefix="1" applyFont="1" applyAlignment="1">
      <alignment horizontal="left" vertical="top" wrapText="1"/>
    </xf>
    <xf numFmtId="0" fontId="46" fillId="17" borderId="1" xfId="21" applyFont="1" applyFill="1" applyBorder="1" applyAlignment="1">
      <alignment horizontal="left" vertical="top" wrapText="1"/>
    </xf>
    <xf numFmtId="0" fontId="46" fillId="17" borderId="1" xfId="21" quotePrefix="1" applyFont="1" applyFill="1" applyBorder="1" applyAlignment="1">
      <alignment horizontal="left" vertical="top" wrapText="1"/>
    </xf>
    <xf numFmtId="0" fontId="46" fillId="0" borderId="0" xfId="21" applyFont="1" applyAlignment="1">
      <alignment horizontal="left" vertical="top" wrapText="1"/>
    </xf>
    <xf numFmtId="0" fontId="46" fillId="22" borderId="6" xfId="21" quotePrefix="1" applyFont="1" applyFill="1" applyBorder="1" applyAlignment="1">
      <alignment horizontal="left" vertical="top" wrapText="1"/>
    </xf>
    <xf numFmtId="0" fontId="46" fillId="17" borderId="6" xfId="21" quotePrefix="1" applyFont="1" applyFill="1" applyBorder="1" applyAlignment="1">
      <alignment horizontal="left" vertical="top" wrapText="1"/>
    </xf>
    <xf numFmtId="0" fontId="32" fillId="19" borderId="6" xfId="20" applyFont="1" applyFill="1" applyBorder="1" applyAlignment="1">
      <alignment horizontal="left" vertical="top" wrapText="1"/>
    </xf>
    <xf numFmtId="0" fontId="22" fillId="6" borderId="0" xfId="20" applyFont="1" applyFill="1" applyAlignment="1">
      <alignment horizontal="center" vertical="top"/>
    </xf>
    <xf numFmtId="0" fontId="26" fillId="22" borderId="11" xfId="2" quotePrefix="1" applyFont="1" applyFill="1" applyBorder="1" applyAlignment="1">
      <alignment horizontal="left" vertical="top" wrapText="1"/>
    </xf>
    <xf numFmtId="0" fontId="26" fillId="17" borderId="11" xfId="2" quotePrefix="1" applyFont="1" applyFill="1" applyBorder="1" applyAlignment="1">
      <alignment horizontal="left" vertical="top" wrapText="1"/>
    </xf>
    <xf numFmtId="0" fontId="32" fillId="19" borderId="11" xfId="20" applyFont="1" applyFill="1" applyBorder="1" applyAlignment="1">
      <alignment horizontal="left" vertical="top"/>
    </xf>
    <xf numFmtId="0" fontId="45" fillId="0" borderId="0" xfId="20" applyFont="1" applyAlignment="1" applyProtection="1">
      <alignment vertical="top"/>
      <protection locked="0"/>
    </xf>
    <xf numFmtId="0" fontId="58" fillId="0" borderId="0" xfId="20" applyFont="1" applyAlignment="1" applyProtection="1">
      <alignment vertical="top"/>
      <protection locked="0"/>
    </xf>
    <xf numFmtId="0" fontId="26" fillId="0" borderId="0" xfId="2" applyFont="1" applyAlignment="1" applyProtection="1">
      <alignment horizontal="left" vertical="center" wrapText="1"/>
      <protection locked="0"/>
    </xf>
    <xf numFmtId="0" fontId="22" fillId="0" borderId="0" xfId="20" applyFont="1" applyAlignment="1" applyProtection="1">
      <alignment horizontal="left" vertical="center" wrapText="1"/>
      <protection locked="0"/>
    </xf>
    <xf numFmtId="0" fontId="26" fillId="0" borderId="0" xfId="5" applyFont="1" applyAlignment="1" applyProtection="1">
      <alignment horizontal="left" vertical="center" wrapText="1"/>
      <protection locked="0"/>
    </xf>
    <xf numFmtId="0" fontId="32" fillId="2" borderId="0" xfId="20" applyFont="1" applyFill="1" applyAlignment="1" applyProtection="1">
      <alignment horizontal="left" vertical="top"/>
      <protection locked="0"/>
    </xf>
    <xf numFmtId="0" fontId="22" fillId="14" borderId="0" xfId="20" applyFont="1" applyFill="1" applyAlignment="1" applyProtection="1">
      <alignment horizontal="left" vertical="top"/>
      <protection locked="0"/>
    </xf>
    <xf numFmtId="0" fontId="22" fillId="6" borderId="0" xfId="20" applyFont="1" applyFill="1" applyAlignment="1" applyProtection="1">
      <alignment horizontal="left" vertical="top"/>
      <protection locked="0"/>
    </xf>
    <xf numFmtId="0" fontId="22" fillId="6" borderId="0" xfId="20" applyFont="1" applyFill="1" applyAlignment="1" applyProtection="1">
      <alignment horizontal="center" vertical="center"/>
      <protection locked="0"/>
    </xf>
    <xf numFmtId="0" fontId="22" fillId="15" borderId="0" xfId="20" applyFont="1" applyFill="1" applyAlignment="1" applyProtection="1">
      <alignment horizontal="left" vertical="top"/>
      <protection locked="0"/>
    </xf>
    <xf numFmtId="0" fontId="22" fillId="0" borderId="0" xfId="20" applyFont="1" applyAlignment="1" applyProtection="1">
      <alignment horizontal="left" vertical="top"/>
      <protection locked="0"/>
    </xf>
    <xf numFmtId="0" fontId="22" fillId="0" borderId="0" xfId="20" applyFont="1" applyProtection="1">
      <protection locked="0"/>
    </xf>
    <xf numFmtId="0" fontId="22" fillId="14" borderId="0" xfId="20" applyFont="1" applyFill="1" applyProtection="1">
      <protection locked="0"/>
    </xf>
    <xf numFmtId="0" fontId="22" fillId="6" borderId="0" xfId="20" applyFont="1" applyFill="1" applyProtection="1">
      <protection locked="0"/>
    </xf>
    <xf numFmtId="0" fontId="22" fillId="15" borderId="0" xfId="20" applyFont="1" applyFill="1" applyProtection="1">
      <protection locked="0"/>
    </xf>
    <xf numFmtId="0" fontId="32" fillId="16" borderId="1" xfId="20" applyFont="1" applyFill="1" applyBorder="1" applyAlignment="1" applyProtection="1">
      <alignment horizontal="left" vertical="top" wrapText="1"/>
      <protection locked="0"/>
    </xf>
    <xf numFmtId="0" fontId="26" fillId="4" borderId="1" xfId="2" applyFont="1" applyFill="1" applyBorder="1" applyAlignment="1" applyProtection="1">
      <alignment horizontal="left" vertical="top" wrapText="1"/>
      <protection locked="0"/>
    </xf>
    <xf numFmtId="0" fontId="26" fillId="6" borderId="1" xfId="2" applyFont="1" applyFill="1" applyBorder="1" applyAlignment="1" applyProtection="1">
      <alignment horizontal="left" vertical="top" wrapText="1"/>
      <protection locked="0"/>
    </xf>
    <xf numFmtId="0" fontId="26" fillId="15" borderId="1" xfId="2" applyFont="1" applyFill="1" applyBorder="1" applyAlignment="1" applyProtection="1">
      <alignment horizontal="left" vertical="top" wrapText="1"/>
      <protection locked="0"/>
    </xf>
    <xf numFmtId="0" fontId="32" fillId="3" borderId="1" xfId="20" applyFont="1" applyFill="1" applyBorder="1" applyAlignment="1" applyProtection="1">
      <alignment horizontal="left" vertical="top" wrapText="1"/>
      <protection locked="0"/>
    </xf>
    <xf numFmtId="0" fontId="26" fillId="3" borderId="1" xfId="2" applyFont="1" applyFill="1" applyBorder="1" applyAlignment="1" applyProtection="1">
      <alignment horizontal="left" vertical="top" wrapText="1"/>
      <protection locked="0"/>
    </xf>
    <xf numFmtId="0" fontId="46" fillId="17" borderId="1" xfId="2" quotePrefix="1" applyFont="1" applyFill="1" applyBorder="1" applyAlignment="1" applyProtection="1">
      <alignment horizontal="left" vertical="top" wrapText="1"/>
      <protection locked="0"/>
    </xf>
    <xf numFmtId="0" fontId="46" fillId="0" borderId="0" xfId="2" quotePrefix="1" applyFont="1" applyAlignment="1" applyProtection="1">
      <alignment horizontal="left" vertical="top" wrapText="1"/>
      <protection locked="0"/>
    </xf>
    <xf numFmtId="0" fontId="46" fillId="22" borderId="10" xfId="2" quotePrefix="1" applyFont="1" applyFill="1" applyBorder="1" applyAlignment="1" applyProtection="1">
      <alignment horizontal="left" vertical="top" wrapText="1"/>
      <protection locked="0"/>
    </xf>
    <xf numFmtId="0" fontId="46" fillId="17" borderId="10" xfId="2" quotePrefix="1" applyFont="1" applyFill="1" applyBorder="1" applyAlignment="1" applyProtection="1">
      <alignment horizontal="left" vertical="top" wrapText="1"/>
      <protection locked="0"/>
    </xf>
    <xf numFmtId="0" fontId="32" fillId="19" borderId="10" xfId="20" applyFont="1" applyFill="1" applyBorder="1" applyAlignment="1" applyProtection="1">
      <alignment horizontal="left" vertical="top" wrapText="1"/>
      <protection locked="0"/>
    </xf>
    <xf numFmtId="0" fontId="22" fillId="0" borderId="0" xfId="20" applyFont="1" applyAlignment="1" applyProtection="1">
      <alignment wrapText="1"/>
      <protection locked="0"/>
    </xf>
    <xf numFmtId="0" fontId="23" fillId="0" borderId="0" xfId="20" applyFont="1" applyAlignment="1">
      <alignment horizontal="center" vertical="center"/>
    </xf>
    <xf numFmtId="0" fontId="22" fillId="21" borderId="0" xfId="20" applyFont="1" applyFill="1" applyAlignment="1">
      <alignment horizontal="left" vertical="top"/>
    </xf>
    <xf numFmtId="0" fontId="22" fillId="21" borderId="0" xfId="20" applyFont="1" applyFill="1" applyAlignment="1">
      <alignment horizontal="center" vertical="top"/>
    </xf>
    <xf numFmtId="0" fontId="26" fillId="18" borderId="3" xfId="2" applyFont="1" applyFill="1" applyBorder="1" applyAlignment="1">
      <alignment horizontal="left" vertical="top" wrapText="1"/>
    </xf>
    <xf numFmtId="0" fontId="26" fillId="3" borderId="3" xfId="2" applyFont="1" applyFill="1" applyBorder="1" applyAlignment="1">
      <alignment horizontal="left" vertical="top" wrapText="1"/>
    </xf>
    <xf numFmtId="0" fontId="26" fillId="0" borderId="7" xfId="2" applyFont="1" applyBorder="1" applyAlignment="1">
      <alignment horizontal="left" vertical="top" wrapText="1"/>
    </xf>
    <xf numFmtId="0" fontId="11" fillId="0" borderId="7" xfId="20" applyBorder="1" applyAlignment="1">
      <alignment horizontal="left" vertical="top"/>
    </xf>
    <xf numFmtId="0" fontId="26" fillId="17" borderId="4" xfId="2" quotePrefix="1" applyFont="1" applyFill="1" applyBorder="1" applyAlignment="1">
      <alignment horizontal="left" vertical="top" wrapText="1"/>
    </xf>
    <xf numFmtId="0" fontId="27" fillId="0" borderId="0" xfId="2" applyFont="1" applyAlignment="1">
      <alignment horizontal="center" vertical="top" wrapText="1"/>
    </xf>
    <xf numFmtId="0" fontId="22" fillId="15" borderId="12" xfId="20" applyFont="1" applyFill="1" applyBorder="1" applyAlignment="1">
      <alignment horizontal="left" vertical="top"/>
    </xf>
    <xf numFmtId="0" fontId="60" fillId="17" borderId="1" xfId="2" quotePrefix="1" applyFont="1" applyFill="1" applyBorder="1" applyAlignment="1">
      <alignment horizontal="left" vertical="top" wrapText="1"/>
    </xf>
    <xf numFmtId="0" fontId="64" fillId="17" borderId="1" xfId="2" quotePrefix="1" applyFont="1" applyFill="1" applyBorder="1" applyAlignment="1">
      <alignment horizontal="left" vertical="top" wrapText="1"/>
    </xf>
    <xf numFmtId="0" fontId="59" fillId="17" borderId="1" xfId="2" quotePrefix="1" applyFont="1" applyFill="1" applyBorder="1" applyAlignment="1">
      <alignment horizontal="left" vertical="top" wrapText="1"/>
    </xf>
    <xf numFmtId="0" fontId="60" fillId="0" borderId="0" xfId="2" quotePrefix="1" applyFont="1" applyAlignment="1">
      <alignment horizontal="left" vertical="top" wrapText="1"/>
    </xf>
    <xf numFmtId="0" fontId="32" fillId="16" borderId="1" xfId="20" applyFont="1" applyFill="1" applyBorder="1" applyAlignment="1">
      <alignment vertical="top"/>
    </xf>
    <xf numFmtId="0" fontId="32" fillId="3" borderId="1" xfId="20" applyFont="1" applyFill="1" applyBorder="1" applyAlignment="1">
      <alignment vertical="top"/>
    </xf>
    <xf numFmtId="0" fontId="11" fillId="0" borderId="0" xfId="20" applyAlignment="1">
      <alignment vertical="top" wrapText="1"/>
    </xf>
    <xf numFmtId="0" fontId="32" fillId="19" borderId="1" xfId="20" applyFont="1" applyFill="1" applyBorder="1" applyAlignment="1">
      <alignment vertical="top"/>
    </xf>
    <xf numFmtId="0" fontId="47" fillId="0" borderId="0" xfId="20" applyFont="1" applyAlignment="1">
      <alignment vertical="top" wrapText="1"/>
    </xf>
    <xf numFmtId="0" fontId="47" fillId="0" borderId="0" xfId="20" applyFont="1" applyAlignment="1">
      <alignment vertical="top"/>
    </xf>
    <xf numFmtId="0" fontId="26" fillId="17" borderId="10" xfId="2" quotePrefix="1" applyFont="1" applyFill="1" applyBorder="1" applyAlignment="1">
      <alignment horizontal="left" vertical="top" wrapText="1"/>
    </xf>
    <xf numFmtId="0" fontId="67" fillId="17" borderId="10" xfId="2" quotePrefix="1" applyFont="1" applyFill="1" applyBorder="1" applyAlignment="1">
      <alignment horizontal="left" vertical="top" wrapText="1"/>
    </xf>
    <xf numFmtId="0" fontId="67" fillId="17" borderId="1" xfId="2" quotePrefix="1" applyFont="1" applyFill="1" applyBorder="1" applyAlignment="1">
      <alignment horizontal="left" vertical="top" wrapText="1"/>
    </xf>
    <xf numFmtId="0" fontId="67" fillId="17" borderId="0" xfId="2" quotePrefix="1" applyFont="1" applyFill="1" applyAlignment="1">
      <alignment horizontal="left" vertical="top" wrapText="1"/>
    </xf>
    <xf numFmtId="0" fontId="67" fillId="0" borderId="0" xfId="2" quotePrefix="1" applyFont="1" applyAlignment="1">
      <alignment horizontal="left" vertical="top" wrapText="1"/>
    </xf>
    <xf numFmtId="0" fontId="11" fillId="0" borderId="0" xfId="0" applyFont="1"/>
    <xf numFmtId="0" fontId="32" fillId="16" borderId="8" xfId="20" applyFont="1" applyFill="1" applyBorder="1" applyAlignment="1">
      <alignment horizontal="left" vertical="top"/>
    </xf>
    <xf numFmtId="0" fontId="10" fillId="0" borderId="0" xfId="0" applyFont="1"/>
    <xf numFmtId="0" fontId="9" fillId="0" borderId="0" xfId="0" applyFont="1"/>
    <xf numFmtId="0" fontId="9" fillId="9" borderId="0" xfId="0" applyFont="1" applyFill="1"/>
    <xf numFmtId="0" fontId="0" fillId="9" borderId="0" xfId="0" applyFill="1"/>
    <xf numFmtId="0" fontId="71" fillId="0" borderId="0" xfId="0" applyFont="1"/>
    <xf numFmtId="0" fontId="0" fillId="0" borderId="0" xfId="0" applyAlignment="1">
      <alignment horizontal="center" vertical="center"/>
    </xf>
    <xf numFmtId="0" fontId="23"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8" fillId="9" borderId="0" xfId="0" applyFont="1" applyFill="1"/>
    <xf numFmtId="0" fontId="7" fillId="0" borderId="0" xfId="0" applyFont="1"/>
    <xf numFmtId="0" fontId="0" fillId="0" borderId="0" xfId="0" applyAlignment="1">
      <alignment wrapText="1"/>
    </xf>
    <xf numFmtId="0" fontId="6" fillId="0" borderId="0" xfId="17" applyFont="1"/>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5" fillId="0" borderId="0" xfId="0" applyFont="1" applyAlignment="1">
      <alignment horizontal="left" vertical="center" wrapText="1"/>
    </xf>
    <xf numFmtId="0" fontId="4" fillId="0" borderId="0" xfId="0" applyFont="1" applyAlignment="1">
      <alignment horizontal="left" vertical="center" wrapText="1"/>
    </xf>
    <xf numFmtId="0" fontId="2" fillId="0" borderId="0" xfId="0" applyFont="1"/>
    <xf numFmtId="0" fontId="73" fillId="0" borderId="0" xfId="23" applyFont="1" applyAlignment="1">
      <alignment horizontal="left" vertical="top"/>
    </xf>
    <xf numFmtId="0" fontId="22" fillId="0" borderId="0" xfId="23" applyFont="1" applyAlignment="1">
      <alignment horizontal="left" vertical="top"/>
    </xf>
    <xf numFmtId="0" fontId="1" fillId="0" borderId="0" xfId="23" applyAlignment="1">
      <alignment horizontal="left" vertical="top"/>
    </xf>
    <xf numFmtId="0" fontId="22" fillId="0" borderId="0" xfId="23" applyFont="1" applyAlignment="1">
      <alignment horizontal="center" vertical="center"/>
    </xf>
    <xf numFmtId="0" fontId="22" fillId="0" borderId="0" xfId="23" applyFont="1" applyAlignment="1">
      <alignment horizontal="left" vertical="top" wrapText="1"/>
    </xf>
    <xf numFmtId="0" fontId="32" fillId="16" borderId="1" xfId="23" applyFont="1" applyFill="1" applyBorder="1"/>
    <xf numFmtId="0" fontId="32" fillId="16" borderId="0" xfId="23" applyFont="1" applyFill="1"/>
    <xf numFmtId="0" fontId="32" fillId="16" borderId="0" xfId="23" applyFont="1" applyFill="1" applyAlignment="1">
      <alignment horizontal="center" vertical="center"/>
    </xf>
    <xf numFmtId="0" fontId="22" fillId="0" borderId="0" xfId="23" applyFont="1"/>
    <xf numFmtId="0" fontId="26" fillId="24" borderId="1" xfId="2" applyFont="1" applyFill="1" applyBorder="1" applyAlignment="1">
      <alignment horizontal="left" vertical="top" wrapText="1"/>
    </xf>
    <xf numFmtId="0" fontId="26" fillId="24" borderId="1" xfId="2" applyFont="1" applyFill="1" applyBorder="1" applyAlignment="1">
      <alignment horizontal="left" vertical="top" textRotation="180" wrapText="1"/>
    </xf>
    <xf numFmtId="0" fontId="26" fillId="24" borderId="0" xfId="2" applyFont="1" applyFill="1" applyAlignment="1">
      <alignment horizontal="left" vertical="top" textRotation="180" wrapText="1"/>
    </xf>
    <xf numFmtId="0" fontId="22" fillId="0" borderId="0" xfId="23" applyFont="1" applyAlignment="1">
      <alignment horizontal="center" vertical="top" wrapText="1"/>
    </xf>
    <xf numFmtId="0" fontId="22" fillId="0" borderId="0" xfId="23" applyFont="1" applyAlignment="1">
      <alignment horizontal="center" vertical="top"/>
    </xf>
    <xf numFmtId="0" fontId="26" fillId="0" borderId="0" xfId="2" applyFont="1" applyAlignment="1">
      <alignment horizontal="left" vertical="top"/>
    </xf>
    <xf numFmtId="0" fontId="26" fillId="4" borderId="1" xfId="2" quotePrefix="1" applyFont="1" applyFill="1" applyBorder="1" applyAlignment="1">
      <alignment horizontal="left" vertical="top" wrapText="1"/>
    </xf>
    <xf numFmtId="0" fontId="26" fillId="4" borderId="0" xfId="2" quotePrefix="1" applyFont="1" applyFill="1" applyAlignment="1">
      <alignment horizontal="left" vertical="top" wrapText="1"/>
    </xf>
    <xf numFmtId="0" fontId="26" fillId="24" borderId="17" xfId="2" applyFont="1" applyFill="1" applyBorder="1" applyAlignment="1">
      <alignment horizontal="left" vertical="top" textRotation="180" wrapText="1"/>
    </xf>
    <xf numFmtId="0" fontId="22" fillId="0" borderId="0" xfId="23" applyFont="1" applyAlignment="1">
      <alignment horizontal="left" vertical="center"/>
    </xf>
    <xf numFmtId="0" fontId="22" fillId="0" borderId="0" xfId="23" applyFont="1" applyAlignment="1">
      <alignment vertical="center"/>
    </xf>
    <xf numFmtId="0" fontId="32" fillId="16" borderId="1" xfId="23" applyFont="1" applyFill="1" applyBorder="1" applyAlignment="1">
      <alignment horizontal="center" vertical="center"/>
    </xf>
    <xf numFmtId="0" fontId="26" fillId="24" borderId="1" xfId="2" applyFont="1" applyFill="1" applyBorder="1" applyAlignment="1">
      <alignment horizontal="left" vertical="center" wrapText="1"/>
    </xf>
    <xf numFmtId="0" fontId="26" fillId="24" borderId="1" xfId="2" applyFont="1" applyFill="1" applyBorder="1" applyAlignment="1">
      <alignment horizontal="left" vertical="center" textRotation="180" wrapText="1"/>
    </xf>
    <xf numFmtId="0" fontId="26" fillId="24" borderId="1" xfId="2" applyFont="1" applyFill="1" applyBorder="1" applyAlignment="1">
      <alignment horizontal="center" vertical="center" textRotation="180" wrapText="1"/>
    </xf>
    <xf numFmtId="0" fontId="22" fillId="0" borderId="0" xfId="23" applyFont="1" applyAlignment="1">
      <alignment horizontal="center" vertical="center" wrapText="1"/>
    </xf>
    <xf numFmtId="0" fontId="22" fillId="0" borderId="0" xfId="23" applyFont="1" applyAlignment="1">
      <alignment horizontal="left" vertical="center" wrapText="1"/>
    </xf>
    <xf numFmtId="0" fontId="26" fillId="4" borderId="1" xfId="2" quotePrefix="1" applyFont="1" applyFill="1" applyBorder="1" applyAlignment="1">
      <alignment horizontal="left" vertical="center" wrapText="1"/>
    </xf>
    <xf numFmtId="0" fontId="26" fillId="4" borderId="1" xfId="2" applyFont="1" applyFill="1" applyBorder="1" applyAlignment="1">
      <alignment horizontal="center" vertical="center" wrapText="1"/>
    </xf>
    <xf numFmtId="0" fontId="26" fillId="4" borderId="1" xfId="2" quotePrefix="1" applyFont="1" applyFill="1" applyBorder="1" applyAlignment="1">
      <alignment horizontal="center" vertical="center" wrapText="1"/>
    </xf>
    <xf numFmtId="0" fontId="32" fillId="16" borderId="1" xfId="23" applyFont="1" applyFill="1" applyBorder="1" applyAlignment="1">
      <alignment horizontal="left" vertical="top"/>
    </xf>
    <xf numFmtId="0" fontId="26" fillId="24" borderId="18" xfId="2" applyFont="1" applyFill="1" applyBorder="1" applyAlignment="1">
      <alignment horizontal="left" vertical="top" wrapText="1"/>
    </xf>
    <xf numFmtId="0" fontId="26" fillId="24" borderId="19" xfId="2" applyFont="1" applyFill="1" applyBorder="1" applyAlignment="1">
      <alignment horizontal="left" vertical="top" wrapText="1"/>
    </xf>
    <xf numFmtId="0" fontId="26" fillId="24" borderId="18" xfId="2" applyFont="1" applyFill="1" applyBorder="1" applyAlignment="1">
      <alignment horizontal="left" vertical="top" textRotation="180" wrapText="1"/>
    </xf>
    <xf numFmtId="0" fontId="26" fillId="4" borderId="18" xfId="2" applyFont="1" applyFill="1" applyBorder="1" applyAlignment="1">
      <alignment horizontal="left" vertical="top" wrapText="1"/>
    </xf>
    <xf numFmtId="0" fontId="26" fillId="4" borderId="19" xfId="2" applyFont="1" applyFill="1" applyBorder="1" applyAlignment="1">
      <alignment horizontal="left" vertical="top" wrapText="1"/>
    </xf>
    <xf numFmtId="0" fontId="26" fillId="4" borderId="18" xfId="2" quotePrefix="1" applyFont="1" applyFill="1" applyBorder="1" applyAlignment="1">
      <alignment horizontal="left" vertical="top" wrapText="1"/>
    </xf>
    <xf numFmtId="0" fontId="26" fillId="24" borderId="1" xfId="2" applyFont="1" applyFill="1" applyBorder="1" applyAlignment="1">
      <alignment horizontal="center" vertical="center" wrapText="1"/>
    </xf>
    <xf numFmtId="0" fontId="22" fillId="0" borderId="0" xfId="23" applyFont="1" applyAlignment="1">
      <alignment horizontal="center"/>
    </xf>
    <xf numFmtId="0" fontId="22" fillId="0" borderId="0" xfId="23" applyFont="1" applyAlignment="1">
      <alignment vertical="top"/>
    </xf>
    <xf numFmtId="0" fontId="26" fillId="0" borderId="0" xfId="2" applyFont="1" applyAlignment="1">
      <alignment horizontal="left" vertical="center"/>
    </xf>
    <xf numFmtId="0" fontId="67" fillId="4" borderId="1" xfId="2" applyFont="1" applyFill="1" applyBorder="1" applyAlignment="1">
      <alignment horizontal="left" vertical="top" wrapText="1"/>
    </xf>
    <xf numFmtId="0" fontId="22" fillId="0" borderId="0" xfId="23" applyFont="1" applyAlignment="1">
      <alignment wrapText="1"/>
    </xf>
    <xf numFmtId="0" fontId="32" fillId="16" borderId="1" xfId="23" applyFont="1" applyFill="1" applyBorder="1" applyAlignment="1">
      <alignment horizontal="left" vertical="top" wrapText="1"/>
    </xf>
    <xf numFmtId="0" fontId="22" fillId="0" borderId="0" xfId="23" applyFont="1" applyAlignment="1">
      <alignment vertical="center" wrapText="1"/>
    </xf>
    <xf numFmtId="0" fontId="22" fillId="0" borderId="0" xfId="23" quotePrefix="1" applyFont="1" applyAlignment="1">
      <alignment horizontal="left" vertical="center"/>
    </xf>
    <xf numFmtId="0" fontId="22" fillId="0" borderId="0" xfId="20" applyFont="1" applyAlignment="1">
      <alignment horizontal="left" vertical="top" wrapText="1"/>
    </xf>
    <xf numFmtId="0" fontId="11" fillId="0" borderId="0" xfId="20" applyAlignment="1">
      <alignment horizontal="center"/>
    </xf>
    <xf numFmtId="0" fontId="32" fillId="0" borderId="0" xfId="20" applyFont="1" applyAlignment="1">
      <alignment horizontal="center" vertical="center" wrapText="1"/>
    </xf>
    <xf numFmtId="0" fontId="22" fillId="0" borderId="0" xfId="20" applyFont="1" applyAlignment="1">
      <alignment horizontal="left" vertical="top"/>
    </xf>
    <xf numFmtId="0" fontId="32" fillId="0" borderId="5" xfId="13" applyFont="1" applyBorder="1" applyAlignment="1">
      <alignment horizontal="center" vertical="top" wrapText="1"/>
    </xf>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6" borderId="5" xfId="13" applyFont="1" applyFill="1" applyBorder="1" applyAlignment="1">
      <alignment horizontal="center" vertical="center" wrapText="1"/>
    </xf>
    <xf numFmtId="0" fontId="26" fillId="4" borderId="1" xfId="2" applyFont="1" applyFill="1" applyBorder="1" applyAlignment="1">
      <alignment horizontal="left" vertical="center" wrapText="1"/>
    </xf>
    <xf numFmtId="0" fontId="26" fillId="11" borderId="2" xfId="2" applyFont="1" applyFill="1" applyBorder="1" applyAlignment="1">
      <alignment horizontal="center" vertical="center" wrapText="1"/>
    </xf>
    <xf numFmtId="0" fontId="26" fillId="11" borderId="3" xfId="2" applyFont="1" applyFill="1" applyBorder="1" applyAlignment="1">
      <alignment horizontal="center" vertical="center" wrapText="1"/>
    </xf>
    <xf numFmtId="0" fontId="26" fillId="11" borderId="4" xfId="2" applyFont="1" applyFill="1" applyBorder="1" applyAlignment="1">
      <alignment horizontal="center" vertical="center" wrapText="1"/>
    </xf>
    <xf numFmtId="0" fontId="26" fillId="9" borderId="2" xfId="2" applyFont="1" applyFill="1" applyBorder="1" applyAlignment="1">
      <alignment horizontal="left" vertical="center" wrapText="1"/>
    </xf>
    <xf numFmtId="0" fontId="26" fillId="9" borderId="3" xfId="2" applyFont="1" applyFill="1" applyBorder="1" applyAlignment="1">
      <alignment horizontal="left" vertical="center" wrapText="1"/>
    </xf>
    <xf numFmtId="0" fontId="26" fillId="9" borderId="4" xfId="2" applyFont="1" applyFill="1" applyBorder="1" applyAlignment="1">
      <alignment horizontal="left" vertical="center" wrapText="1"/>
    </xf>
    <xf numFmtId="0" fontId="26" fillId="5" borderId="2" xfId="2" applyFont="1" applyFill="1" applyBorder="1" applyAlignment="1">
      <alignment horizontal="center" vertical="center" wrapText="1"/>
    </xf>
    <xf numFmtId="0" fontId="26" fillId="5" borderId="3" xfId="2" applyFont="1" applyFill="1" applyBorder="1" applyAlignment="1">
      <alignment horizontal="center" vertical="center" wrapText="1"/>
    </xf>
    <xf numFmtId="0" fontId="26"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xdr:colOff>
          <xdr:row>6</xdr:row>
          <xdr:rowOff>38100</xdr:rowOff>
        </xdr:from>
        <xdr:to>
          <xdr:col>1</xdr:col>
          <xdr:colOff>1708150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11</xdr:row>
          <xdr:rowOff>31750</xdr:rowOff>
        </xdr:from>
        <xdr:to>
          <xdr:col>1</xdr:col>
          <xdr:colOff>1746250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19</xdr:row>
          <xdr:rowOff>184150</xdr:rowOff>
        </xdr:from>
        <xdr:to>
          <xdr:col>1</xdr:col>
          <xdr:colOff>1746250</xdr:colOff>
          <xdr:row>21</xdr:row>
          <xdr:rowOff>6350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1746250</xdr:colOff>
          <xdr:row>14</xdr:row>
          <xdr:rowOff>31750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14</xdr:row>
          <xdr:rowOff>158750</xdr:rowOff>
        </xdr:from>
        <xdr:to>
          <xdr:col>2</xdr:col>
          <xdr:colOff>6350</xdr:colOff>
          <xdr:row>15</xdr:row>
          <xdr:rowOff>184150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17</xdr:row>
          <xdr:rowOff>6350</xdr:rowOff>
        </xdr:from>
        <xdr:to>
          <xdr:col>1</xdr:col>
          <xdr:colOff>1746250</xdr:colOff>
          <xdr:row>18</xdr:row>
          <xdr:rowOff>31750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24</xdr:row>
          <xdr:rowOff>31750</xdr:rowOff>
        </xdr:from>
        <xdr:to>
          <xdr:col>2</xdr:col>
          <xdr:colOff>6350</xdr:colOff>
          <xdr:row>25</xdr:row>
          <xdr:rowOff>31750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22</xdr:row>
          <xdr:rowOff>31750</xdr:rowOff>
        </xdr:from>
        <xdr:to>
          <xdr:col>1</xdr:col>
          <xdr:colOff>1708150</xdr:colOff>
          <xdr:row>23</xdr:row>
          <xdr:rowOff>6350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29</xdr:row>
          <xdr:rowOff>184150</xdr:rowOff>
        </xdr:from>
        <xdr:to>
          <xdr:col>2</xdr:col>
          <xdr:colOff>0</xdr:colOff>
          <xdr:row>31</xdr:row>
          <xdr:rowOff>6350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184150</xdr:rowOff>
        </xdr:from>
        <xdr:to>
          <xdr:col>1</xdr:col>
          <xdr:colOff>1746250</xdr:colOff>
          <xdr:row>28</xdr:row>
          <xdr:rowOff>184150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26</xdr:row>
          <xdr:rowOff>38100</xdr:rowOff>
        </xdr:from>
        <xdr:to>
          <xdr:col>2</xdr:col>
          <xdr:colOff>0</xdr:colOff>
          <xdr:row>27</xdr:row>
          <xdr:rowOff>6350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6350</xdr:rowOff>
        </xdr:from>
        <xdr:to>
          <xdr:col>2</xdr:col>
          <xdr:colOff>6350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1720850</xdr:colOff>
          <xdr:row>43</xdr:row>
          <xdr:rowOff>31750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6350</xdr:rowOff>
        </xdr:from>
        <xdr:to>
          <xdr:col>1</xdr:col>
          <xdr:colOff>1746250</xdr:colOff>
          <xdr:row>45</xdr:row>
          <xdr:rowOff>31750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46</xdr:row>
          <xdr:rowOff>6350</xdr:rowOff>
        </xdr:from>
        <xdr:to>
          <xdr:col>1</xdr:col>
          <xdr:colOff>1720850</xdr:colOff>
          <xdr:row>47</xdr:row>
          <xdr:rowOff>44450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11</xdr:row>
          <xdr:rowOff>69850</xdr:rowOff>
        </xdr:from>
        <xdr:to>
          <xdr:col>1</xdr:col>
          <xdr:colOff>965200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44450</xdr:colOff>
          <xdr:row>11</xdr:row>
          <xdr:rowOff>76200</xdr:rowOff>
        </xdr:from>
        <xdr:to>
          <xdr:col>2</xdr:col>
          <xdr:colOff>996950</xdr:colOff>
          <xdr:row>13</xdr:row>
          <xdr:rowOff>146050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11</xdr:row>
          <xdr:rowOff>69850</xdr:rowOff>
        </xdr:from>
        <xdr:to>
          <xdr:col>5</xdr:col>
          <xdr:colOff>984250</xdr:colOff>
          <xdr:row>13</xdr:row>
          <xdr:rowOff>139700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50800</xdr:colOff>
          <xdr:row>11</xdr:row>
          <xdr:rowOff>82550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107950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107950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25400</xdr:colOff>
          <xdr:row>11</xdr:row>
          <xdr:rowOff>12700</xdr:rowOff>
        </xdr:from>
        <xdr:to>
          <xdr:col>13</xdr:col>
          <xdr:colOff>977900</xdr:colOff>
          <xdr:row>13</xdr:row>
          <xdr:rowOff>82550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44450</xdr:colOff>
          <xdr:row>11</xdr:row>
          <xdr:rowOff>6350</xdr:rowOff>
        </xdr:from>
        <xdr:to>
          <xdr:col>14</xdr:col>
          <xdr:colOff>996950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101600</xdr:colOff>
          <xdr:row>11</xdr:row>
          <xdr:rowOff>69850</xdr:rowOff>
        </xdr:from>
        <xdr:to>
          <xdr:col>17</xdr:col>
          <xdr:colOff>876300</xdr:colOff>
          <xdr:row>13</xdr:row>
          <xdr:rowOff>82550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127000</xdr:colOff>
          <xdr:row>1</xdr:row>
          <xdr:rowOff>12700</xdr:rowOff>
        </xdr:from>
        <xdr:to>
          <xdr:col>2</xdr:col>
          <xdr:colOff>146050</xdr:colOff>
          <xdr:row>3</xdr:row>
          <xdr:rowOff>101600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501650</xdr:colOff>
          <xdr:row>1</xdr:row>
          <xdr:rowOff>0</xdr:rowOff>
        </xdr:from>
        <xdr:to>
          <xdr:col>3</xdr:col>
          <xdr:colOff>234950</xdr:colOff>
          <xdr:row>3</xdr:row>
          <xdr:rowOff>69850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107950</xdr:rowOff>
        </xdr:from>
        <xdr:to>
          <xdr:col>3</xdr:col>
          <xdr:colOff>2552700</xdr:colOff>
          <xdr:row>2</xdr:row>
          <xdr:rowOff>44450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184150</xdr:colOff>
          <xdr:row>0</xdr:row>
          <xdr:rowOff>146050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107950</xdr:rowOff>
        </xdr:from>
        <xdr:to>
          <xdr:col>5</xdr:col>
          <xdr:colOff>1416050</xdr:colOff>
          <xdr:row>2</xdr:row>
          <xdr:rowOff>44450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120650</xdr:rowOff>
        </xdr:from>
        <xdr:to>
          <xdr:col>4</xdr:col>
          <xdr:colOff>571500</xdr:colOff>
          <xdr:row>2</xdr:row>
          <xdr:rowOff>31750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topLeftCell="A31" workbookViewId="0">
      <selection activeCell="D43" sqref="D43"/>
    </sheetView>
  </sheetViews>
  <sheetFormatPr defaultColWidth="11.36328125" defaultRowHeight="14.5"/>
  <cols>
    <col min="2" max="2" width="25.453125" customWidth="1"/>
    <col min="3" max="3" width="5.36328125" customWidth="1"/>
  </cols>
  <sheetData>
    <row r="2" spans="2:13">
      <c r="B2" s="15" t="s">
        <v>400</v>
      </c>
    </row>
    <row r="3" spans="2:13">
      <c r="B3" s="15" t="s">
        <v>1490</v>
      </c>
    </row>
    <row r="4" spans="2:13">
      <c r="B4" s="15"/>
    </row>
    <row r="5" spans="2:13">
      <c r="B5" s="309" t="s">
        <v>1489</v>
      </c>
      <c r="C5" s="300"/>
      <c r="D5" s="300"/>
      <c r="E5" s="300"/>
      <c r="F5" s="300"/>
      <c r="G5" s="300"/>
      <c r="H5" s="300"/>
      <c r="I5" s="300"/>
      <c r="J5" s="300"/>
      <c r="K5" s="300"/>
      <c r="L5" s="300"/>
      <c r="M5" s="300"/>
    </row>
    <row r="8" spans="2:13">
      <c r="H8" s="17"/>
      <c r="J8" s="17"/>
    </row>
    <row r="10" spans="2:13">
      <c r="B10" s="16" t="s">
        <v>392</v>
      </c>
      <c r="C10" s="16" t="s">
        <v>391</v>
      </c>
    </row>
    <row r="12" spans="2:13">
      <c r="D12" s="298" t="s">
        <v>1477</v>
      </c>
    </row>
    <row r="14" spans="2:13">
      <c r="D14" s="298" t="s">
        <v>1478</v>
      </c>
    </row>
    <row r="16" spans="2:13">
      <c r="D16" s="298" t="s">
        <v>1479</v>
      </c>
    </row>
    <row r="18" spans="4:6">
      <c r="D18" s="298" t="s">
        <v>1480</v>
      </c>
    </row>
    <row r="21" spans="4:6">
      <c r="D21" s="298" t="s">
        <v>1481</v>
      </c>
      <c r="F21" s="17"/>
    </row>
    <row r="23" spans="4:6">
      <c r="D23" s="298" t="s">
        <v>1487</v>
      </c>
    </row>
    <row r="25" spans="4:6">
      <c r="D25" s="298" t="s">
        <v>1482</v>
      </c>
    </row>
    <row r="27" spans="4:6">
      <c r="D27" s="298" t="s">
        <v>1483</v>
      </c>
    </row>
    <row r="29" spans="4:6">
      <c r="D29" s="298" t="s">
        <v>1484</v>
      </c>
    </row>
    <row r="30" spans="4:6">
      <c r="F30" s="17"/>
    </row>
    <row r="31" spans="4:6">
      <c r="D31" s="298" t="s">
        <v>1485</v>
      </c>
    </row>
    <row r="33" spans="2:13">
      <c r="D33" s="298" t="s">
        <v>1486</v>
      </c>
    </row>
    <row r="34" spans="2:13">
      <c r="G34" s="68"/>
    </row>
    <row r="36" spans="2:13">
      <c r="B36" s="67" t="s">
        <v>427</v>
      </c>
    </row>
    <row r="37" spans="2:13">
      <c r="B37" s="15" t="s">
        <v>425</v>
      </c>
    </row>
    <row r="38" spans="2:13">
      <c r="B38" s="15" t="s">
        <v>426</v>
      </c>
    </row>
    <row r="39" spans="2:13">
      <c r="B39" s="15" t="s">
        <v>2047</v>
      </c>
    </row>
    <row r="40" spans="2:13">
      <c r="B40" s="15" t="s">
        <v>408</v>
      </c>
    </row>
    <row r="41" spans="2:13">
      <c r="B41" s="299" t="s">
        <v>1488</v>
      </c>
      <c r="C41" s="300"/>
      <c r="D41" s="300"/>
      <c r="E41" s="300"/>
      <c r="F41" s="300"/>
      <c r="G41" s="300"/>
      <c r="H41" s="300"/>
      <c r="I41" s="300"/>
      <c r="J41" s="300"/>
      <c r="K41" s="300"/>
      <c r="L41" s="300"/>
      <c r="M41" s="300"/>
    </row>
    <row r="52" spans="4:4">
      <c r="D52" s="301"/>
    </row>
  </sheetData>
  <phoneticPr fontId="7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6350</xdr:colOff>
                    <xdr:row>6</xdr:row>
                    <xdr:rowOff>38100</xdr:rowOff>
                  </from>
                  <to>
                    <xdr:col>1</xdr:col>
                    <xdr:colOff>1708150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31750</xdr:colOff>
                    <xdr:row>11</xdr:row>
                    <xdr:rowOff>31750</xdr:rowOff>
                  </from>
                  <to>
                    <xdr:col>1</xdr:col>
                    <xdr:colOff>1746250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6350</xdr:colOff>
                    <xdr:row>19</xdr:row>
                    <xdr:rowOff>184150</xdr:rowOff>
                  </from>
                  <to>
                    <xdr:col>1</xdr:col>
                    <xdr:colOff>1746250</xdr:colOff>
                    <xdr:row>21</xdr:row>
                    <xdr:rowOff>6350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1746250</xdr:colOff>
                    <xdr:row>14</xdr:row>
                    <xdr:rowOff>31750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31750</xdr:colOff>
                    <xdr:row>14</xdr:row>
                    <xdr:rowOff>158750</xdr:rowOff>
                  </from>
                  <to>
                    <xdr:col>2</xdr:col>
                    <xdr:colOff>6350</xdr:colOff>
                    <xdr:row>15</xdr:row>
                    <xdr:rowOff>184150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6350</xdr:colOff>
                    <xdr:row>17</xdr:row>
                    <xdr:rowOff>6350</xdr:rowOff>
                  </from>
                  <to>
                    <xdr:col>1</xdr:col>
                    <xdr:colOff>1746250</xdr:colOff>
                    <xdr:row>18</xdr:row>
                    <xdr:rowOff>31750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31750</xdr:colOff>
                    <xdr:row>24</xdr:row>
                    <xdr:rowOff>31750</xdr:rowOff>
                  </from>
                  <to>
                    <xdr:col>2</xdr:col>
                    <xdr:colOff>6350</xdr:colOff>
                    <xdr:row>25</xdr:row>
                    <xdr:rowOff>31750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31750</xdr:colOff>
                    <xdr:row>22</xdr:row>
                    <xdr:rowOff>31750</xdr:rowOff>
                  </from>
                  <to>
                    <xdr:col>1</xdr:col>
                    <xdr:colOff>1708150</xdr:colOff>
                    <xdr:row>23</xdr:row>
                    <xdr:rowOff>6350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6350</xdr:colOff>
                    <xdr:row>29</xdr:row>
                    <xdr:rowOff>184150</xdr:rowOff>
                  </from>
                  <to>
                    <xdr:col>2</xdr:col>
                    <xdr:colOff>0</xdr:colOff>
                    <xdr:row>31</xdr:row>
                    <xdr:rowOff>6350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184150</xdr:rowOff>
                  </from>
                  <to>
                    <xdr:col>1</xdr:col>
                    <xdr:colOff>1746250</xdr:colOff>
                    <xdr:row>28</xdr:row>
                    <xdr:rowOff>184150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31750</xdr:colOff>
                    <xdr:row>26</xdr:row>
                    <xdr:rowOff>38100</xdr:rowOff>
                  </from>
                  <to>
                    <xdr:col>2</xdr:col>
                    <xdr:colOff>0</xdr:colOff>
                    <xdr:row>27</xdr:row>
                    <xdr:rowOff>6350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6350</xdr:rowOff>
                  </from>
                  <to>
                    <xdr:col>2</xdr:col>
                    <xdr:colOff>6350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1720850</xdr:colOff>
                    <xdr:row>43</xdr:row>
                    <xdr:rowOff>31750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6350</xdr:rowOff>
                  </from>
                  <to>
                    <xdr:col>1</xdr:col>
                    <xdr:colOff>1746250</xdr:colOff>
                    <xdr:row>45</xdr:row>
                    <xdr:rowOff>31750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31750</xdr:colOff>
                    <xdr:row>46</xdr:row>
                    <xdr:rowOff>6350</xdr:rowOff>
                  </from>
                  <to>
                    <xdr:col>1</xdr:col>
                    <xdr:colOff>1720850</xdr:colOff>
                    <xdr:row>47</xdr:row>
                    <xdr:rowOff>44450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4.6328125" style="77" customWidth="1"/>
    <col min="2" max="4" width="7.90625" style="77" customWidth="1"/>
    <col min="5" max="13" width="15.6328125" style="77" customWidth="1"/>
    <col min="14" max="14" width="18" style="77" customWidth="1"/>
    <col min="15" max="15" width="82.90625" style="77" customWidth="1"/>
    <col min="16" max="16" width="3.6328125" style="77" customWidth="1"/>
    <col min="17" max="17" width="25.6328125" style="77" customWidth="1"/>
    <col min="18" max="18" width="88.6328125" style="77" customWidth="1"/>
    <col min="19" max="20" width="20.6328125" style="77" customWidth="1"/>
    <col min="21" max="21" width="64.36328125" style="77" hidden="1" customWidth="1"/>
    <col min="22" max="16384" width="8.6328125" style="77"/>
  </cols>
  <sheetData>
    <row r="1" spans="1:27" ht="18.5">
      <c r="A1" s="72" t="s">
        <v>546</v>
      </c>
      <c r="B1" s="72"/>
      <c r="C1" s="72"/>
      <c r="D1" s="72"/>
      <c r="E1" s="73"/>
      <c r="F1" s="74"/>
      <c r="G1" s="75"/>
      <c r="H1" s="76"/>
      <c r="I1" s="76"/>
      <c r="J1" s="76"/>
      <c r="K1" s="76"/>
      <c r="L1" s="76"/>
      <c r="M1" s="76"/>
      <c r="N1" s="76"/>
      <c r="O1" s="76"/>
      <c r="P1" s="76"/>
      <c r="Q1" s="76"/>
    </row>
    <row r="2" spans="1:27">
      <c r="A2" s="78" t="s">
        <v>456</v>
      </c>
      <c r="B2" s="78"/>
      <c r="C2" s="78"/>
      <c r="D2" s="78"/>
      <c r="E2" s="74" t="s">
        <v>142</v>
      </c>
      <c r="F2" s="74"/>
      <c r="G2" s="75"/>
      <c r="H2" s="76"/>
      <c r="I2" s="76"/>
      <c r="J2" s="76"/>
      <c r="K2" s="76"/>
      <c r="L2" s="76"/>
      <c r="M2" s="76"/>
      <c r="N2" s="76"/>
      <c r="O2" s="76"/>
      <c r="P2" s="76"/>
      <c r="Q2" s="76"/>
    </row>
    <row r="3" spans="1:27">
      <c r="A3" s="74" t="s">
        <v>457</v>
      </c>
      <c r="B3" s="74"/>
      <c r="C3" s="74"/>
      <c r="D3" s="74"/>
      <c r="E3" s="74" t="s">
        <v>547</v>
      </c>
      <c r="F3" s="74"/>
      <c r="G3" s="75"/>
      <c r="H3" s="76"/>
      <c r="I3" s="76"/>
      <c r="J3" s="76"/>
      <c r="K3" s="76"/>
      <c r="L3" s="76"/>
      <c r="M3" s="76"/>
      <c r="N3" s="76"/>
      <c r="O3" s="76"/>
      <c r="P3" s="76"/>
      <c r="Q3" s="76"/>
    </row>
    <row r="4" spans="1:27">
      <c r="A4" s="79"/>
      <c r="B4" s="79"/>
      <c r="C4" s="79"/>
      <c r="D4" s="79"/>
      <c r="E4" s="80" t="s">
        <v>47</v>
      </c>
      <c r="F4" s="81" t="s">
        <v>54</v>
      </c>
      <c r="G4" s="81"/>
      <c r="H4" s="82"/>
      <c r="I4" s="83" t="s">
        <v>56</v>
      </c>
      <c r="J4" s="84"/>
      <c r="K4" s="84"/>
      <c r="L4" s="84"/>
      <c r="M4" s="83"/>
      <c r="N4" s="83"/>
      <c r="O4" s="74"/>
      <c r="P4" s="74"/>
      <c r="Q4" s="74"/>
      <c r="R4" s="74"/>
      <c r="S4" s="74"/>
      <c r="T4" s="78"/>
    </row>
    <row r="5" spans="1:27">
      <c r="A5" s="85"/>
      <c r="B5" s="85"/>
      <c r="C5" s="85"/>
      <c r="D5" s="85"/>
      <c r="E5" s="86" t="s">
        <v>548</v>
      </c>
      <c r="F5" s="87" t="s">
        <v>549</v>
      </c>
      <c r="G5" s="87"/>
      <c r="H5" s="82"/>
      <c r="I5" s="83" t="s">
        <v>550</v>
      </c>
      <c r="J5" s="84"/>
      <c r="K5" s="84"/>
      <c r="L5" s="84"/>
      <c r="M5" s="88"/>
      <c r="N5" s="88"/>
      <c r="O5" s="76"/>
      <c r="P5" s="76"/>
      <c r="Q5" s="76"/>
      <c r="R5" s="85"/>
      <c r="S5" s="74"/>
      <c r="T5" s="78"/>
      <c r="U5" s="85"/>
    </row>
    <row r="6" spans="1:27" s="95" customFormat="1">
      <c r="A6" s="89"/>
      <c r="B6" s="89"/>
      <c r="C6" s="89"/>
      <c r="D6" s="89"/>
      <c r="E6" s="3" t="s">
        <v>143</v>
      </c>
      <c r="F6" s="90" t="s">
        <v>145</v>
      </c>
      <c r="G6" s="90" t="s">
        <v>147</v>
      </c>
      <c r="H6" s="90" t="s">
        <v>148</v>
      </c>
      <c r="I6" s="91" t="s">
        <v>149</v>
      </c>
      <c r="J6" s="91" t="s">
        <v>150</v>
      </c>
      <c r="K6" s="91" t="s">
        <v>151</v>
      </c>
      <c r="L6" s="91" t="s">
        <v>152</v>
      </c>
      <c r="M6" s="91" t="s">
        <v>153</v>
      </c>
      <c r="N6" s="92" t="s">
        <v>154</v>
      </c>
      <c r="O6" s="93"/>
      <c r="P6" s="93"/>
      <c r="Q6" s="93"/>
      <c r="R6" s="94"/>
      <c r="S6" s="94"/>
      <c r="T6" s="94"/>
    </row>
    <row r="7" spans="1:27" s="95" customFormat="1" ht="69.900000000000006" customHeight="1">
      <c r="A7" s="96" t="s">
        <v>551</v>
      </c>
      <c r="B7" s="96"/>
      <c r="C7" s="96"/>
      <c r="D7" s="96"/>
      <c r="E7" s="97" t="s">
        <v>552</v>
      </c>
      <c r="F7" s="97" t="s">
        <v>553</v>
      </c>
      <c r="G7" s="97" t="s">
        <v>554</v>
      </c>
      <c r="H7" s="97" t="s">
        <v>555</v>
      </c>
      <c r="I7" s="97" t="s">
        <v>556</v>
      </c>
      <c r="J7" s="97" t="s">
        <v>557</v>
      </c>
      <c r="K7" s="97" t="s">
        <v>558</v>
      </c>
      <c r="L7" s="97" t="s">
        <v>559</v>
      </c>
      <c r="M7" s="97" t="s">
        <v>560</v>
      </c>
      <c r="N7" s="97" t="s">
        <v>561</v>
      </c>
      <c r="O7" s="93"/>
      <c r="P7" s="93"/>
      <c r="Q7" s="93"/>
    </row>
    <row r="8" spans="1:27" s="95" customFormat="1" ht="110.4" customHeight="1">
      <c r="A8" s="89" t="s">
        <v>562</v>
      </c>
      <c r="B8" s="89"/>
      <c r="C8" s="89"/>
      <c r="D8" s="89"/>
      <c r="E8" s="98" t="s">
        <v>563</v>
      </c>
      <c r="F8" s="98" t="s">
        <v>564</v>
      </c>
      <c r="G8" s="98" t="s">
        <v>565</v>
      </c>
      <c r="H8" s="98" t="s">
        <v>566</v>
      </c>
      <c r="I8" s="98" t="s">
        <v>567</v>
      </c>
      <c r="J8" s="98" t="s">
        <v>568</v>
      </c>
      <c r="K8" s="98" t="s">
        <v>569</v>
      </c>
      <c r="L8" s="98" t="s">
        <v>570</v>
      </c>
      <c r="M8" s="98" t="s">
        <v>571</v>
      </c>
      <c r="N8" s="98" t="s">
        <v>572</v>
      </c>
      <c r="O8" s="99"/>
      <c r="P8" s="99"/>
      <c r="Q8" s="99"/>
    </row>
    <row r="9" spans="1:27" s="95" customFormat="1" ht="228">
      <c r="A9" s="89" t="s">
        <v>96</v>
      </c>
      <c r="B9" s="89"/>
      <c r="C9" s="89"/>
      <c r="D9" s="89"/>
      <c r="E9" s="98" t="s">
        <v>573</v>
      </c>
      <c r="F9" s="98" t="s">
        <v>574</v>
      </c>
      <c r="G9" s="98" t="s">
        <v>575</v>
      </c>
      <c r="H9" s="98" t="s">
        <v>576</v>
      </c>
      <c r="I9" s="98" t="s">
        <v>577</v>
      </c>
      <c r="J9" s="98" t="s">
        <v>578</v>
      </c>
      <c r="K9" s="98" t="s">
        <v>579</v>
      </c>
      <c r="L9" s="98" t="s">
        <v>580</v>
      </c>
      <c r="M9" s="98" t="s">
        <v>581</v>
      </c>
      <c r="N9" s="98" t="s">
        <v>582</v>
      </c>
      <c r="O9" s="99"/>
      <c r="P9" s="99"/>
      <c r="Q9" s="99"/>
    </row>
    <row r="10" spans="1:27" s="95" customFormat="1" ht="91">
      <c r="A10" s="89" t="s">
        <v>583</v>
      </c>
      <c r="B10" s="89"/>
      <c r="C10" s="89"/>
      <c r="D10" s="89"/>
      <c r="E10" s="102"/>
      <c r="F10" s="102" t="s">
        <v>584</v>
      </c>
      <c r="G10" s="102" t="s">
        <v>585</v>
      </c>
      <c r="H10" s="102" t="s">
        <v>586</v>
      </c>
      <c r="I10" s="102" t="s">
        <v>587</v>
      </c>
      <c r="J10" s="102" t="s">
        <v>588</v>
      </c>
      <c r="K10" s="102" t="s">
        <v>589</v>
      </c>
      <c r="L10" s="102" t="s">
        <v>590</v>
      </c>
      <c r="M10" s="102" t="s">
        <v>591</v>
      </c>
      <c r="N10" s="103" t="s">
        <v>592</v>
      </c>
      <c r="O10" s="93"/>
      <c r="P10" s="93"/>
      <c r="Q10" s="93"/>
    </row>
    <row r="11" spans="1:27" s="95" customFormat="1" ht="39">
      <c r="A11" s="104" t="s">
        <v>85</v>
      </c>
      <c r="B11" s="104"/>
      <c r="C11" s="104"/>
      <c r="D11" s="104"/>
      <c r="E11" s="102"/>
      <c r="F11" s="102" t="s">
        <v>593</v>
      </c>
      <c r="G11" s="102" t="s">
        <v>594</v>
      </c>
      <c r="H11" s="102" t="s">
        <v>595</v>
      </c>
      <c r="I11" s="102" t="s">
        <v>596</v>
      </c>
      <c r="J11" s="102" t="s">
        <v>597</v>
      </c>
      <c r="K11" s="102" t="s">
        <v>598</v>
      </c>
      <c r="L11" s="102" t="s">
        <v>599</v>
      </c>
      <c r="M11" s="102" t="s">
        <v>600</v>
      </c>
      <c r="N11" s="103" t="s">
        <v>601</v>
      </c>
      <c r="O11" s="93"/>
      <c r="P11" s="93"/>
      <c r="Q11" s="93"/>
    </row>
    <row r="15" spans="1:27" customFormat="1">
      <c r="A15" t="s">
        <v>452</v>
      </c>
      <c r="B15" t="s">
        <v>104</v>
      </c>
      <c r="C15" t="s">
        <v>105</v>
      </c>
      <c r="D15" s="295" t="s">
        <v>451</v>
      </c>
      <c r="E15" s="14" t="s">
        <v>143</v>
      </c>
      <c r="F15" s="14" t="s">
        <v>145</v>
      </c>
      <c r="G15" s="14" t="s">
        <v>147</v>
      </c>
      <c r="H15" s="14" t="s">
        <v>148</v>
      </c>
      <c r="I15" s="14" t="s">
        <v>149</v>
      </c>
      <c r="J15" s="14" t="s">
        <v>150</v>
      </c>
      <c r="K15" s="14" t="s">
        <v>151</v>
      </c>
      <c r="L15" s="14" t="s">
        <v>152</v>
      </c>
      <c r="M15" s="14" t="s">
        <v>153</v>
      </c>
      <c r="N15" s="14" t="s">
        <v>154</v>
      </c>
    </row>
    <row r="16" spans="1:27">
      <c r="A16" t="s">
        <v>545</v>
      </c>
      <c r="B16" s="15" t="s">
        <v>104</v>
      </c>
      <c r="C16" s="15" t="str">
        <f>HYPERLINK("02-项目级\P2-Qcubic to MySQL数据同步工具 V1.0\01-生存周期\05-设计\01-概要设计书(QCUBIC-SJTB-TS-BD)V1.0-engl.docx", "engl")</f>
        <v>engl</v>
      </c>
      <c r="D16"/>
      <c r="E16" t="s">
        <v>435</v>
      </c>
      <c r="F16" t="s">
        <v>435</v>
      </c>
      <c r="G16" t="s">
        <v>435</v>
      </c>
      <c r="H16"/>
      <c r="I16" t="s">
        <v>435</v>
      </c>
      <c r="J16" t="s">
        <v>435</v>
      </c>
      <c r="K16" t="s">
        <v>435</v>
      </c>
      <c r="L16" t="s">
        <v>435</v>
      </c>
      <c r="M16" t="s">
        <v>435</v>
      </c>
      <c r="N16" t="s">
        <v>435</v>
      </c>
      <c r="O16"/>
      <c r="P16"/>
      <c r="Q16"/>
      <c r="R16"/>
      <c r="S16"/>
      <c r="T16"/>
      <c r="U16"/>
      <c r="V16"/>
      <c r="W16"/>
      <c r="X16"/>
      <c r="Y16"/>
      <c r="Z16"/>
      <c r="AA16"/>
    </row>
    <row r="17" spans="1:27">
      <c r="A17" t="s">
        <v>545</v>
      </c>
      <c r="B17" s="15" t="s">
        <v>104</v>
      </c>
      <c r="C17" s="15" t="str">
        <f>HYPERLINK("02-项目级\P2-Qcubic to MySQL数据同步工具 V1.0\01-生存周期\05-设计\03-详细设计说明书(QCUBIC-SJTB-TS-DD)V1.0-engl.docx", "engl")</f>
        <v>engl</v>
      </c>
      <c r="D17"/>
      <c r="E17" t="s">
        <v>435</v>
      </c>
      <c r="F17" t="s">
        <v>435</v>
      </c>
      <c r="G17" t="s">
        <v>435</v>
      </c>
      <c r="H17"/>
      <c r="I17" t="s">
        <v>435</v>
      </c>
      <c r="J17" t="s">
        <v>435</v>
      </c>
      <c r="K17" t="s">
        <v>435</v>
      </c>
      <c r="L17" t="s">
        <v>435</v>
      </c>
      <c r="M17" t="s">
        <v>435</v>
      </c>
      <c r="N17" t="s">
        <v>435</v>
      </c>
      <c r="O17"/>
      <c r="P17"/>
      <c r="Q17"/>
      <c r="R17"/>
      <c r="S17"/>
      <c r="T17"/>
      <c r="U17"/>
      <c r="V17"/>
      <c r="W17"/>
      <c r="X17"/>
      <c r="Y17"/>
      <c r="Z17"/>
      <c r="AA17"/>
    </row>
    <row r="18" spans="1:27">
      <c r="A18" t="s">
        <v>545</v>
      </c>
      <c r="B18" s="15" t="s">
        <v>104</v>
      </c>
      <c r="C18" s="15" t="str">
        <f>HYPERLINK("02-项目级\P2-Qcubic to MySQL数据同步工具 V1.0\02-全程管理\05-评审管理\05-设计评审\01-概要设计说明书\05-评审报告_概要设计书(QCUBIC-SJTB-PR-ReviewRpt)V1.1-engl.xlsx", "engl")</f>
        <v>engl</v>
      </c>
      <c r="D18"/>
      <c r="E18"/>
      <c r="F18"/>
      <c r="G18" t="s">
        <v>435</v>
      </c>
      <c r="H18"/>
      <c r="I18"/>
      <c r="J18"/>
      <c r="K18"/>
      <c r="L18"/>
      <c r="M18"/>
      <c r="N18"/>
      <c r="O18"/>
      <c r="P18"/>
      <c r="Q18"/>
      <c r="R18"/>
      <c r="S18"/>
      <c r="T18"/>
      <c r="U18"/>
      <c r="V18"/>
      <c r="W18"/>
      <c r="X18"/>
      <c r="Y18"/>
      <c r="Z18"/>
      <c r="AA18"/>
    </row>
    <row r="19" spans="1:27">
      <c r="A19" t="s">
        <v>545</v>
      </c>
      <c r="B19" s="15" t="s">
        <v>104</v>
      </c>
      <c r="C19" s="15" t="str">
        <f>HYPERLINK("02-项目级\P2-Qcubic to MySQL数据同步工具 V1.0\02-全程管理\05-评审管理\05-设计评审\02-详细设计说明书\05-评审报告_详细设计(QCUBIC-SJTB-PR-ReviewRpt)V1.1-engl.xlsx", "engl")</f>
        <v>engl</v>
      </c>
      <c r="D19"/>
      <c r="E19"/>
      <c r="F19"/>
      <c r="G19" t="s">
        <v>435</v>
      </c>
      <c r="H19"/>
      <c r="I19"/>
      <c r="J19"/>
      <c r="K19"/>
      <c r="L19"/>
      <c r="M19"/>
      <c r="N19"/>
      <c r="O19"/>
      <c r="P19"/>
      <c r="Q19"/>
      <c r="R19"/>
      <c r="S19"/>
      <c r="T19"/>
      <c r="U19"/>
      <c r="V19"/>
      <c r="W19"/>
      <c r="X19"/>
      <c r="Y19"/>
      <c r="Z19"/>
      <c r="AA19"/>
    </row>
    <row r="20" spans="1:27">
      <c r="A20" t="s">
        <v>545</v>
      </c>
      <c r="B20" s="15" t="s">
        <v>104</v>
      </c>
      <c r="C20" s="15" t="str">
        <f>HYPERLINK("02-项目级\P2-Qcubic to MySQL数据同步工具 V1.0\01-生存周期\05-设计\04-用户手册(QCUBIC-SJTB-TS-Tem-UserMPMnual)V1.0-engl.docx", "engl")</f>
        <v>engl</v>
      </c>
      <c r="D20"/>
      <c r="E20"/>
      <c r="F20"/>
      <c r="G20"/>
      <c r="H20" t="s">
        <v>435</v>
      </c>
      <c r="I20"/>
      <c r="J20"/>
      <c r="K20"/>
      <c r="L20"/>
      <c r="M20"/>
      <c r="N20"/>
      <c r="O20"/>
      <c r="P20"/>
      <c r="Q20"/>
      <c r="R20"/>
      <c r="S20"/>
      <c r="T20"/>
      <c r="U20"/>
      <c r="V20"/>
      <c r="W20"/>
      <c r="X20"/>
      <c r="Y20"/>
      <c r="Z20"/>
      <c r="AA20"/>
    </row>
    <row r="21" spans="1:27">
      <c r="A21" t="s">
        <v>545</v>
      </c>
      <c r="B21" s="15" t="s">
        <v>104</v>
      </c>
      <c r="C21" s="15" t="str">
        <f>HYPERLINK("01-组织级\01-组织财富库\01-标准过程文件库\02-软件工程规范\03-设计\设计过程文件(QCUBIC-SPI-TS-Proc-Design)V1.2-engl.docx", "engl")</f>
        <v>engl</v>
      </c>
      <c r="D21"/>
      <c r="E21"/>
      <c r="F21"/>
      <c r="G21"/>
      <c r="H21"/>
      <c r="I21" t="s">
        <v>435</v>
      </c>
      <c r="J21"/>
      <c r="K21"/>
      <c r="L21"/>
      <c r="M21"/>
      <c r="N21"/>
      <c r="O21"/>
      <c r="P21"/>
      <c r="Q21"/>
      <c r="R21"/>
      <c r="S21"/>
      <c r="T21"/>
      <c r="U21"/>
      <c r="V21"/>
      <c r="W21"/>
      <c r="X21"/>
      <c r="Y21"/>
      <c r="Z21"/>
      <c r="AA21"/>
    </row>
    <row r="22" spans="1:27">
      <c r="A22" t="s">
        <v>545</v>
      </c>
      <c r="B22" s="15" t="s">
        <v>104</v>
      </c>
      <c r="C22" s="15" t="str">
        <f>HYPERLINK("02-项目级\P2-Qcubic to MySQL数据同步工具 V1.0\02-全程管理\04-决策分析\01-决策分析报告（QCUBIC-SJTB-dar-evaluaterpt)V1.0-engl.xlsx", "engl")</f>
        <v>engl</v>
      </c>
      <c r="D22"/>
      <c r="E22"/>
      <c r="F22"/>
      <c r="G22"/>
      <c r="H22"/>
      <c r="I22"/>
      <c r="J22" t="s">
        <v>435</v>
      </c>
      <c r="K22"/>
      <c r="L22" t="s">
        <v>435</v>
      </c>
      <c r="M22"/>
      <c r="N22"/>
      <c r="O22"/>
      <c r="P22"/>
      <c r="Q22"/>
      <c r="R22"/>
      <c r="S22"/>
      <c r="T22"/>
      <c r="U22"/>
      <c r="V22"/>
      <c r="W22"/>
      <c r="X22"/>
      <c r="Y22"/>
      <c r="Z22"/>
      <c r="AA22"/>
    </row>
    <row r="23" spans="1:27">
      <c r="A23" t="s">
        <v>545</v>
      </c>
      <c r="B23" s="15" t="s">
        <v>104</v>
      </c>
      <c r="C23" s="15" t="str">
        <f>HYPERLINK("02-项目级\P2-Qcubic to MySQL数据同步工具 V1.0\01-生存周期\05-设计\05-购买,复用,自制评价表(QCUBIC-SJTB-TS-Purchase, reuse, self-made evaluation)V1.0-engl.xlsx", "engl")</f>
        <v>engl</v>
      </c>
      <c r="D23"/>
      <c r="E23"/>
      <c r="F23"/>
      <c r="G23"/>
      <c r="H23"/>
      <c r="I23"/>
      <c r="J23"/>
      <c r="K23" t="s">
        <v>435</v>
      </c>
      <c r="L23"/>
      <c r="M23"/>
      <c r="N23"/>
      <c r="O23"/>
      <c r="P23"/>
      <c r="Q23"/>
      <c r="R23"/>
      <c r="S23"/>
      <c r="T23"/>
      <c r="U23"/>
      <c r="V23"/>
      <c r="W23"/>
      <c r="X23"/>
      <c r="Y23"/>
      <c r="Z23"/>
      <c r="AA23"/>
    </row>
    <row r="24" spans="1:27">
      <c r="A24" t="s">
        <v>545</v>
      </c>
      <c r="B24" s="15" t="s">
        <v>104</v>
      </c>
      <c r="C24" s="15" t="str">
        <f>HYPERLINK("01-组织级\01-组织财富库\01-标准过程文件库\02-软件工程规范\03-设计\设计规范(QCUBIC-SPI-TS-Std-Design)V1.2-engl.docx", "engl")</f>
        <v>engl</v>
      </c>
      <c r="D24"/>
      <c r="E24"/>
      <c r="F24"/>
      <c r="G24"/>
      <c r="H24"/>
      <c r="I24"/>
      <c r="J24"/>
      <c r="K24"/>
      <c r="L24"/>
      <c r="M24"/>
      <c r="N24" t="s">
        <v>435</v>
      </c>
      <c r="O24"/>
      <c r="P24"/>
      <c r="Q24"/>
      <c r="R24"/>
      <c r="S24"/>
      <c r="T24"/>
      <c r="U24"/>
      <c r="V24"/>
      <c r="W24"/>
      <c r="X24"/>
      <c r="Y24"/>
      <c r="Z24"/>
      <c r="AA24"/>
    </row>
    <row r="25" spans="1:27">
      <c r="A25" t="s">
        <v>545</v>
      </c>
      <c r="B25" s="15" t="s">
        <v>104</v>
      </c>
      <c r="C25" s="15" t="str">
        <f>HYPERLINK("01-组织级\01-组织财富库\01-标准过程文件库\02-软件工程规范\03-设计\设计指南(QCUBIC-SPI-TS-Guid-Design)V1.2-engl.docx", "engl")</f>
        <v>engl</v>
      </c>
      <c r="D25"/>
      <c r="E25"/>
      <c r="F25"/>
      <c r="G25"/>
      <c r="H25"/>
      <c r="I25"/>
      <c r="J25"/>
      <c r="K25"/>
      <c r="L25"/>
      <c r="M25"/>
      <c r="N25" t="s">
        <v>435</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2.453125" style="109" customWidth="1"/>
    <col min="2" max="4" width="7.90625" style="109" customWidth="1"/>
    <col min="5" max="14" width="15.6328125" style="109" customWidth="1"/>
    <col min="15" max="15" width="70.90625" style="109" customWidth="1"/>
    <col min="16" max="16" width="3.6328125" style="109" customWidth="1"/>
    <col min="17" max="17" width="32.36328125" style="109" customWidth="1"/>
    <col min="18" max="18" width="96.54296875" style="109" customWidth="1"/>
    <col min="19" max="19" width="8.6328125" style="109"/>
    <col min="20" max="20" width="10.36328125" style="109" bestFit="1" customWidth="1"/>
    <col min="21" max="21" width="20.453125" style="109" bestFit="1" customWidth="1"/>
    <col min="22" max="16384" width="8.6328125" style="109"/>
  </cols>
  <sheetData>
    <row r="1" spans="1:27" ht="18.5">
      <c r="A1" s="105" t="s">
        <v>602</v>
      </c>
      <c r="B1" s="105"/>
      <c r="C1" s="105"/>
      <c r="D1" s="105"/>
      <c r="E1" s="106"/>
      <c r="F1" s="107"/>
      <c r="G1" s="108"/>
      <c r="H1" s="108"/>
      <c r="I1" s="108"/>
      <c r="J1" s="108"/>
      <c r="K1" s="108"/>
      <c r="L1" s="108"/>
      <c r="M1" s="108"/>
      <c r="N1" s="108"/>
      <c r="O1" s="108"/>
      <c r="P1" s="108"/>
      <c r="Q1" s="108"/>
    </row>
    <row r="2" spans="1:27">
      <c r="A2" s="110" t="s">
        <v>456</v>
      </c>
      <c r="B2" s="110"/>
      <c r="C2" s="110"/>
      <c r="D2" s="110"/>
      <c r="E2" s="107" t="s">
        <v>124</v>
      </c>
      <c r="F2" s="107"/>
      <c r="G2" s="108"/>
      <c r="H2" s="108"/>
      <c r="I2" s="108"/>
      <c r="J2" s="108"/>
      <c r="K2" s="108"/>
      <c r="L2" s="108"/>
      <c r="M2" s="108"/>
      <c r="N2" s="108"/>
      <c r="O2" s="108"/>
      <c r="P2" s="108"/>
      <c r="Q2" s="108"/>
    </row>
    <row r="3" spans="1:27">
      <c r="A3" s="107" t="s">
        <v>457</v>
      </c>
      <c r="B3" s="107"/>
      <c r="C3" s="107"/>
      <c r="D3" s="107"/>
      <c r="E3" s="107" t="s">
        <v>125</v>
      </c>
      <c r="F3" s="107"/>
      <c r="G3" s="108"/>
      <c r="H3" s="108"/>
      <c r="I3" s="108"/>
      <c r="J3" s="108"/>
      <c r="K3" s="108"/>
      <c r="L3" s="108"/>
      <c r="M3" s="108"/>
      <c r="N3" s="108"/>
      <c r="O3" s="108"/>
      <c r="P3" s="108"/>
      <c r="Q3" s="108"/>
    </row>
    <row r="4" spans="1:27">
      <c r="A4" s="111"/>
      <c r="B4" s="111"/>
      <c r="C4" s="111"/>
      <c r="D4" s="111"/>
      <c r="E4" s="112" t="s">
        <v>47</v>
      </c>
      <c r="F4" s="113" t="s">
        <v>54</v>
      </c>
      <c r="G4" s="113"/>
      <c r="H4" s="114"/>
      <c r="I4" s="113"/>
      <c r="J4" s="115"/>
      <c r="K4" s="115"/>
      <c r="L4" s="116" t="s">
        <v>56</v>
      </c>
      <c r="M4" s="116"/>
      <c r="N4" s="116"/>
      <c r="O4" s="107"/>
      <c r="P4" s="107"/>
      <c r="Q4" s="107"/>
      <c r="R4" s="107"/>
      <c r="S4" s="107"/>
      <c r="T4" s="110"/>
      <c r="U4" s="117"/>
      <c r="V4" s="117"/>
    </row>
    <row r="5" spans="1:27">
      <c r="A5" s="118"/>
      <c r="B5" s="118"/>
      <c r="C5" s="118"/>
      <c r="D5" s="118"/>
      <c r="E5" s="119" t="s">
        <v>548</v>
      </c>
      <c r="F5" s="120" t="s">
        <v>549</v>
      </c>
      <c r="G5" s="120"/>
      <c r="H5" s="114"/>
      <c r="I5" s="120"/>
      <c r="J5" s="115"/>
      <c r="K5" s="115"/>
      <c r="L5" s="116" t="s">
        <v>550</v>
      </c>
      <c r="M5" s="121"/>
      <c r="N5" s="121"/>
      <c r="O5" s="108"/>
      <c r="P5" s="108"/>
      <c r="Q5" s="108"/>
      <c r="R5" s="118"/>
      <c r="S5" s="107"/>
      <c r="T5" s="110"/>
      <c r="U5" s="118"/>
      <c r="V5" s="117"/>
    </row>
    <row r="6" spans="1:27">
      <c r="A6" s="122"/>
      <c r="B6" s="122"/>
      <c r="C6" s="122"/>
      <c r="D6" s="122"/>
      <c r="E6" s="3" t="s">
        <v>126</v>
      </c>
      <c r="F6" s="90" t="s">
        <v>128</v>
      </c>
      <c r="G6" s="90" t="s">
        <v>130</v>
      </c>
      <c r="H6" s="90" t="s">
        <v>132</v>
      </c>
      <c r="I6" s="90" t="s">
        <v>134</v>
      </c>
      <c r="J6" s="90" t="s">
        <v>135</v>
      </c>
      <c r="K6" s="90" t="s">
        <v>136</v>
      </c>
      <c r="L6" s="91" t="s">
        <v>137</v>
      </c>
      <c r="M6" s="91" t="s">
        <v>138</v>
      </c>
      <c r="N6" s="92" t="s">
        <v>140</v>
      </c>
      <c r="O6" s="93"/>
      <c r="P6" s="93"/>
      <c r="Q6" s="93"/>
      <c r="R6" s="123"/>
      <c r="S6" s="123"/>
      <c r="T6" s="123"/>
    </row>
    <row r="7" spans="1:27" ht="117">
      <c r="A7" s="124" t="s">
        <v>551</v>
      </c>
      <c r="B7" s="124"/>
      <c r="C7" s="124"/>
      <c r="D7" s="124"/>
      <c r="E7" s="97" t="s">
        <v>603</v>
      </c>
      <c r="F7" s="97" t="s">
        <v>604</v>
      </c>
      <c r="G7" s="97" t="s">
        <v>605</v>
      </c>
      <c r="H7" s="97" t="s">
        <v>606</v>
      </c>
      <c r="I7" s="97" t="s">
        <v>607</v>
      </c>
      <c r="J7" s="97" t="s">
        <v>608</v>
      </c>
      <c r="K7" s="97" t="s">
        <v>609</v>
      </c>
      <c r="L7" s="97" t="s">
        <v>610</v>
      </c>
      <c r="M7" s="97" t="s">
        <v>611</v>
      </c>
      <c r="N7" s="97" t="s">
        <v>612</v>
      </c>
      <c r="O7" s="93"/>
      <c r="P7" s="93"/>
      <c r="Q7" s="93"/>
    </row>
    <row r="8" spans="1:27" ht="132">
      <c r="A8" s="122" t="s">
        <v>562</v>
      </c>
      <c r="B8" s="122"/>
      <c r="C8" s="122"/>
      <c r="D8" s="122"/>
      <c r="E8" s="125" t="s">
        <v>613</v>
      </c>
      <c r="F8" s="125" t="s">
        <v>614</v>
      </c>
      <c r="G8" s="125" t="s">
        <v>615</v>
      </c>
      <c r="H8" s="125" t="s">
        <v>616</v>
      </c>
      <c r="I8" s="125" t="s">
        <v>617</v>
      </c>
      <c r="J8" s="125" t="s">
        <v>618</v>
      </c>
      <c r="K8" s="125" t="s">
        <v>619</v>
      </c>
      <c r="L8" s="125" t="s">
        <v>620</v>
      </c>
      <c r="M8" s="126" t="s">
        <v>621</v>
      </c>
      <c r="N8" s="126" t="s">
        <v>622</v>
      </c>
      <c r="O8" s="127"/>
      <c r="P8" s="127"/>
      <c r="Q8" s="127"/>
    </row>
    <row r="9" spans="1:27" ht="246" customHeight="1">
      <c r="A9" s="122" t="s">
        <v>96</v>
      </c>
      <c r="B9" s="122"/>
      <c r="C9" s="122"/>
      <c r="D9" s="122"/>
      <c r="E9" s="125" t="s">
        <v>623</v>
      </c>
      <c r="F9" s="125" t="s">
        <v>624</v>
      </c>
      <c r="G9" s="125" t="s">
        <v>625</v>
      </c>
      <c r="H9" s="125" t="s">
        <v>626</v>
      </c>
      <c r="I9" s="125" t="s">
        <v>627</v>
      </c>
      <c r="J9" s="125" t="s">
        <v>628</v>
      </c>
      <c r="K9" s="125" t="s">
        <v>629</v>
      </c>
      <c r="L9" s="125" t="s">
        <v>630</v>
      </c>
      <c r="M9" s="125" t="s">
        <v>631</v>
      </c>
      <c r="N9" s="125" t="s">
        <v>632</v>
      </c>
      <c r="O9" s="127"/>
      <c r="P9" s="127"/>
      <c r="Q9" s="127"/>
    </row>
    <row r="10" spans="1:27" ht="116.9" customHeight="1">
      <c r="A10" s="122" t="s">
        <v>583</v>
      </c>
      <c r="B10" s="122"/>
      <c r="C10" s="122"/>
      <c r="D10" s="122"/>
      <c r="E10" s="133"/>
      <c r="F10" s="133" t="s">
        <v>633</v>
      </c>
      <c r="G10" s="133" t="s">
        <v>634</v>
      </c>
      <c r="H10" s="133" t="s">
        <v>635</v>
      </c>
      <c r="I10" s="133" t="s">
        <v>636</v>
      </c>
      <c r="J10" s="133" t="s">
        <v>637</v>
      </c>
      <c r="K10" s="133" t="s">
        <v>638</v>
      </c>
      <c r="L10" s="133" t="s">
        <v>639</v>
      </c>
      <c r="M10" s="133" t="s">
        <v>640</v>
      </c>
      <c r="N10" s="133" t="s">
        <v>641</v>
      </c>
      <c r="O10" s="134"/>
      <c r="P10" s="134"/>
      <c r="Q10" s="134"/>
    </row>
    <row r="11" spans="1:27" ht="116.9" customHeight="1">
      <c r="A11" s="135" t="s">
        <v>85</v>
      </c>
      <c r="B11" s="135"/>
      <c r="C11" s="135"/>
      <c r="D11" s="135"/>
      <c r="E11" s="133"/>
      <c r="F11" s="133" t="s">
        <v>642</v>
      </c>
      <c r="G11" s="133" t="s">
        <v>643</v>
      </c>
      <c r="H11" s="133" t="s">
        <v>644</v>
      </c>
      <c r="I11" s="133" t="s">
        <v>645</v>
      </c>
      <c r="J11" s="133" t="s">
        <v>646</v>
      </c>
      <c r="K11" s="133" t="s">
        <v>647</v>
      </c>
      <c r="L11" s="133" t="s">
        <v>648</v>
      </c>
      <c r="M11" s="133" t="s">
        <v>649</v>
      </c>
      <c r="N11" s="133" t="s">
        <v>650</v>
      </c>
      <c r="O11" s="134"/>
      <c r="P11" s="134"/>
      <c r="Q11" s="134"/>
    </row>
    <row r="12" spans="1:27" s="117" customFormat="1" ht="15" customHeight="1">
      <c r="A12" s="109"/>
      <c r="B12" s="109"/>
      <c r="C12" s="109"/>
      <c r="D12" s="109"/>
      <c r="E12" s="109"/>
      <c r="F12" s="109"/>
      <c r="G12" s="109"/>
      <c r="H12" s="109"/>
      <c r="I12" s="109"/>
      <c r="J12" s="109"/>
      <c r="K12" s="109"/>
      <c r="L12" s="109"/>
      <c r="M12" s="109"/>
      <c r="N12" s="109"/>
      <c r="O12" s="109"/>
      <c r="P12" s="109"/>
      <c r="Q12" s="109"/>
      <c r="R12" s="109"/>
      <c r="S12" s="109"/>
      <c r="T12" s="109"/>
      <c r="U12" s="93"/>
    </row>
    <row r="13" spans="1:27" s="117" customFormat="1" ht="15" customHeight="1">
      <c r="A13" s="109"/>
      <c r="B13" s="109"/>
      <c r="C13" s="109"/>
      <c r="D13" s="109"/>
      <c r="E13" s="109"/>
      <c r="F13" s="109"/>
      <c r="G13" s="109"/>
      <c r="H13" s="109"/>
      <c r="I13" s="109"/>
      <c r="J13" s="109"/>
      <c r="K13" s="109"/>
      <c r="L13" s="109"/>
      <c r="M13" s="109"/>
      <c r="N13" s="109"/>
      <c r="O13" s="109"/>
      <c r="P13" s="109"/>
      <c r="Q13" s="109"/>
      <c r="R13" s="109"/>
      <c r="S13" s="109"/>
      <c r="T13" s="109"/>
    </row>
    <row r="14" spans="1:27" s="117" customFormat="1" ht="15" customHeight="1">
      <c r="A14" s="109"/>
      <c r="B14" s="109"/>
      <c r="C14" s="109"/>
      <c r="D14" s="109"/>
      <c r="E14" s="109"/>
      <c r="F14" s="109"/>
      <c r="G14" s="109"/>
      <c r="H14" s="109"/>
      <c r="I14" s="109"/>
      <c r="J14" s="109"/>
      <c r="K14" s="109"/>
      <c r="L14" s="109"/>
      <c r="M14" s="109"/>
      <c r="N14" s="109"/>
      <c r="O14" s="109"/>
      <c r="P14" s="109"/>
      <c r="Q14" s="109"/>
      <c r="R14" s="109"/>
      <c r="S14" s="109"/>
      <c r="T14" s="109"/>
    </row>
    <row r="15" spans="1:27" customFormat="1">
      <c r="A15" t="s">
        <v>452</v>
      </c>
      <c r="B15" t="s">
        <v>104</v>
      </c>
      <c r="C15" t="s">
        <v>105</v>
      </c>
      <c r="D15" s="295" t="s">
        <v>451</v>
      </c>
      <c r="E15" s="14" t="s">
        <v>126</v>
      </c>
      <c r="F15" s="14" t="s">
        <v>128</v>
      </c>
      <c r="G15" s="14" t="s">
        <v>130</v>
      </c>
      <c r="H15" s="14" t="s">
        <v>132</v>
      </c>
      <c r="I15" s="14" t="s">
        <v>134</v>
      </c>
      <c r="J15" s="14" t="s">
        <v>135</v>
      </c>
      <c r="K15" s="14" t="s">
        <v>136</v>
      </c>
      <c r="L15" s="14" t="s">
        <v>137</v>
      </c>
      <c r="M15" s="14" t="s">
        <v>138</v>
      </c>
      <c r="N15" s="14" t="s">
        <v>140</v>
      </c>
    </row>
    <row r="16" spans="1:27" s="117" customFormat="1" ht="15" customHeight="1">
      <c r="A16" s="320" t="s">
        <v>1658</v>
      </c>
      <c r="B16" s="15" t="s">
        <v>104</v>
      </c>
      <c r="C16" s="15" t="str">
        <f>HYPERLINK("02-项目级\P2-Qcubic to MySQL数据同步工具 V1.0\01-生存周期\06-实现\02-产品集成\01-产品集成计划(QCUBIC-SJTB-PI-Plan)V1.0-engl.docx", "engl")</f>
        <v>engl</v>
      </c>
      <c r="D16"/>
      <c r="E16" t="s">
        <v>435</v>
      </c>
      <c r="F16" t="s">
        <v>435</v>
      </c>
      <c r="G16" t="s">
        <v>435</v>
      </c>
      <c r="H16" t="s">
        <v>435</v>
      </c>
      <c r="I16"/>
      <c r="J16"/>
      <c r="K16"/>
      <c r="L16"/>
      <c r="M16"/>
      <c r="N16"/>
      <c r="O16"/>
      <c r="P16"/>
      <c r="Q16"/>
      <c r="R16"/>
      <c r="S16"/>
      <c r="T16"/>
      <c r="U16"/>
      <c r="V16"/>
      <c r="W16"/>
      <c r="X16"/>
      <c r="Y16"/>
      <c r="Z16"/>
      <c r="AA16"/>
    </row>
    <row r="17" spans="1:27" s="117" customFormat="1">
      <c r="A17" s="320" t="s">
        <v>1659</v>
      </c>
      <c r="B17" s="15" t="s">
        <v>104</v>
      </c>
      <c r="C17" s="15" t="str">
        <f>HYPERLINK("02-项目级\P2-Qcubic to MySQL数据同步工具 V1.0\01-生存周期\06-实现\02-产品集成\06-产品集成阶段报告\03-产品集成阶段报告(QCUBIC-SJTB-PI-InterimReport-3)V1.0-engl.docx", "engl")</f>
        <v>engl</v>
      </c>
      <c r="D17"/>
      <c r="E17" t="s">
        <v>435</v>
      </c>
      <c r="F17"/>
      <c r="G17"/>
      <c r="H17" t="s">
        <v>435</v>
      </c>
      <c r="I17"/>
      <c r="J17" t="s">
        <v>435</v>
      </c>
      <c r="K17" t="s">
        <v>435</v>
      </c>
      <c r="L17"/>
      <c r="M17"/>
      <c r="N17" t="s">
        <v>435</v>
      </c>
      <c r="O17"/>
      <c r="P17"/>
      <c r="Q17"/>
      <c r="R17"/>
      <c r="S17"/>
      <c r="T17"/>
      <c r="U17"/>
      <c r="V17"/>
      <c r="W17"/>
      <c r="X17"/>
      <c r="Y17"/>
      <c r="Z17"/>
      <c r="AA17"/>
    </row>
    <row r="18" spans="1:27">
      <c r="A18" t="s">
        <v>545</v>
      </c>
      <c r="B18" s="15" t="s">
        <v>104</v>
      </c>
      <c r="C18" s="15" t="str">
        <f>HYPERLINK("01-组织级\01-组织财富库\01-标准过程文件库\02-软件工程规范\04-实现\实现过程文件 (QCUBIC-SPI-DEV-Proc-Doc)V1.2-engl.docx", "engl")</f>
        <v>engl</v>
      </c>
      <c r="D18"/>
      <c r="E18"/>
      <c r="F18"/>
      <c r="G18"/>
      <c r="H18" t="s">
        <v>435</v>
      </c>
      <c r="I18"/>
      <c r="J18"/>
      <c r="K18"/>
      <c r="L18"/>
      <c r="M18"/>
      <c r="N18"/>
      <c r="O18"/>
      <c r="P18"/>
      <c r="Q18"/>
      <c r="R18"/>
      <c r="S18"/>
      <c r="T18"/>
      <c r="U18"/>
      <c r="V18"/>
      <c r="W18"/>
      <c r="X18"/>
      <c r="Y18"/>
      <c r="Z18"/>
      <c r="AA18"/>
    </row>
    <row r="19" spans="1:27">
      <c r="A19" t="s">
        <v>545</v>
      </c>
      <c r="B19" s="15" t="s">
        <v>104</v>
      </c>
      <c r="C19" s="15" t="str">
        <f>HYPERLINK("01-组织级\01-组织财富库\01-标准过程文件库\02-软件工程规范\05-测试\02-产品集成及集成测试\产品集成指南(QCUBIC-SPI-VV-Guid-PI)V1.2-engl.docx", "engl")</f>
        <v>engl</v>
      </c>
      <c r="D19"/>
      <c r="E19"/>
      <c r="F19"/>
      <c r="G19"/>
      <c r="H19" t="s">
        <v>435</v>
      </c>
      <c r="I19"/>
      <c r="J19"/>
      <c r="K19"/>
      <c r="L19"/>
      <c r="M19"/>
      <c r="N19"/>
      <c r="O19"/>
      <c r="P19"/>
      <c r="Q19"/>
      <c r="R19"/>
      <c r="S19"/>
      <c r="T19"/>
      <c r="U19"/>
      <c r="V19"/>
      <c r="W19"/>
      <c r="X19"/>
      <c r="Y19"/>
      <c r="Z19"/>
      <c r="AA19"/>
    </row>
    <row r="20" spans="1:27">
      <c r="A20" t="s">
        <v>545</v>
      </c>
      <c r="B20" s="15" t="s">
        <v>104</v>
      </c>
      <c r="C20" s="15" t="str">
        <f>HYPERLINK("02-项目级\P2-Qcubic to MySQL数据同步工具 V1.0\01-生存周期\06-实现\02-产品集成\03-产品集成检查列表(QCUBIC-SJTB-PI-PIChkList)V1.0-engl.xlsx", "engl")</f>
        <v>engl</v>
      </c>
      <c r="D20"/>
      <c r="E20"/>
      <c r="F20"/>
      <c r="G20"/>
      <c r="H20"/>
      <c r="I20" t="s">
        <v>435</v>
      </c>
      <c r="J20"/>
      <c r="K20"/>
      <c r="L20"/>
      <c r="M20"/>
      <c r="N20"/>
      <c r="O20"/>
      <c r="P20"/>
      <c r="Q20"/>
      <c r="R20"/>
      <c r="S20"/>
      <c r="T20"/>
      <c r="U20"/>
      <c r="V20"/>
      <c r="W20"/>
      <c r="X20"/>
      <c r="Y20"/>
      <c r="Z20"/>
      <c r="AA20"/>
    </row>
    <row r="21" spans="1:27">
      <c r="A21" t="s">
        <v>545</v>
      </c>
      <c r="B21" s="15" t="s">
        <v>104</v>
      </c>
      <c r="C21" s="15" t="str">
        <f>HYPERLINK("02-项目级\P2-Qcubic to MySQL数据同步工具 V1.0\01-生存周期\07-测试\02-集成测试\01-集成测试用例(QCUBIC-SJTB-VV-TestCase-SystemTest)V1.0-engl.xlsx", "engl")</f>
        <v>engl</v>
      </c>
      <c r="D21"/>
      <c r="E21"/>
      <c r="F21"/>
      <c r="G21"/>
      <c r="H21"/>
      <c r="I21"/>
      <c r="J21" t="s">
        <v>435</v>
      </c>
      <c r="K21"/>
      <c r="L21"/>
      <c r="M21"/>
      <c r="N21"/>
      <c r="O21"/>
      <c r="P21"/>
      <c r="Q21"/>
      <c r="R21"/>
      <c r="S21"/>
      <c r="T21"/>
      <c r="U21"/>
      <c r="V21"/>
      <c r="W21"/>
      <c r="X21"/>
      <c r="Y21"/>
      <c r="Z21"/>
      <c r="AA21"/>
    </row>
    <row r="22" spans="1:27">
      <c r="A22" t="s">
        <v>545</v>
      </c>
      <c r="B22" s="15" t="s">
        <v>104</v>
      </c>
      <c r="C22" s="15" t="str">
        <f>HYPERLINK("02-项目级\P2-Qcubic to MySQL数据同步工具 V1.0\01-生存周期\07-测试\02-集成测试\04-集成测试报告(QCUBIC-SJTB-LP_VV_IntegrationTestRet)V1.0-engl.docx", "engl")</f>
        <v>engl</v>
      </c>
      <c r="D22"/>
      <c r="E22"/>
      <c r="F22"/>
      <c r="G22"/>
      <c r="H22"/>
      <c r="I22"/>
      <c r="J22" t="s">
        <v>435</v>
      </c>
      <c r="K22"/>
      <c r="L22"/>
      <c r="M22"/>
      <c r="N22"/>
      <c r="O22"/>
      <c r="P22"/>
      <c r="Q22"/>
      <c r="R22"/>
      <c r="S22"/>
      <c r="T22"/>
      <c r="U22"/>
      <c r="V22"/>
      <c r="W22"/>
      <c r="X22"/>
      <c r="Y22"/>
      <c r="Z22"/>
      <c r="AA22"/>
    </row>
    <row r="23" spans="1:27">
      <c r="A23" t="s">
        <v>545</v>
      </c>
      <c r="B23" s="15" t="s">
        <v>104</v>
      </c>
      <c r="C23" s="15" t="str">
        <f>HYPERLINK("02-项目级\P2-Qcubic to MySQL数据同步工具 V1.0\01-生存周期\05-设计\01-概要设计书(QCUBIC-SJTB-TS-BD)V1.0-engl.docx", "engl")</f>
        <v>engl</v>
      </c>
      <c r="D23"/>
      <c r="E23"/>
      <c r="F23"/>
      <c r="G23"/>
      <c r="H23"/>
      <c r="I23"/>
      <c r="J23"/>
      <c r="K23"/>
      <c r="L23" t="s">
        <v>435</v>
      </c>
      <c r="M23" t="s">
        <v>435</v>
      </c>
      <c r="N23"/>
      <c r="O23"/>
      <c r="P23"/>
      <c r="Q23"/>
      <c r="R23"/>
      <c r="S23"/>
      <c r="T23"/>
      <c r="U23"/>
      <c r="V23"/>
      <c r="W23"/>
      <c r="X23"/>
      <c r="Y23"/>
      <c r="Z23"/>
      <c r="AA23"/>
    </row>
    <row r="24" spans="1:27">
      <c r="A24" t="s">
        <v>545</v>
      </c>
      <c r="B24" s="15" t="s">
        <v>104</v>
      </c>
      <c r="C24" s="15" t="str">
        <f>HYPERLINK("02-项目级\P2-Qcubic to MySQL数据同步工具 V1.0\01-生存周期\05-设计\03-详细设计说明书(QCUBIC-SJTB-TS-DD)V1.0-engl.docx", "engl")</f>
        <v>engl</v>
      </c>
      <c r="D24"/>
      <c r="E24"/>
      <c r="F24"/>
      <c r="G24"/>
      <c r="H24"/>
      <c r="I24"/>
      <c r="J24"/>
      <c r="K24"/>
      <c r="L24" t="s">
        <v>435</v>
      </c>
      <c r="M24" t="s">
        <v>435</v>
      </c>
      <c r="N24"/>
      <c r="O24"/>
      <c r="P24"/>
      <c r="Q24"/>
      <c r="R24"/>
      <c r="S24"/>
      <c r="T24"/>
      <c r="U24"/>
      <c r="V24"/>
      <c r="W24"/>
      <c r="X24"/>
      <c r="Y24"/>
      <c r="Z24"/>
      <c r="AA24"/>
    </row>
    <row r="25" spans="1:27">
      <c r="A25" t="s">
        <v>545</v>
      </c>
      <c r="B25" s="15" t="s">
        <v>104</v>
      </c>
      <c r="C25" s="15" t="str">
        <f>HYPERLINK("02-项目级\P2-Qcubic to MySQL数据同步工具 V1.0\01-生存周期\06-实现\02-产品集成\04-接口检查列表(QCUBIC-SJTB-PI-PIChkList)V1.0-engl.xlsx", "engl")</f>
        <v>engl</v>
      </c>
      <c r="D25"/>
      <c r="E25"/>
      <c r="F25"/>
      <c r="G25"/>
      <c r="H25"/>
      <c r="I25"/>
      <c r="J25"/>
      <c r="K25"/>
      <c r="L25" t="s">
        <v>435</v>
      </c>
      <c r="M25" t="s">
        <v>435</v>
      </c>
      <c r="N25" t="s">
        <v>435</v>
      </c>
      <c r="O25"/>
      <c r="P25"/>
      <c r="Q25"/>
      <c r="R25"/>
      <c r="S25"/>
      <c r="T25"/>
      <c r="U25"/>
      <c r="V25"/>
      <c r="W25"/>
      <c r="X25"/>
      <c r="Y25"/>
      <c r="Z25"/>
      <c r="AA25"/>
    </row>
    <row r="26" spans="1:27">
      <c r="A26" t="s">
        <v>545</v>
      </c>
      <c r="B26" s="15" t="s">
        <v>104</v>
      </c>
      <c r="C26" s="15" t="str">
        <f>HYPERLINK("02-项目级\P2-Qcubic to MySQL数据同步工具 V1.0\01-生存周期\06-实现\03-代码检查\02-代码调试BUG管理表(QCUBIC-SJTB-VV-CDBugList)V1.0-engl.xlsx", "engl")</f>
        <v>engl</v>
      </c>
      <c r="D26"/>
      <c r="E26"/>
      <c r="F26"/>
      <c r="G26"/>
      <c r="H26"/>
      <c r="I26"/>
      <c r="J26"/>
      <c r="K26"/>
      <c r="L26" t="s">
        <v>435</v>
      </c>
      <c r="M26" t="s">
        <v>435</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2.453125" style="118" customWidth="1"/>
    <col min="2" max="4" width="7.90625" style="118" customWidth="1"/>
    <col min="5" max="8" width="20.6328125" style="118" customWidth="1"/>
    <col min="9" max="10" width="20.6328125" style="136" customWidth="1"/>
    <col min="11" max="11" width="76.90625" style="136" customWidth="1"/>
    <col min="12" max="12" width="3.6328125" style="136" customWidth="1"/>
    <col min="13" max="13" width="20.6328125" style="136" customWidth="1"/>
    <col min="14" max="14" width="77.90625" style="136" customWidth="1"/>
    <col min="15" max="17" width="8.6328125" style="136"/>
    <col min="18" max="16384" width="8.6328125" style="118"/>
  </cols>
  <sheetData>
    <row r="1" spans="1:27" s="137" customFormat="1" ht="18.5">
      <c r="A1" s="105" t="s">
        <v>651</v>
      </c>
      <c r="B1" s="105"/>
      <c r="C1" s="105"/>
      <c r="D1" s="105"/>
      <c r="E1" s="107"/>
      <c r="F1" s="106"/>
      <c r="G1" s="107"/>
      <c r="H1" s="107"/>
      <c r="I1" s="136"/>
      <c r="J1" s="136"/>
      <c r="K1" s="136"/>
      <c r="L1" s="136"/>
      <c r="M1" s="136"/>
      <c r="N1" s="136"/>
      <c r="O1" s="136"/>
      <c r="P1" s="136"/>
      <c r="Q1" s="136"/>
    </row>
    <row r="2" spans="1:27" s="138" customFormat="1">
      <c r="A2" s="110" t="s">
        <v>456</v>
      </c>
      <c r="B2" s="110"/>
      <c r="C2" s="110"/>
      <c r="D2" s="110"/>
      <c r="E2" s="107" t="s">
        <v>166</v>
      </c>
      <c r="F2" s="107"/>
      <c r="G2" s="107"/>
      <c r="H2" s="107"/>
      <c r="I2" s="136"/>
      <c r="J2" s="136"/>
      <c r="K2" s="136"/>
      <c r="L2" s="136"/>
      <c r="M2" s="136"/>
      <c r="N2" s="136"/>
      <c r="O2" s="136"/>
      <c r="P2" s="136"/>
      <c r="Q2" s="136"/>
    </row>
    <row r="3" spans="1:27" s="138" customFormat="1">
      <c r="A3" s="107" t="s">
        <v>457</v>
      </c>
      <c r="B3" s="107"/>
      <c r="C3" s="107"/>
      <c r="D3" s="107"/>
      <c r="E3" s="107" t="s">
        <v>167</v>
      </c>
      <c r="F3" s="107"/>
      <c r="G3" s="107"/>
      <c r="H3" s="107"/>
      <c r="I3" s="136"/>
      <c r="J3" s="136"/>
      <c r="K3" s="136"/>
      <c r="L3" s="136"/>
      <c r="M3" s="136"/>
      <c r="N3" s="136"/>
      <c r="O3" s="136"/>
      <c r="P3" s="136"/>
      <c r="Q3" s="136"/>
    </row>
    <row r="4" spans="1:27" s="138" customFormat="1" ht="14.5">
      <c r="A4" s="111"/>
      <c r="B4" s="111"/>
      <c r="C4" s="111"/>
      <c r="D4" s="111"/>
      <c r="E4" s="112" t="s">
        <v>47</v>
      </c>
      <c r="F4" s="113" t="s">
        <v>54</v>
      </c>
      <c r="G4" s="113"/>
      <c r="H4" s="114"/>
      <c r="I4" s="113"/>
      <c r="J4" s="116" t="s">
        <v>56</v>
      </c>
      <c r="K4" s="107"/>
      <c r="L4" s="107"/>
      <c r="M4" s="107"/>
      <c r="N4" s="107"/>
      <c r="O4" s="110"/>
      <c r="P4" s="117"/>
      <c r="Q4" s="117"/>
    </row>
    <row r="5" spans="1:27" s="139" customFormat="1" ht="14.5">
      <c r="A5" s="118"/>
      <c r="B5" s="118"/>
      <c r="C5" s="118"/>
      <c r="D5" s="118"/>
      <c r="E5" s="119" t="s">
        <v>548</v>
      </c>
      <c r="F5" s="120" t="s">
        <v>549</v>
      </c>
      <c r="G5" s="120"/>
      <c r="H5" s="114"/>
      <c r="I5" s="120"/>
      <c r="J5" s="116" t="s">
        <v>550</v>
      </c>
      <c r="K5" s="107"/>
      <c r="L5" s="107"/>
      <c r="M5" s="107"/>
      <c r="N5" s="107"/>
      <c r="O5" s="110"/>
      <c r="P5" s="118"/>
      <c r="Q5" s="117"/>
    </row>
    <row r="6" spans="1:27" s="130" customFormat="1">
      <c r="A6" s="122"/>
      <c r="B6" s="122"/>
      <c r="C6" s="122"/>
      <c r="D6" s="122"/>
      <c r="E6" s="3" t="s">
        <v>168</v>
      </c>
      <c r="F6" s="90" t="s">
        <v>169</v>
      </c>
      <c r="G6" s="90" t="s">
        <v>170</v>
      </c>
      <c r="H6" s="90" t="s">
        <v>171</v>
      </c>
      <c r="I6" s="90" t="s">
        <v>173</v>
      </c>
      <c r="J6" s="91" t="s">
        <v>174</v>
      </c>
      <c r="K6" s="93"/>
      <c r="L6" s="93"/>
      <c r="M6" s="93"/>
      <c r="N6" s="136"/>
      <c r="O6" s="136"/>
      <c r="P6" s="136"/>
      <c r="Q6" s="136"/>
    </row>
    <row r="7" spans="1:27" s="130" customFormat="1" ht="84" customHeight="1">
      <c r="A7" s="124" t="s">
        <v>652</v>
      </c>
      <c r="B7" s="124"/>
      <c r="C7" s="124"/>
      <c r="D7" s="124"/>
      <c r="E7" s="97" t="s">
        <v>653</v>
      </c>
      <c r="F7" s="97" t="s">
        <v>654</v>
      </c>
      <c r="G7" s="97" t="s">
        <v>655</v>
      </c>
      <c r="H7" s="97" t="s">
        <v>656</v>
      </c>
      <c r="I7" s="97" t="s">
        <v>657</v>
      </c>
      <c r="J7" s="97" t="s">
        <v>658</v>
      </c>
      <c r="K7" s="93"/>
      <c r="L7" s="93"/>
      <c r="M7" s="93"/>
      <c r="N7" s="136"/>
      <c r="O7" s="136"/>
      <c r="P7" s="136"/>
      <c r="Q7" s="136"/>
    </row>
    <row r="8" spans="1:27" s="130" customFormat="1" ht="48">
      <c r="A8" s="122" t="s">
        <v>562</v>
      </c>
      <c r="B8" s="122"/>
      <c r="C8" s="122"/>
      <c r="D8" s="122"/>
      <c r="E8" s="125" t="s">
        <v>659</v>
      </c>
      <c r="F8" s="98" t="s">
        <v>660</v>
      </c>
      <c r="G8" s="98" t="s">
        <v>661</v>
      </c>
      <c r="H8" s="98" t="s">
        <v>662</v>
      </c>
      <c r="I8" s="98" t="s">
        <v>663</v>
      </c>
      <c r="J8" s="98" t="s">
        <v>664</v>
      </c>
      <c r="K8" s="99"/>
      <c r="L8" s="99"/>
      <c r="M8" s="99"/>
      <c r="N8" s="136"/>
      <c r="O8" s="136"/>
      <c r="P8" s="136"/>
      <c r="Q8" s="136"/>
    </row>
    <row r="9" spans="1:27" s="130" customFormat="1" ht="144">
      <c r="A9" s="122" t="s">
        <v>96</v>
      </c>
      <c r="B9" s="122"/>
      <c r="C9" s="122"/>
      <c r="D9" s="122"/>
      <c r="E9" s="98" t="s">
        <v>665</v>
      </c>
      <c r="F9" s="98" t="s">
        <v>666</v>
      </c>
      <c r="G9" s="98" t="s">
        <v>667</v>
      </c>
      <c r="H9" s="98" t="s">
        <v>668</v>
      </c>
      <c r="I9" s="125" t="s">
        <v>669</v>
      </c>
      <c r="J9" s="98" t="s">
        <v>670</v>
      </c>
      <c r="K9" s="99"/>
      <c r="L9" s="99"/>
      <c r="M9" s="99"/>
      <c r="N9" s="136"/>
      <c r="O9" s="136"/>
      <c r="P9" s="136"/>
      <c r="Q9" s="136"/>
    </row>
    <row r="10" spans="1:27" ht="72">
      <c r="A10" s="122" t="s">
        <v>583</v>
      </c>
      <c r="B10" s="122"/>
      <c r="C10" s="122"/>
      <c r="D10" s="122"/>
      <c r="E10" s="141"/>
      <c r="F10" s="142" t="s">
        <v>671</v>
      </c>
      <c r="G10" s="142" t="s">
        <v>672</v>
      </c>
      <c r="H10" s="142" t="s">
        <v>673</v>
      </c>
      <c r="I10" s="142" t="s">
        <v>674</v>
      </c>
      <c r="J10" s="142" t="s">
        <v>675</v>
      </c>
      <c r="K10" s="143"/>
      <c r="L10" s="143"/>
      <c r="M10" s="100"/>
    </row>
    <row r="11" spans="1:27" s="123" customFormat="1" ht="39">
      <c r="A11" s="144" t="s">
        <v>85</v>
      </c>
      <c r="B11" s="144"/>
      <c r="C11" s="144"/>
      <c r="D11" s="144"/>
      <c r="E11" s="145"/>
      <c r="F11" s="145" t="s">
        <v>676</v>
      </c>
      <c r="G11" s="145" t="s">
        <v>677</v>
      </c>
      <c r="H11" s="145" t="s">
        <v>678</v>
      </c>
      <c r="I11" s="146" t="s">
        <v>679</v>
      </c>
      <c r="J11" s="146" t="s">
        <v>680</v>
      </c>
      <c r="K11" s="147"/>
      <c r="L11" s="147"/>
      <c r="M11" s="147"/>
      <c r="N11" s="108"/>
      <c r="O11" s="108"/>
      <c r="P11" s="108"/>
      <c r="Q11" s="108"/>
      <c r="R11" s="108"/>
      <c r="S11" s="108"/>
      <c r="T11" s="108"/>
      <c r="U11" s="108"/>
    </row>
    <row r="15" spans="1:27" customFormat="1" ht="14.5">
      <c r="A15" t="s">
        <v>452</v>
      </c>
      <c r="B15" t="s">
        <v>104</v>
      </c>
      <c r="C15" t="s">
        <v>105</v>
      </c>
      <c r="D15" s="295" t="s">
        <v>451</v>
      </c>
      <c r="E15" s="14" t="s">
        <v>168</v>
      </c>
      <c r="F15" s="14" t="s">
        <v>169</v>
      </c>
      <c r="G15" s="14" t="s">
        <v>170</v>
      </c>
      <c r="H15" s="14" t="s">
        <v>171</v>
      </c>
      <c r="I15" s="14" t="s">
        <v>173</v>
      </c>
      <c r="J15" s="14" t="s">
        <v>174</v>
      </c>
    </row>
    <row r="16" spans="1:27" ht="14.5">
      <c r="A16" t="s">
        <v>545</v>
      </c>
      <c r="B16" s="15" t="s">
        <v>104</v>
      </c>
      <c r="C16" s="15" t="str">
        <f>HYPERLINK("02-项目级\P3-主从数据库复制及性能提升项目\01-生存周期\03-项目策划\03-项目计划书 (QCUBIC-XNTS-PLAN-Plan)V1.1-engl.docx", "engl")</f>
        <v>engl</v>
      </c>
      <c r="D16"/>
      <c r="E16" t="s">
        <v>435</v>
      </c>
      <c r="F16"/>
      <c r="G16"/>
      <c r="H16" t="s">
        <v>435</v>
      </c>
      <c r="I16"/>
      <c r="J16"/>
      <c r="K16"/>
      <c r="L16"/>
      <c r="M16"/>
      <c r="N16"/>
      <c r="O16"/>
      <c r="P16"/>
      <c r="Q16"/>
      <c r="R16"/>
      <c r="S16"/>
      <c r="T16"/>
      <c r="U16"/>
      <c r="V16"/>
      <c r="W16"/>
      <c r="X16"/>
      <c r="Y16"/>
      <c r="Z16"/>
      <c r="AA16"/>
    </row>
    <row r="17" spans="1:27" ht="14.5">
      <c r="A17" t="s">
        <v>545</v>
      </c>
      <c r="B17" s="15" t="s">
        <v>104</v>
      </c>
      <c r="C17" s="15" t="str">
        <f>HYPERLINK("02-项目级\P3-主从数据库复制及性能提升项目\02-全程管理\05-评审管理\03-计划评审\05-评审报告_项目计划(QCUBIC-XNTS-PR-ReviewRpt)V1.1-engl.xlsx", "engl")</f>
        <v>engl</v>
      </c>
      <c r="D17"/>
      <c r="E17" t="s">
        <v>435</v>
      </c>
      <c r="F17" t="s">
        <v>435</v>
      </c>
      <c r="G17" t="s">
        <v>435</v>
      </c>
      <c r="H17" t="s">
        <v>435</v>
      </c>
      <c r="I17" t="s">
        <v>435</v>
      </c>
      <c r="J17"/>
      <c r="K17"/>
      <c r="L17"/>
      <c r="M17"/>
      <c r="N17"/>
      <c r="O17"/>
      <c r="P17"/>
      <c r="Q17"/>
      <c r="R17"/>
      <c r="S17"/>
      <c r="T17"/>
      <c r="U17"/>
      <c r="V17"/>
      <c r="W17"/>
      <c r="X17"/>
      <c r="Y17"/>
      <c r="Z17"/>
      <c r="AA17"/>
    </row>
    <row r="18" spans="1:27" ht="14.5">
      <c r="A18" t="s">
        <v>545</v>
      </c>
      <c r="B18" s="15" t="s">
        <v>104</v>
      </c>
      <c r="C18" s="15" t="str">
        <f>HYPERLINK("02-项目级\P3-主从数据库复制及性能提升项目\02-全程管理\05-评审管理\04-需求评审\01-需求规格说明书\05-评审报告_需求规格说明书(QCUBIC-XNTS-PR-ReviewRpt)V1.1-engl.xlsx", "engl")</f>
        <v>engl</v>
      </c>
      <c r="D18"/>
      <c r="E18" t="s">
        <v>435</v>
      </c>
      <c r="F18"/>
      <c r="G18" t="s">
        <v>435</v>
      </c>
      <c r="H18" t="s">
        <v>435</v>
      </c>
      <c r="I18" t="s">
        <v>435</v>
      </c>
      <c r="J18"/>
      <c r="K18"/>
      <c r="L18"/>
      <c r="M18"/>
      <c r="N18"/>
      <c r="O18"/>
      <c r="P18"/>
      <c r="Q18"/>
      <c r="R18"/>
      <c r="S18"/>
      <c r="T18"/>
      <c r="U18"/>
      <c r="V18"/>
      <c r="W18"/>
      <c r="X18"/>
      <c r="Y18"/>
      <c r="Z18"/>
      <c r="AA18"/>
    </row>
    <row r="19" spans="1:27" ht="14.5">
      <c r="A19" t="s">
        <v>545</v>
      </c>
      <c r="B19" s="15" t="s">
        <v>104</v>
      </c>
      <c r="C19" s="15" t="str">
        <f>HYPERLINK("02-项目级\P3-主从数据库复制及性能提升项目\02-全程管理\05-评审管理\04-需求评审\02-用户需求说明书\03-评审报告_用户需求说明书(QCUBIC-XNTS-PR-ReviewRpt)V1.0-engl.xlsx", "engl")</f>
        <v>engl</v>
      </c>
      <c r="D19"/>
      <c r="E19" t="s">
        <v>435</v>
      </c>
      <c r="F19"/>
      <c r="G19" t="s">
        <v>435</v>
      </c>
      <c r="H19" t="s">
        <v>435</v>
      </c>
      <c r="I19" t="s">
        <v>435</v>
      </c>
      <c r="J19"/>
      <c r="K19"/>
      <c r="L19"/>
      <c r="M19"/>
      <c r="N19"/>
      <c r="O19"/>
      <c r="P19"/>
      <c r="Q19"/>
      <c r="R19"/>
      <c r="S19"/>
      <c r="T19"/>
      <c r="U19"/>
      <c r="V19"/>
      <c r="W19"/>
      <c r="X19"/>
      <c r="Y19"/>
      <c r="Z19"/>
      <c r="AA19"/>
    </row>
    <row r="20" spans="1:27" ht="14.5">
      <c r="A20" t="s">
        <v>545</v>
      </c>
      <c r="B20" s="15" t="s">
        <v>104</v>
      </c>
      <c r="C20" s="15" t="str">
        <f>HYPERLINK("02-项目级\P3-主从数据库复制及性能提升项目\02-全程管理\05-评审管理\05-设计评审\01-概要设计说明书\05-评审报告_概要设计书(QCUBIC-XNTS-PR-ReviewRpt)V1.1-engl.xlsx", "engl")</f>
        <v>engl</v>
      </c>
      <c r="D20"/>
      <c r="E20" t="s">
        <v>435</v>
      </c>
      <c r="F20"/>
      <c r="G20" t="s">
        <v>435</v>
      </c>
      <c r="H20" t="s">
        <v>435</v>
      </c>
      <c r="I20" t="s">
        <v>435</v>
      </c>
      <c r="J20"/>
      <c r="K20"/>
      <c r="L20"/>
      <c r="M20"/>
      <c r="N20"/>
      <c r="O20"/>
      <c r="P20"/>
      <c r="Q20"/>
      <c r="R20"/>
      <c r="S20"/>
      <c r="T20"/>
      <c r="U20"/>
      <c r="V20"/>
      <c r="W20"/>
      <c r="X20"/>
      <c r="Y20"/>
      <c r="Z20"/>
      <c r="AA20"/>
    </row>
    <row r="21" spans="1:27" ht="14.5">
      <c r="A21" t="s">
        <v>545</v>
      </c>
      <c r="B21" s="15" t="s">
        <v>104</v>
      </c>
      <c r="C21" s="15" t="str">
        <f>HYPERLINK("02-项目级\P3-主从数据库复制及性能提升项目\02-全程管理\05-评审管理\05-设计评审\02-详细设计说明书\05-评审报告_详细设计(QCUBIC-XNTS-PR-ReviewRpt)V1.1-engl.xlsx", "engl")</f>
        <v>engl</v>
      </c>
      <c r="D21"/>
      <c r="E21" t="s">
        <v>435</v>
      </c>
      <c r="F21"/>
      <c r="G21" t="s">
        <v>435</v>
      </c>
      <c r="H21" t="s">
        <v>435</v>
      </c>
      <c r="I21" t="s">
        <v>435</v>
      </c>
      <c r="J21"/>
      <c r="K21"/>
      <c r="L21"/>
      <c r="M21"/>
      <c r="N21"/>
      <c r="O21"/>
      <c r="P21"/>
      <c r="Q21"/>
      <c r="R21"/>
      <c r="S21"/>
      <c r="T21"/>
      <c r="U21"/>
      <c r="V21"/>
      <c r="W21"/>
      <c r="X21"/>
      <c r="Y21"/>
      <c r="Z21"/>
      <c r="AA21"/>
    </row>
    <row r="22" spans="1:27" ht="14.5">
      <c r="A22" t="s">
        <v>545</v>
      </c>
      <c r="B22" s="15" t="s">
        <v>104</v>
      </c>
      <c r="C22" s="15" t="str">
        <f>HYPERLINK("02-项目级\P3-主从数据库复制及性能提升项目\02-全程管理\05-评审管理\07-测试评审\02-系统测试用例\05-评审报告_系统测试用例(QCUBIC-XNTS-PR-ReviewRpt)V1.1-engl.xlsx", "engl")</f>
        <v>engl</v>
      </c>
      <c r="D22"/>
      <c r="E22" t="s">
        <v>435</v>
      </c>
      <c r="F22"/>
      <c r="G22" t="s">
        <v>435</v>
      </c>
      <c r="H22" t="s">
        <v>435</v>
      </c>
      <c r="I22" t="s">
        <v>435</v>
      </c>
      <c r="J22" t="s">
        <v>435</v>
      </c>
      <c r="K22"/>
      <c r="L22"/>
      <c r="M22"/>
      <c r="N22"/>
      <c r="O22"/>
      <c r="P22"/>
      <c r="Q22"/>
      <c r="R22"/>
      <c r="S22"/>
      <c r="T22"/>
      <c r="U22"/>
      <c r="V22"/>
      <c r="W22"/>
      <c r="X22"/>
      <c r="Y22"/>
      <c r="Z22"/>
      <c r="AA22"/>
    </row>
    <row r="23" spans="1:27" ht="14.5">
      <c r="A23" t="s">
        <v>545</v>
      </c>
      <c r="B23" s="15" t="s">
        <v>104</v>
      </c>
      <c r="C23" s="15" t="str">
        <f>HYPERLINK("02-项目级\P3-主从数据库复制及性能提升项目\02-全程管理\05-评审管理\03-计划评审\01-评审准备表_项目计划(QCUBIC-XNTS-PR-ReviewPrp)V1.0-engl.docx", "engl")</f>
        <v>engl</v>
      </c>
      <c r="D23"/>
      <c r="E23"/>
      <c r="F23" t="s">
        <v>435</v>
      </c>
      <c r="G23"/>
      <c r="H23"/>
      <c r="I23"/>
      <c r="J23"/>
      <c r="K23"/>
      <c r="L23"/>
      <c r="M23"/>
      <c r="N23"/>
      <c r="O23"/>
      <c r="P23"/>
      <c r="Q23"/>
      <c r="R23"/>
      <c r="S23"/>
      <c r="T23"/>
      <c r="U23"/>
      <c r="V23"/>
      <c r="W23"/>
      <c r="X23"/>
      <c r="Y23"/>
      <c r="Z23"/>
      <c r="AA23"/>
    </row>
    <row r="24" spans="1:27" ht="14.5">
      <c r="A24" t="s">
        <v>545</v>
      </c>
      <c r="B24" s="15" t="s">
        <v>104</v>
      </c>
      <c r="C24" s="15" t="str">
        <f>HYPERLINK("02-项目级\P3-主从数据库复制及性能提升项目\02-全程管理\05-评审管理\03-计划评审\02-评审检查表_项目计划(QCUBIC-XNTS-PR-RevChkList)V1.0-engl.xlsx", "engl")</f>
        <v>engl</v>
      </c>
      <c r="D24"/>
      <c r="E24"/>
      <c r="F24" t="s">
        <v>435</v>
      </c>
      <c r="G24"/>
      <c r="H24"/>
      <c r="I24"/>
      <c r="J24"/>
      <c r="K24"/>
      <c r="L24"/>
      <c r="M24"/>
      <c r="N24"/>
      <c r="O24"/>
      <c r="P24"/>
      <c r="Q24"/>
      <c r="R24"/>
      <c r="S24"/>
      <c r="T24"/>
      <c r="U24"/>
      <c r="V24"/>
      <c r="W24"/>
      <c r="X24"/>
      <c r="Y24"/>
      <c r="Z24"/>
      <c r="AA24"/>
    </row>
    <row r="25" spans="1:27" ht="14.5">
      <c r="A25" t="s">
        <v>545</v>
      </c>
      <c r="B25" s="15" t="s">
        <v>104</v>
      </c>
      <c r="C25" s="15" t="str">
        <f>HYPERLINK("01-组织级\01-组织财富库\01-标准过程文件库\03-支持类\05-评审管理\评审管理过程文件(QCUBIC-SPI-VV-Proc-Doc)V1.2-engl.docx", "engl")</f>
        <v>engl</v>
      </c>
      <c r="D25"/>
      <c r="E25"/>
      <c r="F25" t="s">
        <v>435</v>
      </c>
      <c r="G25"/>
      <c r="H25" t="s">
        <v>435</v>
      </c>
      <c r="I25"/>
      <c r="J25"/>
      <c r="K25"/>
      <c r="L25"/>
      <c r="M25"/>
      <c r="N25"/>
      <c r="O25"/>
      <c r="P25"/>
      <c r="Q25"/>
      <c r="R25"/>
      <c r="S25"/>
      <c r="T25"/>
      <c r="U25"/>
      <c r="V25"/>
      <c r="W25"/>
      <c r="X25"/>
      <c r="Y25"/>
      <c r="Z25"/>
      <c r="AA25"/>
    </row>
    <row r="26" spans="1:27" ht="14.5">
      <c r="A26" t="s">
        <v>545</v>
      </c>
      <c r="B26" s="15" t="s">
        <v>104</v>
      </c>
      <c r="C26" s="15" t="str">
        <f>HYPERLINK("01-组织级\01-组织财富库\01-标准过程文件库\03-支持类\05-评审管理\评审指南(QCUBIC-SPI-VV-Guid-Review)V1.2-engl.docx", "engl")</f>
        <v>engl</v>
      </c>
      <c r="D26"/>
      <c r="E26"/>
      <c r="F26" t="s">
        <v>435</v>
      </c>
      <c r="G26"/>
      <c r="H26"/>
      <c r="I26"/>
      <c r="J26"/>
      <c r="K26"/>
      <c r="L26"/>
      <c r="M26"/>
      <c r="N26"/>
      <c r="O26"/>
      <c r="P26"/>
      <c r="Q26"/>
      <c r="R26"/>
      <c r="S26"/>
      <c r="T26"/>
      <c r="U26"/>
      <c r="V26"/>
      <c r="W26"/>
      <c r="X26"/>
      <c r="Y26"/>
      <c r="Z26"/>
      <c r="AA26"/>
    </row>
    <row r="27" spans="1:27" ht="14.5">
      <c r="A27" t="s">
        <v>545</v>
      </c>
      <c r="B27" s="15" t="s">
        <v>104</v>
      </c>
      <c r="C27" s="15" t="str">
        <f>HYPERLINK("02-项目级\P3-主从数据库复制及性能提升项目\02-全程管理\05-评审管理\01-评审缺陷管理表(QCUBIC-XNTS-MC-DefectList)V1.0-engl.xlsx", "engl")</f>
        <v>engl</v>
      </c>
      <c r="D27"/>
      <c r="E27"/>
      <c r="F27"/>
      <c r="G27"/>
      <c r="H27"/>
      <c r="I27" t="s">
        <v>435</v>
      </c>
      <c r="J27" t="s">
        <v>435</v>
      </c>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2.36328125" style="117" customWidth="1"/>
    <col min="2" max="4" width="7.90625" style="117" customWidth="1"/>
    <col min="5" max="11" width="15.6328125" style="117" customWidth="1"/>
    <col min="12" max="12" width="50.6328125" style="117" customWidth="1"/>
    <col min="13" max="13" width="3.6328125" style="117" customWidth="1"/>
    <col min="14" max="14" width="21" style="117" customWidth="1"/>
    <col min="15" max="15" width="87.90625" style="117" customWidth="1"/>
    <col min="16" max="17" width="15.6328125" style="117" customWidth="1"/>
    <col min="18" max="16384" width="8.6328125" style="117"/>
  </cols>
  <sheetData>
    <row r="1" spans="1:27" ht="18.5">
      <c r="A1" s="105" t="s">
        <v>681</v>
      </c>
      <c r="B1" s="105"/>
      <c r="C1" s="105"/>
      <c r="D1" s="105"/>
      <c r="E1" s="106"/>
      <c r="F1" s="107"/>
      <c r="G1" s="108"/>
      <c r="H1" s="108"/>
      <c r="I1" s="108"/>
      <c r="J1" s="108"/>
      <c r="K1" s="108"/>
      <c r="L1" s="108"/>
      <c r="M1" s="108"/>
      <c r="N1" s="108"/>
      <c r="O1" s="108"/>
      <c r="P1" s="108"/>
      <c r="Q1" s="148"/>
    </row>
    <row r="2" spans="1:27">
      <c r="A2" s="110" t="s">
        <v>456</v>
      </c>
      <c r="B2" s="110"/>
      <c r="C2" s="110"/>
      <c r="D2" s="110"/>
      <c r="E2" s="107" t="s">
        <v>196</v>
      </c>
      <c r="F2" s="107"/>
      <c r="G2" s="108"/>
      <c r="H2" s="108"/>
      <c r="I2" s="108"/>
      <c r="J2" s="108"/>
      <c r="K2" s="108"/>
      <c r="L2" s="108"/>
      <c r="M2" s="108"/>
      <c r="N2" s="108"/>
      <c r="O2" s="108"/>
      <c r="P2" s="108"/>
      <c r="Q2" s="110"/>
    </row>
    <row r="3" spans="1:27">
      <c r="A3" s="107" t="s">
        <v>457</v>
      </c>
      <c r="B3" s="107"/>
      <c r="C3" s="107"/>
      <c r="D3" s="107"/>
      <c r="E3" s="107" t="s">
        <v>197</v>
      </c>
      <c r="F3" s="107"/>
      <c r="G3" s="108"/>
      <c r="H3" s="108"/>
      <c r="I3" s="108"/>
      <c r="J3" s="108"/>
      <c r="K3" s="108"/>
      <c r="L3" s="108"/>
      <c r="M3" s="108"/>
      <c r="N3" s="108"/>
      <c r="O3" s="108"/>
      <c r="P3" s="108"/>
      <c r="Q3" s="93"/>
    </row>
    <row r="4" spans="1:27">
      <c r="A4" s="111"/>
      <c r="B4" s="111"/>
      <c r="C4" s="111"/>
      <c r="D4" s="111"/>
      <c r="E4" s="112" t="s">
        <v>47</v>
      </c>
      <c r="F4" s="149"/>
      <c r="G4" s="113" t="s">
        <v>54</v>
      </c>
      <c r="H4" s="114"/>
      <c r="I4" s="113"/>
      <c r="J4" s="116" t="s">
        <v>56</v>
      </c>
      <c r="K4" s="150"/>
      <c r="L4" s="110"/>
      <c r="M4" s="110"/>
      <c r="N4" s="110"/>
      <c r="O4" s="107"/>
      <c r="P4" s="107"/>
      <c r="Q4" s="107"/>
      <c r="R4" s="107"/>
      <c r="S4" s="110"/>
    </row>
    <row r="5" spans="1:27">
      <c r="A5" s="118"/>
      <c r="B5" s="118"/>
      <c r="C5" s="118"/>
      <c r="D5" s="118"/>
      <c r="E5" s="119" t="s">
        <v>548</v>
      </c>
      <c r="F5" s="149"/>
      <c r="G5" s="120" t="s">
        <v>549</v>
      </c>
      <c r="H5" s="114"/>
      <c r="I5" s="120"/>
      <c r="J5" s="116" t="s">
        <v>550</v>
      </c>
      <c r="K5" s="150"/>
      <c r="L5" s="110"/>
      <c r="M5" s="110"/>
      <c r="N5" s="110"/>
      <c r="O5" s="108"/>
      <c r="P5" s="107"/>
      <c r="Q5" s="118"/>
      <c r="R5" s="107"/>
      <c r="S5" s="110"/>
      <c r="T5" s="118"/>
    </row>
    <row r="6" spans="1:27">
      <c r="A6" s="122"/>
      <c r="B6" s="122"/>
      <c r="C6" s="122"/>
      <c r="D6" s="122"/>
      <c r="E6" s="3" t="s">
        <v>198</v>
      </c>
      <c r="F6" s="3" t="s">
        <v>199</v>
      </c>
      <c r="G6" s="90" t="s">
        <v>200</v>
      </c>
      <c r="H6" s="90" t="s">
        <v>201</v>
      </c>
      <c r="I6" s="90" t="s">
        <v>202</v>
      </c>
      <c r="J6" s="91" t="s">
        <v>203</v>
      </c>
      <c r="K6" s="92" t="s">
        <v>204</v>
      </c>
      <c r="L6" s="93"/>
      <c r="M6" s="93"/>
      <c r="N6" s="93"/>
      <c r="O6" s="108"/>
      <c r="P6" s="108"/>
      <c r="Q6" s="107"/>
    </row>
    <row r="7" spans="1:27" ht="150.65" customHeight="1">
      <c r="A7" s="124" t="s">
        <v>652</v>
      </c>
      <c r="B7" s="124"/>
      <c r="C7" s="124"/>
      <c r="D7" s="124"/>
      <c r="E7" s="97" t="s">
        <v>682</v>
      </c>
      <c r="F7" s="97" t="s">
        <v>683</v>
      </c>
      <c r="G7" s="97" t="s">
        <v>684</v>
      </c>
      <c r="H7" s="97" t="s">
        <v>685</v>
      </c>
      <c r="I7" s="97" t="s">
        <v>686</v>
      </c>
      <c r="J7" s="97" t="s">
        <v>687</v>
      </c>
      <c r="K7" s="97" t="s">
        <v>688</v>
      </c>
      <c r="L7" s="93"/>
      <c r="M7" s="93"/>
      <c r="N7" s="93"/>
      <c r="O7" s="93"/>
      <c r="P7" s="93"/>
      <c r="Q7" s="93"/>
    </row>
    <row r="8" spans="1:27" ht="107.4" customHeight="1">
      <c r="A8" s="122" t="s">
        <v>562</v>
      </c>
      <c r="B8" s="122"/>
      <c r="C8" s="122"/>
      <c r="D8" s="122"/>
      <c r="E8" s="151" t="s">
        <v>689</v>
      </c>
      <c r="F8" s="151" t="s">
        <v>690</v>
      </c>
      <c r="G8" s="151" t="s">
        <v>691</v>
      </c>
      <c r="H8" s="151" t="s">
        <v>692</v>
      </c>
      <c r="I8" s="151" t="s">
        <v>693</v>
      </c>
      <c r="J8" s="151" t="s">
        <v>694</v>
      </c>
      <c r="K8" s="151" t="s">
        <v>695</v>
      </c>
      <c r="L8" s="127"/>
      <c r="M8" s="127"/>
      <c r="N8" s="127"/>
      <c r="O8" s="93"/>
      <c r="P8" s="93"/>
      <c r="Q8" s="93"/>
    </row>
    <row r="9" spans="1:27" ht="144" customHeight="1">
      <c r="A9" s="122" t="s">
        <v>96</v>
      </c>
      <c r="B9" s="122"/>
      <c r="C9" s="122"/>
      <c r="D9" s="122"/>
      <c r="E9" s="125" t="s">
        <v>696</v>
      </c>
      <c r="F9" s="125" t="s">
        <v>697</v>
      </c>
      <c r="G9" s="125" t="s">
        <v>698</v>
      </c>
      <c r="H9" s="125" t="s">
        <v>699</v>
      </c>
      <c r="I9" s="125" t="s">
        <v>700</v>
      </c>
      <c r="J9" s="125" t="s">
        <v>701</v>
      </c>
      <c r="K9" s="125" t="s">
        <v>702</v>
      </c>
      <c r="L9" s="127"/>
      <c r="M9" s="127"/>
      <c r="N9" s="127"/>
      <c r="O9" s="93"/>
      <c r="P9" s="93"/>
      <c r="Q9" s="93"/>
    </row>
    <row r="10" spans="1:27" ht="91">
      <c r="A10" s="122" t="s">
        <v>583</v>
      </c>
      <c r="B10" s="122"/>
      <c r="C10" s="122"/>
      <c r="D10" s="122"/>
      <c r="E10" s="141"/>
      <c r="F10" s="141"/>
      <c r="G10" s="156" t="s">
        <v>703</v>
      </c>
      <c r="H10" s="156" t="s">
        <v>704</v>
      </c>
      <c r="I10" s="156" t="s">
        <v>705</v>
      </c>
      <c r="J10" s="156" t="s">
        <v>706</v>
      </c>
      <c r="K10" s="156" t="s">
        <v>707</v>
      </c>
      <c r="L10" s="100"/>
      <c r="M10" s="100"/>
      <c r="N10" s="100"/>
    </row>
    <row r="11" spans="1:27" s="109" customFormat="1" ht="52">
      <c r="A11" s="144" t="s">
        <v>85</v>
      </c>
      <c r="B11" s="144"/>
      <c r="C11" s="144"/>
      <c r="D11" s="144"/>
      <c r="E11" s="157"/>
      <c r="F11" s="157"/>
      <c r="G11" s="157" t="s">
        <v>708</v>
      </c>
      <c r="H11" s="157" t="s">
        <v>709</v>
      </c>
      <c r="I11" s="157" t="s">
        <v>710</v>
      </c>
      <c r="J11" s="157" t="s">
        <v>711</v>
      </c>
      <c r="K11" s="157" t="s">
        <v>712</v>
      </c>
      <c r="L11" s="158"/>
      <c r="M11" s="158"/>
      <c r="N11" s="158"/>
    </row>
    <row r="15" spans="1:27" customFormat="1">
      <c r="A15" t="s">
        <v>452</v>
      </c>
      <c r="B15" t="s">
        <v>104</v>
      </c>
      <c r="C15" t="s">
        <v>105</v>
      </c>
      <c r="D15" s="295" t="s">
        <v>451</v>
      </c>
      <c r="E15" s="14" t="s">
        <v>198</v>
      </c>
      <c r="F15" s="14" t="s">
        <v>199</v>
      </c>
      <c r="G15" s="14" t="s">
        <v>200</v>
      </c>
      <c r="H15" s="14" t="s">
        <v>201</v>
      </c>
      <c r="I15" s="14" t="s">
        <v>202</v>
      </c>
      <c r="J15" s="14" t="s">
        <v>203</v>
      </c>
      <c r="K15" s="14" t="s">
        <v>204</v>
      </c>
    </row>
    <row r="16" spans="1:27">
      <c r="A16" t="s">
        <v>545</v>
      </c>
      <c r="B16" s="15" t="s">
        <v>104</v>
      </c>
      <c r="C16" s="15" t="str">
        <f>HYPERLINK("02-项目级\P3-主从数据库复制及性能提升项目\01-生存周期\07-测试\01-测试计划(QCUBIC-XNTS-VV-TestPlan)V1.0-engl.docx", "engl")</f>
        <v>engl</v>
      </c>
      <c r="D16"/>
      <c r="E16" t="s">
        <v>435</v>
      </c>
      <c r="F16" t="s">
        <v>435</v>
      </c>
      <c r="G16" t="s">
        <v>435</v>
      </c>
      <c r="H16" t="s">
        <v>435</v>
      </c>
      <c r="I16" t="s">
        <v>435</v>
      </c>
      <c r="J16" t="s">
        <v>435</v>
      </c>
      <c r="K16" t="s">
        <v>435</v>
      </c>
      <c r="L16"/>
      <c r="M16"/>
      <c r="N16"/>
      <c r="O16"/>
      <c r="P16"/>
      <c r="Q16"/>
      <c r="R16"/>
      <c r="S16"/>
      <c r="T16"/>
      <c r="U16"/>
      <c r="V16"/>
      <c r="W16"/>
      <c r="X16"/>
      <c r="Y16"/>
      <c r="Z16"/>
      <c r="AA16"/>
    </row>
    <row r="17" spans="1:27">
      <c r="A17" t="s">
        <v>545</v>
      </c>
      <c r="B17" s="15" t="s">
        <v>104</v>
      </c>
      <c r="C17" s="15" t="str">
        <f>HYPERLINK("02-项目级\P3-主从数据库复制及性能提升项目\01-生存周期\07-测试\03-系统测试\03-系统测试BUG管理表(QCUBIC-XNTS-VV-STBugList)V1.0-engl.xlsx", "engl")</f>
        <v>engl</v>
      </c>
      <c r="D17"/>
      <c r="E17" t="s">
        <v>435</v>
      </c>
      <c r="F17" t="s">
        <v>435</v>
      </c>
      <c r="G17" t="s">
        <v>435</v>
      </c>
      <c r="H17" t="s">
        <v>435</v>
      </c>
      <c r="I17"/>
      <c r="J17"/>
      <c r="K17"/>
      <c r="L17"/>
      <c r="M17"/>
      <c r="N17"/>
      <c r="O17"/>
      <c r="P17"/>
      <c r="Q17"/>
      <c r="R17"/>
      <c r="S17"/>
      <c r="T17"/>
      <c r="U17"/>
      <c r="V17"/>
      <c r="W17"/>
      <c r="X17"/>
      <c r="Y17"/>
      <c r="Z17"/>
      <c r="AA17"/>
    </row>
    <row r="18" spans="1:27">
      <c r="A18" t="s">
        <v>545</v>
      </c>
      <c r="B18" s="15" t="s">
        <v>104</v>
      </c>
      <c r="C18" s="15" t="str">
        <f>HYPERLINK("02-项目级\P3-主从数据库复制及性能提升项目\01-生存周期\07-测试\03-系统测试\04-系统测试报告(QCUBIC-XNTS-VV-TestReport-SystemTest)V1.0-engl.docx", "engl")</f>
        <v>engl</v>
      </c>
      <c r="D18"/>
      <c r="E18" t="s">
        <v>435</v>
      </c>
      <c r="F18"/>
      <c r="G18" t="s">
        <v>435</v>
      </c>
      <c r="H18" t="s">
        <v>435</v>
      </c>
      <c r="I18" t="s">
        <v>435</v>
      </c>
      <c r="J18"/>
      <c r="K18" t="s">
        <v>435</v>
      </c>
      <c r="L18"/>
      <c r="M18"/>
      <c r="N18"/>
      <c r="O18"/>
      <c r="P18"/>
      <c r="Q18"/>
      <c r="R18"/>
      <c r="S18"/>
      <c r="T18"/>
      <c r="U18"/>
      <c r="V18"/>
      <c r="W18"/>
      <c r="X18"/>
      <c r="Y18"/>
      <c r="Z18"/>
      <c r="AA18"/>
    </row>
    <row r="19" spans="1:27">
      <c r="A19" t="s">
        <v>545</v>
      </c>
      <c r="B19" s="15" t="s">
        <v>104</v>
      </c>
      <c r="C19" s="15" t="str">
        <f>HYPERLINK("02-项目级\P3-主从数据库复制及性能提升项目\01-生存周期\07-测试\02-集成测试\04-集成测试报告(QCUBIC-XNTS-LP_VV_IntegrationTestRet)V1.0-engl.docx", "engl")</f>
        <v>engl</v>
      </c>
      <c r="D19"/>
      <c r="E19" t="s">
        <v>435</v>
      </c>
      <c r="F19"/>
      <c r="G19" t="s">
        <v>435</v>
      </c>
      <c r="H19" t="s">
        <v>435</v>
      </c>
      <c r="I19" t="s">
        <v>435</v>
      </c>
      <c r="J19"/>
      <c r="K19" t="s">
        <v>435</v>
      </c>
      <c r="L19"/>
      <c r="M19"/>
      <c r="N19"/>
      <c r="O19"/>
      <c r="P19"/>
      <c r="Q19"/>
      <c r="R19"/>
      <c r="S19"/>
      <c r="T19"/>
      <c r="U19"/>
      <c r="V19"/>
      <c r="W19"/>
      <c r="X19"/>
      <c r="Y19"/>
      <c r="Z19"/>
      <c r="AA19"/>
    </row>
    <row r="20" spans="1:27">
      <c r="A20" t="s">
        <v>545</v>
      </c>
      <c r="B20" s="15" t="s">
        <v>104</v>
      </c>
      <c r="C20" s="15" t="str">
        <f>HYPERLINK("02-项目级\P3-主从数据库复制及性能提升项目\01-生存周期\08-试运行及验收\02-验收\01-验收计划(QCUBIC-XNTS-DA-AcceptencePlan)V1.0-engl.docx", "engl")</f>
        <v>engl</v>
      </c>
      <c r="D20"/>
      <c r="E20"/>
      <c r="F20" t="s">
        <v>435</v>
      </c>
      <c r="G20"/>
      <c r="H20"/>
      <c r="I20" t="s">
        <v>435</v>
      </c>
      <c r="J20" t="s">
        <v>435</v>
      </c>
      <c r="K20"/>
      <c r="L20"/>
      <c r="M20"/>
      <c r="N20"/>
      <c r="O20"/>
      <c r="P20"/>
      <c r="Q20"/>
      <c r="R20"/>
      <c r="S20"/>
      <c r="T20"/>
      <c r="U20"/>
      <c r="V20"/>
      <c r="W20"/>
      <c r="X20"/>
      <c r="Y20"/>
      <c r="Z20"/>
      <c r="AA20"/>
    </row>
    <row r="21" spans="1:27">
      <c r="A21" t="s">
        <v>545</v>
      </c>
      <c r="B21" s="15" t="s">
        <v>104</v>
      </c>
      <c r="C21" s="15" t="str">
        <f>HYPERLINK("02-项目级\P3-主从数据库复制及性能提升项目\01-生存周期\08-试运行及验收\02-验收\03-验收报告(QCUBIC-XNTS-VV-TestReport-AcceptenceReport)V1.0-engl.docx", "engl")</f>
        <v>engl</v>
      </c>
      <c r="D21"/>
      <c r="E21"/>
      <c r="F21" t="s">
        <v>435</v>
      </c>
      <c r="G21"/>
      <c r="H21"/>
      <c r="I21" t="s">
        <v>435</v>
      </c>
      <c r="J21"/>
      <c r="K21" t="s">
        <v>435</v>
      </c>
      <c r="L21"/>
      <c r="M21"/>
      <c r="N21"/>
      <c r="O21"/>
      <c r="P21"/>
      <c r="Q21"/>
      <c r="R21"/>
      <c r="S21"/>
      <c r="T21"/>
      <c r="U21"/>
      <c r="V21"/>
      <c r="W21"/>
      <c r="X21"/>
      <c r="Y21"/>
      <c r="Z21"/>
      <c r="AA21"/>
    </row>
    <row r="22" spans="1:27">
      <c r="A22" t="s">
        <v>545</v>
      </c>
      <c r="B22" s="15" t="s">
        <v>104</v>
      </c>
      <c r="C22" s="15" t="str">
        <f>HYPERLINK("01-组织级\01-组织财富库\01-标准过程文件库\02-软件工程规范\05-测试\测试用例规范(QCUBIC-SPI-VV-Tem-STD-TestExampleStd)V1.2-engl.docx", "engl")</f>
        <v>engl</v>
      </c>
      <c r="D22"/>
      <c r="E22"/>
      <c r="F22"/>
      <c r="G22"/>
      <c r="H22"/>
      <c r="I22" t="s">
        <v>435</v>
      </c>
      <c r="J22"/>
      <c r="K22"/>
      <c r="L22"/>
      <c r="M22"/>
      <c r="N22"/>
      <c r="O22"/>
      <c r="P22"/>
      <c r="Q22"/>
      <c r="R22"/>
      <c r="S22"/>
      <c r="T22"/>
      <c r="U22"/>
      <c r="V22"/>
      <c r="W22"/>
      <c r="X22"/>
      <c r="Y22"/>
      <c r="Z22"/>
      <c r="AA22"/>
    </row>
    <row r="23" spans="1:27">
      <c r="A23" t="s">
        <v>545</v>
      </c>
      <c r="B23" s="15" t="s">
        <v>104</v>
      </c>
      <c r="C23" s="15" t="str">
        <f>HYPERLINK("01-组织级\01-组织财富库\01-标准过程文件库\02-软件工程规范\06-试运行及验收\试运行及验收过程文件(QCUBIC-SPI-DA-Proc-Doc)V1.2-engl.docx", "engl")</f>
        <v>engl</v>
      </c>
      <c r="D23"/>
      <c r="E23"/>
      <c r="F23"/>
      <c r="G23"/>
      <c r="H23"/>
      <c r="I23" t="s">
        <v>435</v>
      </c>
      <c r="J23"/>
      <c r="K23"/>
      <c r="L23"/>
      <c r="M23"/>
      <c r="N23"/>
      <c r="O23"/>
      <c r="P23"/>
      <c r="Q23"/>
      <c r="R23"/>
      <c r="S23"/>
      <c r="T23"/>
      <c r="U23"/>
      <c r="V23"/>
      <c r="W23"/>
      <c r="X23"/>
      <c r="Y23"/>
      <c r="Z23"/>
      <c r="AA23"/>
    </row>
    <row r="24" spans="1:27">
      <c r="A24" t="s">
        <v>545</v>
      </c>
      <c r="B24" s="15" t="s">
        <v>104</v>
      </c>
      <c r="C24" s="15" t="str">
        <f>HYPERLINK("01-组织级\01-组织财富库\01-标准过程文件库\02-软件工程规范\05-测试\软件测试过程文件(QCUBIC-SPI-Tes-Proc-Doc)V1.2-engl.docx", "engl")</f>
        <v>engl</v>
      </c>
      <c r="D24"/>
      <c r="E24"/>
      <c r="F24"/>
      <c r="G24"/>
      <c r="H24"/>
      <c r="I24" t="s">
        <v>435</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45.6328125" style="118" customWidth="1"/>
    <col min="2" max="4" width="7.90625" style="118" customWidth="1"/>
    <col min="5" max="6" width="18.6328125" style="118" customWidth="1"/>
    <col min="7" max="10" width="18.6328125" style="136" customWidth="1"/>
    <col min="11" max="11" width="102.90625" style="136" customWidth="1"/>
    <col min="12" max="12" width="3.6328125" style="136" customWidth="1"/>
    <col min="13" max="13" width="31.36328125" style="136" customWidth="1"/>
    <col min="14" max="14" width="78.36328125" style="118" customWidth="1"/>
    <col min="15" max="16384" width="8.6328125" style="118"/>
  </cols>
  <sheetData>
    <row r="1" spans="1:27" s="159" customFormat="1" ht="18.5">
      <c r="A1" s="105" t="s">
        <v>713</v>
      </c>
      <c r="B1" s="105"/>
      <c r="C1" s="105"/>
      <c r="D1" s="105"/>
      <c r="G1" s="160"/>
      <c r="H1" s="160"/>
      <c r="I1" s="160"/>
      <c r="J1" s="160"/>
      <c r="K1" s="160"/>
      <c r="L1" s="160"/>
      <c r="M1" s="160"/>
    </row>
    <row r="2" spans="1:27" s="107" customFormat="1">
      <c r="A2" s="110" t="s">
        <v>456</v>
      </c>
      <c r="B2" s="110"/>
      <c r="C2" s="110"/>
      <c r="D2" s="110"/>
      <c r="E2" s="107" t="s">
        <v>156</v>
      </c>
      <c r="G2" s="136"/>
      <c r="H2" s="136"/>
      <c r="I2" s="136"/>
      <c r="J2" s="136"/>
      <c r="K2" s="136"/>
      <c r="L2" s="136"/>
      <c r="M2" s="136"/>
    </row>
    <row r="3" spans="1:27" s="107" customFormat="1">
      <c r="A3" s="107" t="s">
        <v>457</v>
      </c>
      <c r="E3" s="107" t="s">
        <v>157</v>
      </c>
      <c r="G3" s="136"/>
      <c r="H3" s="136"/>
      <c r="I3" s="136"/>
      <c r="J3" s="136"/>
      <c r="K3" s="136"/>
      <c r="L3" s="136"/>
      <c r="M3" s="136"/>
    </row>
    <row r="4" spans="1:27" ht="14.5">
      <c r="A4" s="111"/>
      <c r="B4" s="111"/>
      <c r="C4" s="111"/>
      <c r="D4" s="111"/>
      <c r="E4" s="112" t="s">
        <v>47</v>
      </c>
      <c r="F4" s="113" t="s">
        <v>54</v>
      </c>
      <c r="G4" s="113"/>
      <c r="H4" s="114"/>
      <c r="I4" s="113"/>
      <c r="J4" s="116" t="s">
        <v>56</v>
      </c>
      <c r="K4" s="107"/>
      <c r="L4" s="107"/>
      <c r="M4" s="107"/>
      <c r="N4" s="117"/>
    </row>
    <row r="5" spans="1:27" s="130" customFormat="1" ht="14.5">
      <c r="A5" s="118"/>
      <c r="B5" s="118"/>
      <c r="C5" s="118"/>
      <c r="D5" s="118"/>
      <c r="E5" s="119" t="s">
        <v>548</v>
      </c>
      <c r="F5" s="120" t="s">
        <v>549</v>
      </c>
      <c r="G5" s="120"/>
      <c r="H5" s="114"/>
      <c r="I5" s="120"/>
      <c r="J5" s="116" t="s">
        <v>550</v>
      </c>
      <c r="K5" s="107"/>
      <c r="L5" s="107"/>
      <c r="M5" s="107"/>
      <c r="N5" s="117"/>
    </row>
    <row r="6" spans="1:27" s="130" customFormat="1">
      <c r="A6" s="135"/>
      <c r="B6" s="135"/>
      <c r="C6" s="135"/>
      <c r="D6" s="135"/>
      <c r="E6" s="3" t="s">
        <v>158</v>
      </c>
      <c r="F6" s="90" t="s">
        <v>159</v>
      </c>
      <c r="G6" s="90" t="s">
        <v>161</v>
      </c>
      <c r="H6" s="90" t="s">
        <v>162</v>
      </c>
      <c r="I6" s="90" t="s">
        <v>163</v>
      </c>
      <c r="J6" s="91" t="s">
        <v>164</v>
      </c>
      <c r="K6" s="93"/>
      <c r="L6" s="93"/>
      <c r="M6" s="93"/>
    </row>
    <row r="7" spans="1:27" s="130" customFormat="1" ht="123" customHeight="1">
      <c r="A7" s="124" t="s">
        <v>652</v>
      </c>
      <c r="B7" s="124"/>
      <c r="C7" s="124"/>
      <c r="D7" s="124"/>
      <c r="E7" s="97" t="s">
        <v>714</v>
      </c>
      <c r="F7" s="97" t="s">
        <v>715</v>
      </c>
      <c r="G7" s="97" t="s">
        <v>716</v>
      </c>
      <c r="H7" s="97" t="s">
        <v>717</v>
      </c>
      <c r="I7" s="97" t="s">
        <v>718</v>
      </c>
      <c r="J7" s="97" t="s">
        <v>719</v>
      </c>
      <c r="K7" s="93"/>
      <c r="L7" s="93"/>
      <c r="M7" s="93"/>
    </row>
    <row r="8" spans="1:27" s="130" customFormat="1" ht="83.4" customHeight="1">
      <c r="A8" s="135" t="s">
        <v>562</v>
      </c>
      <c r="B8" s="135"/>
      <c r="C8" s="135"/>
      <c r="D8" s="135"/>
      <c r="E8" s="98" t="s">
        <v>720</v>
      </c>
      <c r="F8" s="98" t="s">
        <v>721</v>
      </c>
      <c r="G8" s="98" t="s">
        <v>722</v>
      </c>
      <c r="H8" s="98" t="s">
        <v>723</v>
      </c>
      <c r="I8" s="98" t="s">
        <v>724</v>
      </c>
      <c r="J8" s="98" t="s">
        <v>725</v>
      </c>
      <c r="K8" s="99"/>
      <c r="L8" s="99"/>
      <c r="M8" s="99"/>
    </row>
    <row r="9" spans="1:27" s="130" customFormat="1" ht="180">
      <c r="A9" s="135" t="s">
        <v>96</v>
      </c>
      <c r="B9" s="135"/>
      <c r="C9" s="135"/>
      <c r="D9" s="135"/>
      <c r="E9" s="98" t="s">
        <v>726</v>
      </c>
      <c r="F9" s="98" t="s">
        <v>727</v>
      </c>
      <c r="G9" s="98" t="s">
        <v>728</v>
      </c>
      <c r="H9" s="98" t="s">
        <v>729</v>
      </c>
      <c r="I9" s="98" t="s">
        <v>730</v>
      </c>
      <c r="J9" s="98" t="s">
        <v>731</v>
      </c>
      <c r="K9" s="99"/>
      <c r="L9" s="99"/>
      <c r="M9" s="99"/>
    </row>
    <row r="10" spans="1:27" s="130" customFormat="1" ht="195">
      <c r="A10" s="122" t="s">
        <v>583</v>
      </c>
      <c r="B10" s="122"/>
      <c r="C10" s="122"/>
      <c r="D10" s="122"/>
      <c r="E10" s="102" t="s">
        <v>732</v>
      </c>
      <c r="F10" s="102" t="s">
        <v>733</v>
      </c>
      <c r="G10" s="102" t="s">
        <v>734</v>
      </c>
      <c r="H10" s="102" t="s">
        <v>735</v>
      </c>
      <c r="I10" s="102" t="s">
        <v>736</v>
      </c>
      <c r="J10" s="102" t="s">
        <v>737</v>
      </c>
      <c r="K10" s="152"/>
      <c r="L10" s="152"/>
      <c r="M10" s="152"/>
    </row>
    <row r="11" spans="1:27" s="130" customFormat="1" ht="134.5">
      <c r="A11" s="161" t="s">
        <v>85</v>
      </c>
      <c r="B11" s="161"/>
      <c r="C11" s="161"/>
      <c r="D11" s="161"/>
      <c r="E11" s="103"/>
      <c r="F11" s="162" t="s">
        <v>738</v>
      </c>
      <c r="G11" s="102" t="s">
        <v>739</v>
      </c>
      <c r="H11" s="102" t="s">
        <v>740</v>
      </c>
      <c r="I11" s="163" t="s">
        <v>741</v>
      </c>
      <c r="J11" s="102" t="s">
        <v>742</v>
      </c>
      <c r="K11" s="152"/>
      <c r="L11" s="152"/>
      <c r="M11" s="152"/>
      <c r="N11" s="136"/>
      <c r="O11" s="136"/>
      <c r="P11" s="136"/>
      <c r="Q11" s="136"/>
    </row>
    <row r="12" spans="1:27" s="117" customFormat="1" ht="14.5">
      <c r="A12" s="118"/>
      <c r="B12" s="118"/>
      <c r="C12" s="118"/>
      <c r="D12" s="118"/>
      <c r="E12" s="118"/>
      <c r="F12" s="118"/>
      <c r="G12" s="136"/>
      <c r="H12" s="136"/>
      <c r="I12" s="136"/>
      <c r="J12" s="136"/>
      <c r="K12" s="136"/>
      <c r="L12" s="136"/>
      <c r="M12" s="136"/>
    </row>
    <row r="13" spans="1:27" s="117" customFormat="1" ht="14.5">
      <c r="A13" s="118"/>
      <c r="B13" s="118"/>
      <c r="C13" s="118"/>
      <c r="D13" s="118"/>
      <c r="E13" s="118"/>
      <c r="F13" s="118"/>
      <c r="G13" s="136"/>
      <c r="H13" s="136"/>
      <c r="I13" s="136"/>
      <c r="J13" s="136"/>
      <c r="K13" s="136"/>
      <c r="L13" s="136"/>
      <c r="M13" s="136"/>
    </row>
    <row r="14" spans="1:27" s="117" customFormat="1" ht="14.5">
      <c r="A14" s="118"/>
      <c r="B14" s="118"/>
      <c r="C14" s="118"/>
      <c r="D14" s="118"/>
      <c r="E14" s="118"/>
      <c r="F14" s="118"/>
      <c r="G14" s="136"/>
      <c r="H14" s="136"/>
      <c r="I14" s="136"/>
      <c r="J14" s="136"/>
      <c r="K14" s="136"/>
      <c r="L14" s="136"/>
      <c r="M14" s="136"/>
    </row>
    <row r="15" spans="1:27" customFormat="1" ht="14.5">
      <c r="A15" t="s">
        <v>452</v>
      </c>
      <c r="B15" t="s">
        <v>104</v>
      </c>
      <c r="C15" t="s">
        <v>105</v>
      </c>
      <c r="D15" s="295" t="s">
        <v>451</v>
      </c>
      <c r="E15" s="14" t="s">
        <v>158</v>
      </c>
      <c r="F15" s="14" t="s">
        <v>159</v>
      </c>
      <c r="G15" s="14" t="s">
        <v>161</v>
      </c>
      <c r="H15" s="14" t="s">
        <v>162</v>
      </c>
      <c r="I15" s="14" t="s">
        <v>163</v>
      </c>
      <c r="J15" s="14" t="s">
        <v>164</v>
      </c>
    </row>
    <row r="16" spans="1:27" s="130" customFormat="1" ht="14.5">
      <c r="A16" t="s">
        <v>545</v>
      </c>
      <c r="B16" s="15" t="s">
        <v>104</v>
      </c>
      <c r="C16" s="15" t="str">
        <f>HYPERLINK("01-组织级\02-组织工作库\03-PQA活动库\组织级的质量保证计划(QCUBIC-SPI-PQA-OQAPlan)V1.4-engl.xlsx", "engl")</f>
        <v>engl</v>
      </c>
      <c r="D16"/>
      <c r="E16" t="s">
        <v>435</v>
      </c>
      <c r="F16" t="s">
        <v>435</v>
      </c>
      <c r="G16" t="s">
        <v>435</v>
      </c>
      <c r="H16" t="s">
        <v>435</v>
      </c>
      <c r="I16" t="s">
        <v>435</v>
      </c>
      <c r="J16" t="s">
        <v>435</v>
      </c>
      <c r="K16"/>
      <c r="L16"/>
      <c r="M16"/>
      <c r="N16"/>
      <c r="O16"/>
      <c r="P16"/>
      <c r="Q16"/>
      <c r="R16"/>
      <c r="S16"/>
      <c r="T16"/>
      <c r="U16"/>
      <c r="V16"/>
      <c r="W16"/>
      <c r="X16"/>
      <c r="Y16"/>
      <c r="Z16"/>
      <c r="AA16"/>
    </row>
    <row r="17" spans="1:27" s="130" customFormat="1" ht="14.5">
      <c r="A17" t="s">
        <v>545</v>
      </c>
      <c r="B17" s="15" t="s">
        <v>104</v>
      </c>
      <c r="C17" s="15" t="str">
        <f>HYPERLINK("01-组织级\02-组织工作库\03-PQA活动库\组织级不符合项管理表(QCUBIC-SPI-PQA-NCList)V1.2-engl.xlsx", "engl")</f>
        <v>engl</v>
      </c>
      <c r="D17"/>
      <c r="E17" t="s">
        <v>435</v>
      </c>
      <c r="F17" t="s">
        <v>435</v>
      </c>
      <c r="G17"/>
      <c r="H17" t="s">
        <v>435</v>
      </c>
      <c r="I17" t="s">
        <v>435</v>
      </c>
      <c r="J17"/>
      <c r="K17"/>
      <c r="L17"/>
      <c r="M17"/>
      <c r="N17"/>
      <c r="O17"/>
      <c r="P17"/>
      <c r="Q17"/>
      <c r="R17"/>
      <c r="S17"/>
      <c r="T17"/>
      <c r="U17"/>
      <c r="V17"/>
      <c r="W17"/>
      <c r="X17"/>
      <c r="Y17"/>
      <c r="Z17"/>
      <c r="AA17"/>
    </row>
    <row r="18" spans="1:27" s="130" customFormat="1" ht="14.5">
      <c r="A18" t="s">
        <v>545</v>
      </c>
      <c r="B18" s="15" t="s">
        <v>104</v>
      </c>
      <c r="C18" s="15" t="str">
        <f>HYPERLINK("01-组织级\02-组织工作库\03-PQA活动库\组织级工作产品和过程检查表(QCUBIC-ORG-PQA-Checklist_20200627)V1.0-engl.xlsx", "engl")</f>
        <v>engl</v>
      </c>
      <c r="D18"/>
      <c r="E18"/>
      <c r="F18"/>
      <c r="G18" t="s">
        <v>435</v>
      </c>
      <c r="H18"/>
      <c r="I18"/>
      <c r="J18"/>
      <c r="K18"/>
      <c r="L18"/>
      <c r="M18"/>
      <c r="N18"/>
      <c r="O18"/>
      <c r="P18"/>
      <c r="Q18"/>
      <c r="R18"/>
      <c r="S18"/>
      <c r="T18"/>
      <c r="U18"/>
      <c r="V18"/>
      <c r="W18"/>
      <c r="X18"/>
      <c r="Y18"/>
      <c r="Z18"/>
      <c r="AA18"/>
    </row>
    <row r="19" spans="1:27" s="130" customFormat="1" ht="14.5">
      <c r="A19" t="s">
        <v>545</v>
      </c>
      <c r="B19" s="15" t="s">
        <v>104</v>
      </c>
      <c r="C19" s="15" t="str">
        <f>HYPERLINK("01-组织级\02-组织工作库\03-PQA活动库\组织质量保证报告\质量保证报告(QCUBIC-SPI-PQA-Report_20200627)V1.0-engl.xlsx", "engl")</f>
        <v>engl</v>
      </c>
      <c r="D19"/>
      <c r="E19"/>
      <c r="F19"/>
      <c r="G19"/>
      <c r="H19"/>
      <c r="I19" t="s">
        <v>435</v>
      </c>
      <c r="J19"/>
      <c r="K19"/>
      <c r="L19"/>
      <c r="M19"/>
      <c r="N19"/>
      <c r="O19"/>
      <c r="P19"/>
      <c r="Q19"/>
      <c r="R19"/>
      <c r="S19"/>
      <c r="T19"/>
      <c r="U19"/>
      <c r="V19"/>
      <c r="W19"/>
      <c r="X19"/>
      <c r="Y19"/>
      <c r="Z19"/>
      <c r="AA19"/>
    </row>
    <row r="20" spans="1:27" s="130" customFormat="1" ht="14.5">
      <c r="A20" t="s">
        <v>545</v>
      </c>
      <c r="B20" s="15" t="s">
        <v>104</v>
      </c>
      <c r="C20" s="15" t="str">
        <f>HYPERLINK("01-组织级\02-组织工作库\02-EPG活动库\07-EPG跟踪\05-过程改进建议表\过程改进建议表(QCUBIC-SPI-PIM-SPIAdvic)V1.2-engl.xlsx", "engl")</f>
        <v>engl</v>
      </c>
      <c r="D20"/>
      <c r="E20"/>
      <c r="F20"/>
      <c r="G20"/>
      <c r="H20"/>
      <c r="I20"/>
      <c r="J20" t="s">
        <v>435</v>
      </c>
      <c r="K20"/>
      <c r="L20"/>
      <c r="M20"/>
      <c r="N20"/>
      <c r="O20"/>
      <c r="P20"/>
      <c r="Q20"/>
      <c r="R20"/>
      <c r="S20"/>
      <c r="T20"/>
      <c r="U20"/>
      <c r="V20"/>
      <c r="W20"/>
      <c r="X20"/>
      <c r="Y20"/>
      <c r="Z20"/>
      <c r="AA20"/>
    </row>
    <row r="21" spans="1:27" s="130" customFormat="1" ht="14.5">
      <c r="A21"/>
      <c r="B21"/>
      <c r="C21"/>
      <c r="D21"/>
      <c r="E21"/>
      <c r="F21"/>
      <c r="G21"/>
      <c r="H21"/>
      <c r="I21"/>
      <c r="J21"/>
      <c r="K21"/>
      <c r="L21"/>
      <c r="M21"/>
      <c r="N21"/>
      <c r="O21"/>
      <c r="P21"/>
      <c r="Q21"/>
      <c r="R21"/>
      <c r="S21"/>
      <c r="T21"/>
      <c r="U21"/>
      <c r="V21"/>
      <c r="W21"/>
      <c r="X21"/>
      <c r="Y21"/>
      <c r="Z21"/>
      <c r="AA21"/>
    </row>
    <row r="22" spans="1:27" s="130" customFormat="1" ht="14.5">
      <c r="A22"/>
      <c r="B22"/>
      <c r="C22"/>
      <c r="D22"/>
      <c r="E22"/>
      <c r="F22"/>
      <c r="G22"/>
      <c r="H22"/>
      <c r="I22"/>
      <c r="J22"/>
      <c r="K22"/>
      <c r="L22"/>
      <c r="M22"/>
      <c r="N22"/>
      <c r="O22"/>
      <c r="P22"/>
      <c r="Q22"/>
      <c r="R22"/>
      <c r="S22"/>
      <c r="T22"/>
      <c r="U22"/>
      <c r="V22"/>
      <c r="W22"/>
      <c r="X22"/>
      <c r="Y22"/>
      <c r="Z22"/>
      <c r="AA22"/>
    </row>
    <row r="23" spans="1:27" s="130" customFormat="1" ht="14.5">
      <c r="A23"/>
      <c r="B23"/>
      <c r="C23"/>
      <c r="D23"/>
      <c r="E23"/>
      <c r="F23"/>
      <c r="G23"/>
      <c r="H23"/>
      <c r="I23"/>
      <c r="J23"/>
      <c r="K23"/>
      <c r="L23"/>
      <c r="M23"/>
      <c r="N23"/>
      <c r="O23"/>
      <c r="P23"/>
      <c r="Q23"/>
      <c r="R23"/>
      <c r="S23"/>
      <c r="T23"/>
      <c r="U23"/>
      <c r="V23"/>
      <c r="W23"/>
      <c r="X23"/>
      <c r="Y23"/>
      <c r="Z23"/>
      <c r="AA23"/>
    </row>
    <row r="24" spans="1:27" s="140" customFormat="1" ht="14.5">
      <c r="A24"/>
      <c r="B24"/>
      <c r="C24"/>
      <c r="D24"/>
      <c r="E24"/>
      <c r="F24"/>
      <c r="G24"/>
      <c r="H24"/>
      <c r="I24"/>
      <c r="J24"/>
      <c r="K24"/>
      <c r="L24"/>
      <c r="M24"/>
      <c r="N24"/>
      <c r="O24"/>
      <c r="P24"/>
      <c r="Q24"/>
      <c r="R24"/>
      <c r="S24"/>
      <c r="T24"/>
      <c r="U24"/>
      <c r="V24"/>
      <c r="W24"/>
      <c r="X24"/>
      <c r="Y24"/>
      <c r="Z24"/>
      <c r="AA24"/>
    </row>
    <row r="25" spans="1:27" s="140" customFormat="1" ht="14.5">
      <c r="A25"/>
      <c r="B25"/>
      <c r="C25"/>
      <c r="D25"/>
      <c r="E25"/>
      <c r="F25"/>
      <c r="G25"/>
      <c r="H25"/>
      <c r="I25"/>
      <c r="J25"/>
      <c r="K25"/>
      <c r="L25"/>
      <c r="M25"/>
      <c r="N25"/>
      <c r="O25"/>
      <c r="P25"/>
      <c r="Q25"/>
      <c r="R25"/>
      <c r="S25"/>
      <c r="T25"/>
      <c r="U25"/>
      <c r="V25"/>
      <c r="W25"/>
      <c r="X25"/>
      <c r="Y25"/>
      <c r="Z25"/>
      <c r="AA25"/>
    </row>
    <row r="26" spans="1:27" s="140" customFormat="1" ht="14.5">
      <c r="A26"/>
      <c r="B26"/>
      <c r="C26"/>
      <c r="D26"/>
      <c r="E26"/>
      <c r="F26"/>
      <c r="G26"/>
      <c r="H26"/>
      <c r="I26"/>
      <c r="J26"/>
      <c r="K26"/>
      <c r="L26"/>
      <c r="M26"/>
      <c r="N26"/>
      <c r="O26"/>
      <c r="P26"/>
      <c r="Q26"/>
      <c r="R26"/>
      <c r="S26"/>
      <c r="T26"/>
      <c r="U26"/>
      <c r="V26"/>
      <c r="W26"/>
      <c r="X26"/>
      <c r="Y26"/>
      <c r="Z26"/>
      <c r="AA26"/>
    </row>
    <row r="27" spans="1:27" s="140" customFormat="1" ht="14.5">
      <c r="A27"/>
      <c r="B27"/>
      <c r="C27"/>
      <c r="D27"/>
      <c r="E27"/>
      <c r="F27"/>
      <c r="G27"/>
      <c r="H27"/>
      <c r="I27"/>
      <c r="J27"/>
      <c r="K27"/>
      <c r="L27"/>
      <c r="M27"/>
      <c r="N27"/>
      <c r="O27"/>
      <c r="P27"/>
      <c r="Q27"/>
      <c r="R27"/>
      <c r="S27"/>
      <c r="T27"/>
      <c r="U27"/>
      <c r="V27"/>
      <c r="W27"/>
      <c r="X27"/>
      <c r="Y27"/>
      <c r="Z27"/>
      <c r="AA27"/>
    </row>
    <row r="28" spans="1:27" s="140" customFormat="1" ht="14.5">
      <c r="A28"/>
      <c r="B28"/>
      <c r="C28"/>
      <c r="D28"/>
      <c r="E28"/>
      <c r="F28"/>
      <c r="G28"/>
      <c r="H28"/>
      <c r="I28"/>
      <c r="J28"/>
      <c r="K28"/>
      <c r="L28"/>
      <c r="M28"/>
      <c r="N28"/>
      <c r="O28"/>
      <c r="P28"/>
      <c r="Q28"/>
      <c r="R28"/>
      <c r="S28"/>
      <c r="T28"/>
      <c r="U28"/>
      <c r="V28"/>
      <c r="W28"/>
      <c r="X28"/>
      <c r="Y28"/>
      <c r="Z28"/>
      <c r="AA28"/>
    </row>
    <row r="29" spans="1:27" s="140" customFormat="1" ht="14.5">
      <c r="A29"/>
      <c r="B29"/>
      <c r="C29"/>
      <c r="D29"/>
      <c r="E29"/>
      <c r="F29"/>
      <c r="G29"/>
      <c r="H29"/>
      <c r="I29"/>
      <c r="J29"/>
      <c r="K29"/>
      <c r="L29"/>
      <c r="M29"/>
      <c r="N29"/>
      <c r="O29"/>
      <c r="P29"/>
      <c r="Q29"/>
      <c r="R29"/>
      <c r="S29"/>
      <c r="T29"/>
      <c r="U29"/>
      <c r="V29"/>
      <c r="W29"/>
      <c r="X29"/>
      <c r="Y29"/>
      <c r="Z29"/>
      <c r="AA29"/>
    </row>
    <row r="30" spans="1:27" s="140" customFormat="1" ht="14.5">
      <c r="A30"/>
      <c r="B30"/>
      <c r="C30"/>
      <c r="D30"/>
      <c r="E30"/>
      <c r="F30"/>
      <c r="G30"/>
      <c r="H30"/>
      <c r="I30"/>
      <c r="J30"/>
      <c r="K30"/>
      <c r="L30"/>
      <c r="M30"/>
      <c r="N30"/>
      <c r="O30"/>
      <c r="P30"/>
      <c r="Q30"/>
      <c r="R30"/>
      <c r="S30"/>
      <c r="T30"/>
      <c r="U30"/>
      <c r="V30"/>
      <c r="W30"/>
      <c r="X30"/>
      <c r="Y30"/>
      <c r="Z30"/>
      <c r="AA30"/>
    </row>
    <row r="31" spans="1:27" s="140" customFormat="1" ht="14.5">
      <c r="A31"/>
      <c r="B31"/>
      <c r="C31"/>
      <c r="D31"/>
      <c r="E31"/>
      <c r="F31"/>
      <c r="G31"/>
      <c r="H31"/>
      <c r="I31"/>
      <c r="J31"/>
      <c r="K31"/>
      <c r="L31"/>
      <c r="M31"/>
      <c r="N31"/>
      <c r="O31"/>
      <c r="P31"/>
      <c r="Q31"/>
      <c r="R31"/>
      <c r="S31"/>
      <c r="T31"/>
      <c r="U31"/>
      <c r="V31"/>
      <c r="W31"/>
      <c r="X31"/>
      <c r="Y31"/>
      <c r="Z31"/>
      <c r="AA31"/>
    </row>
    <row r="32" spans="1:27" s="140" customFormat="1" ht="14.5">
      <c r="A32"/>
      <c r="B32"/>
      <c r="C32"/>
      <c r="D32"/>
      <c r="E32"/>
      <c r="F32"/>
      <c r="G32"/>
      <c r="H32"/>
      <c r="I32"/>
      <c r="J32"/>
      <c r="K32"/>
      <c r="L32"/>
      <c r="M32"/>
      <c r="N32"/>
      <c r="O32"/>
      <c r="P32"/>
      <c r="Q32"/>
      <c r="R32"/>
      <c r="S32"/>
      <c r="T32"/>
      <c r="U32"/>
      <c r="V32"/>
      <c r="W32"/>
      <c r="X32"/>
      <c r="Y32"/>
      <c r="Z32"/>
      <c r="AA32"/>
    </row>
    <row r="33" spans="1:27" s="140" customFormat="1" ht="14.5">
      <c r="A33"/>
      <c r="B33"/>
      <c r="C33"/>
      <c r="D33"/>
      <c r="E33"/>
      <c r="F33"/>
      <c r="G33"/>
      <c r="H33"/>
      <c r="I33"/>
      <c r="J33"/>
      <c r="K33"/>
      <c r="L33"/>
      <c r="M33"/>
      <c r="N33"/>
      <c r="O33"/>
      <c r="P33"/>
      <c r="Q33"/>
      <c r="R33"/>
      <c r="S33"/>
      <c r="T33"/>
      <c r="U33"/>
      <c r="V33"/>
      <c r="W33"/>
      <c r="X33"/>
      <c r="Y33"/>
      <c r="Z33"/>
      <c r="AA33"/>
    </row>
    <row r="34" spans="1:27" s="140" customFormat="1" ht="14.5">
      <c r="A34"/>
      <c r="B34"/>
      <c r="C34"/>
      <c r="D34"/>
      <c r="E34"/>
      <c r="F34"/>
      <c r="G34"/>
      <c r="H34"/>
      <c r="I34"/>
      <c r="J34"/>
      <c r="K34"/>
      <c r="L34"/>
      <c r="M34"/>
      <c r="N34"/>
      <c r="O34"/>
      <c r="P34"/>
      <c r="Q34"/>
      <c r="R34"/>
      <c r="S34"/>
      <c r="T34"/>
      <c r="U34"/>
      <c r="V34"/>
      <c r="W34"/>
      <c r="X34"/>
      <c r="Y34"/>
      <c r="Z34"/>
      <c r="AA34"/>
    </row>
    <row r="35" spans="1:27" s="140" customFormat="1" ht="14.5">
      <c r="A35"/>
      <c r="B35"/>
      <c r="C35"/>
      <c r="D35"/>
      <c r="E35"/>
      <c r="F35"/>
      <c r="G35"/>
      <c r="H35"/>
      <c r="I35"/>
      <c r="J35"/>
      <c r="K35"/>
      <c r="L35"/>
      <c r="M35"/>
      <c r="N35"/>
      <c r="O35"/>
      <c r="P35"/>
      <c r="Q35"/>
      <c r="R35"/>
      <c r="S35"/>
      <c r="T35"/>
      <c r="U35"/>
      <c r="V35"/>
      <c r="W35"/>
      <c r="X35"/>
      <c r="Y35"/>
      <c r="Z35"/>
      <c r="AA35"/>
    </row>
    <row r="36" spans="1:27" s="140" customFormat="1" ht="14.5">
      <c r="A36"/>
      <c r="B36"/>
      <c r="C36"/>
      <c r="D36"/>
      <c r="E36"/>
      <c r="F36"/>
      <c r="G36"/>
      <c r="H36"/>
      <c r="I36"/>
      <c r="J36"/>
      <c r="K36"/>
      <c r="L36"/>
      <c r="M36"/>
      <c r="N36"/>
      <c r="O36"/>
      <c r="P36"/>
      <c r="Q36"/>
      <c r="R36"/>
      <c r="S36"/>
      <c r="T36"/>
      <c r="U36"/>
      <c r="V36"/>
      <c r="W36"/>
      <c r="X36"/>
      <c r="Y36"/>
      <c r="Z36"/>
      <c r="AA36"/>
    </row>
    <row r="37" spans="1:27" s="140" customFormat="1" ht="14.5">
      <c r="A37"/>
      <c r="B37"/>
      <c r="C37"/>
      <c r="D37"/>
      <c r="E37"/>
      <c r="F37"/>
      <c r="G37"/>
      <c r="H37"/>
      <c r="I37"/>
      <c r="J37"/>
      <c r="K37"/>
      <c r="L37"/>
      <c r="M37"/>
      <c r="N37"/>
      <c r="O37"/>
      <c r="P37"/>
      <c r="Q37"/>
      <c r="R37"/>
      <c r="S37"/>
      <c r="T37"/>
      <c r="U37"/>
      <c r="V37"/>
      <c r="W37"/>
      <c r="X37"/>
      <c r="Y37"/>
      <c r="Z37"/>
      <c r="AA37"/>
    </row>
    <row r="38" spans="1:27" s="140" customFormat="1" ht="14.5">
      <c r="A38"/>
      <c r="B38"/>
      <c r="C38"/>
      <c r="D38"/>
      <c r="E38"/>
      <c r="F38"/>
      <c r="G38"/>
      <c r="H38"/>
      <c r="I38"/>
      <c r="J38"/>
      <c r="K38"/>
      <c r="L38"/>
      <c r="M38"/>
      <c r="N38"/>
      <c r="O38"/>
      <c r="P38"/>
      <c r="Q38"/>
      <c r="R38"/>
      <c r="S38"/>
      <c r="T38"/>
      <c r="U38"/>
      <c r="V38"/>
      <c r="W38"/>
      <c r="X38"/>
      <c r="Y38"/>
      <c r="Z38"/>
      <c r="AA38"/>
    </row>
    <row r="39" spans="1:27" s="140" customFormat="1" ht="14.5">
      <c r="A39"/>
      <c r="B39"/>
      <c r="C39"/>
      <c r="D39"/>
      <c r="E39"/>
      <c r="F39"/>
      <c r="G39"/>
      <c r="H39"/>
      <c r="I39"/>
      <c r="J39"/>
      <c r="K39"/>
      <c r="L39"/>
      <c r="M39"/>
      <c r="N39"/>
      <c r="O39"/>
      <c r="P39"/>
      <c r="Q39"/>
      <c r="R39"/>
      <c r="S39"/>
      <c r="T39"/>
      <c r="U39"/>
      <c r="V39"/>
      <c r="W39"/>
      <c r="X39"/>
      <c r="Y39"/>
      <c r="Z39"/>
      <c r="AA39"/>
    </row>
    <row r="40" spans="1:27" s="140" customFormat="1" ht="14.5">
      <c r="A40"/>
      <c r="B40"/>
      <c r="C40"/>
      <c r="D40"/>
      <c r="E40"/>
      <c r="F40"/>
      <c r="G40"/>
      <c r="H40"/>
      <c r="I40"/>
      <c r="J40"/>
      <c r="K40"/>
      <c r="L40"/>
      <c r="M40"/>
      <c r="N40"/>
      <c r="O40"/>
      <c r="P40"/>
      <c r="Q40"/>
      <c r="R40"/>
      <c r="S40"/>
      <c r="T40"/>
      <c r="U40"/>
      <c r="V40"/>
      <c r="W40"/>
      <c r="X40"/>
      <c r="Y40"/>
      <c r="Z40"/>
      <c r="AA40"/>
    </row>
    <row r="41" spans="1:27" s="140" customFormat="1" ht="14.5">
      <c r="A41"/>
      <c r="B41"/>
      <c r="C41"/>
      <c r="D41"/>
      <c r="E41"/>
      <c r="F41"/>
      <c r="G41"/>
      <c r="H41"/>
      <c r="I41"/>
      <c r="J41"/>
      <c r="K41"/>
      <c r="L41"/>
      <c r="M41"/>
      <c r="N41"/>
      <c r="O41"/>
      <c r="P41"/>
      <c r="Q41"/>
      <c r="R41"/>
      <c r="S41"/>
      <c r="T41"/>
      <c r="U41"/>
      <c r="V41"/>
      <c r="W41"/>
      <c r="X41"/>
      <c r="Y41"/>
      <c r="Z41"/>
      <c r="AA41"/>
    </row>
    <row r="42" spans="1:27" s="140" customFormat="1" ht="14.5">
      <c r="A42"/>
      <c r="B42"/>
      <c r="C42"/>
      <c r="D42"/>
      <c r="E42"/>
      <c r="F42"/>
      <c r="G42"/>
      <c r="H42"/>
      <c r="I42"/>
      <c r="J42"/>
      <c r="K42"/>
      <c r="L42"/>
      <c r="M42"/>
      <c r="N42"/>
      <c r="O42"/>
      <c r="P42"/>
      <c r="Q42"/>
      <c r="R42"/>
      <c r="S42"/>
      <c r="T42"/>
      <c r="U42"/>
      <c r="V42"/>
      <c r="W42"/>
      <c r="X42"/>
      <c r="Y42"/>
      <c r="Z42"/>
      <c r="AA42"/>
    </row>
    <row r="43" spans="1:27" s="140" customFormat="1" ht="14.5">
      <c r="A43"/>
      <c r="B43"/>
      <c r="C43"/>
      <c r="D43"/>
      <c r="E43"/>
      <c r="F43"/>
      <c r="G43"/>
      <c r="H43"/>
      <c r="I43"/>
      <c r="J43"/>
      <c r="K43"/>
      <c r="L43"/>
      <c r="M43"/>
      <c r="N43"/>
      <c r="O43"/>
      <c r="P43"/>
      <c r="Q43"/>
      <c r="R43"/>
      <c r="S43"/>
      <c r="T43"/>
      <c r="U43"/>
      <c r="V43"/>
      <c r="W43"/>
      <c r="X43"/>
      <c r="Y43"/>
      <c r="Z43"/>
      <c r="AA43"/>
    </row>
    <row r="44" spans="1:27" s="140" customFormat="1"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3.08984375" style="109" customWidth="1"/>
    <col min="2" max="4" width="7.90625" style="109" customWidth="1"/>
    <col min="5" max="18" width="15.6328125" style="117" customWidth="1"/>
    <col min="19" max="19" width="83.08984375" style="117" customWidth="1"/>
    <col min="20" max="20" width="3.6328125" style="117" customWidth="1"/>
    <col min="21" max="21" width="45.6328125" style="117" customWidth="1"/>
    <col min="22" max="22" width="121.54296875" style="117" customWidth="1"/>
    <col min="23" max="24" width="15.6328125" style="117" customWidth="1"/>
    <col min="25" max="25" width="20" style="117" bestFit="1" customWidth="1"/>
    <col min="26" max="16384" width="8.6328125" style="117"/>
  </cols>
  <sheetData>
    <row r="1" spans="1:27" s="168" customFormat="1" ht="15.5">
      <c r="A1" s="164" t="s">
        <v>743</v>
      </c>
      <c r="B1" s="164"/>
      <c r="C1" s="164"/>
      <c r="D1" s="164"/>
      <c r="E1" s="165"/>
      <c r="F1" s="165"/>
      <c r="G1" s="166"/>
      <c r="H1" s="166"/>
      <c r="I1" s="166"/>
      <c r="J1" s="166"/>
      <c r="K1" s="166"/>
      <c r="L1" s="166"/>
      <c r="M1" s="166"/>
      <c r="N1" s="166"/>
      <c r="O1" s="166"/>
      <c r="P1" s="166"/>
      <c r="Q1" s="166"/>
      <c r="R1" s="167"/>
      <c r="S1" s="167"/>
      <c r="T1" s="167"/>
      <c r="U1" s="167"/>
    </row>
    <row r="2" spans="1:27">
      <c r="A2" s="110" t="s">
        <v>456</v>
      </c>
      <c r="B2" s="110"/>
      <c r="C2" s="110"/>
      <c r="D2" s="110"/>
      <c r="E2" s="107" t="s">
        <v>176</v>
      </c>
      <c r="F2" s="107"/>
      <c r="G2" s="107"/>
      <c r="H2" s="108"/>
      <c r="I2" s="108"/>
      <c r="J2" s="108"/>
      <c r="K2" s="108"/>
      <c r="L2" s="108"/>
      <c r="M2" s="108"/>
      <c r="N2" s="108"/>
      <c r="O2" s="108"/>
      <c r="P2" s="108"/>
      <c r="Q2" s="108"/>
      <c r="R2" s="110"/>
      <c r="S2" s="110"/>
      <c r="T2" s="110"/>
      <c r="U2" s="110"/>
    </row>
    <row r="3" spans="1:27">
      <c r="A3" s="107" t="s">
        <v>457</v>
      </c>
      <c r="B3" s="107"/>
      <c r="C3" s="107"/>
      <c r="D3" s="107"/>
      <c r="E3" s="107" t="s">
        <v>177</v>
      </c>
      <c r="F3" s="107"/>
      <c r="G3" s="107"/>
      <c r="H3" s="108"/>
      <c r="I3" s="108"/>
      <c r="J3" s="108"/>
      <c r="K3" s="108"/>
      <c r="L3" s="108"/>
      <c r="M3" s="108"/>
      <c r="N3" s="108"/>
      <c r="O3" s="108"/>
      <c r="P3" s="108"/>
      <c r="Q3" s="108"/>
      <c r="R3" s="93"/>
      <c r="S3" s="93"/>
      <c r="T3" s="93"/>
      <c r="U3" s="93"/>
    </row>
    <row r="4" spans="1:27">
      <c r="A4" s="111"/>
      <c r="B4" s="111"/>
      <c r="C4" s="111"/>
      <c r="D4" s="111"/>
      <c r="E4" s="112" t="s">
        <v>47</v>
      </c>
      <c r="F4" s="113" t="s">
        <v>54</v>
      </c>
      <c r="G4" s="113"/>
      <c r="H4" s="114"/>
      <c r="I4" s="113"/>
      <c r="J4" s="115"/>
      <c r="K4" s="115"/>
      <c r="L4" s="116" t="s">
        <v>56</v>
      </c>
      <c r="M4" s="116"/>
      <c r="N4" s="116"/>
      <c r="O4" s="116"/>
      <c r="P4" s="116"/>
      <c r="Q4" s="116"/>
      <c r="R4" s="150"/>
      <c r="S4" s="110"/>
      <c r="T4" s="110"/>
      <c r="U4" s="110"/>
    </row>
    <row r="5" spans="1:27">
      <c r="A5" s="118"/>
      <c r="B5" s="118"/>
      <c r="C5" s="118"/>
      <c r="D5" s="118"/>
      <c r="E5" s="119" t="s">
        <v>548</v>
      </c>
      <c r="F5" s="120" t="s">
        <v>549</v>
      </c>
      <c r="G5" s="120"/>
      <c r="H5" s="114"/>
      <c r="I5" s="120"/>
      <c r="J5" s="115"/>
      <c r="K5" s="115"/>
      <c r="L5" s="116" t="s">
        <v>550</v>
      </c>
      <c r="M5" s="121"/>
      <c r="N5" s="121"/>
      <c r="O5" s="116"/>
      <c r="P5" s="169"/>
      <c r="Q5" s="116"/>
      <c r="R5" s="150"/>
      <c r="S5" s="110"/>
      <c r="T5" s="110"/>
      <c r="U5" s="110"/>
    </row>
    <row r="6" spans="1:27">
      <c r="A6" s="122"/>
      <c r="B6" s="122"/>
      <c r="C6" s="122"/>
      <c r="D6" s="122"/>
      <c r="E6" s="3" t="s">
        <v>178</v>
      </c>
      <c r="F6" s="90" t="s">
        <v>179</v>
      </c>
      <c r="G6" s="90" t="s">
        <v>180</v>
      </c>
      <c r="H6" s="90" t="s">
        <v>181</v>
      </c>
      <c r="I6" s="90" t="s">
        <v>182</v>
      </c>
      <c r="J6" s="90" t="s">
        <v>184</v>
      </c>
      <c r="K6" s="90" t="s">
        <v>185</v>
      </c>
      <c r="L6" s="91" t="s">
        <v>186</v>
      </c>
      <c r="M6" s="91" t="s">
        <v>187</v>
      </c>
      <c r="N6" s="91" t="s">
        <v>188</v>
      </c>
      <c r="O6" s="91" t="s">
        <v>190</v>
      </c>
      <c r="P6" s="91" t="s">
        <v>191</v>
      </c>
      <c r="Q6" s="91" t="s">
        <v>192</v>
      </c>
      <c r="R6" s="92" t="s">
        <v>194</v>
      </c>
      <c r="S6" s="93"/>
      <c r="T6" s="93"/>
      <c r="U6" s="93"/>
    </row>
    <row r="7" spans="1:27" ht="138" customHeight="1">
      <c r="A7" s="124" t="s">
        <v>652</v>
      </c>
      <c r="B7" s="124"/>
      <c r="C7" s="124"/>
      <c r="D7" s="124"/>
      <c r="E7" s="97" t="s">
        <v>744</v>
      </c>
      <c r="F7" s="97" t="s">
        <v>745</v>
      </c>
      <c r="G7" s="97" t="s">
        <v>746</v>
      </c>
      <c r="H7" s="97" t="s">
        <v>747</v>
      </c>
      <c r="I7" s="97" t="s">
        <v>748</v>
      </c>
      <c r="J7" s="97" t="s">
        <v>749</v>
      </c>
      <c r="K7" s="97" t="s">
        <v>750</v>
      </c>
      <c r="L7" s="97" t="s">
        <v>751</v>
      </c>
      <c r="M7" s="97" t="s">
        <v>752</v>
      </c>
      <c r="N7" s="97" t="s">
        <v>753</v>
      </c>
      <c r="O7" s="97" t="s">
        <v>754</v>
      </c>
      <c r="P7" s="97" t="s">
        <v>755</v>
      </c>
      <c r="Q7" s="97" t="s">
        <v>756</v>
      </c>
      <c r="R7" s="97" t="s">
        <v>757</v>
      </c>
      <c r="S7" s="93"/>
      <c r="T7" s="93"/>
      <c r="U7" s="93"/>
    </row>
    <row r="8" spans="1:27" ht="107.9" customHeight="1">
      <c r="A8" s="122" t="s">
        <v>562</v>
      </c>
      <c r="B8" s="122"/>
      <c r="C8" s="122"/>
      <c r="D8" s="122"/>
      <c r="E8" s="98" t="s">
        <v>758</v>
      </c>
      <c r="F8" s="98" t="s">
        <v>759</v>
      </c>
      <c r="G8" s="98" t="s">
        <v>760</v>
      </c>
      <c r="H8" s="98" t="s">
        <v>761</v>
      </c>
      <c r="I8" s="98" t="s">
        <v>762</v>
      </c>
      <c r="J8" s="98" t="s">
        <v>763</v>
      </c>
      <c r="K8" s="98" t="s">
        <v>764</v>
      </c>
      <c r="L8" s="98" t="s">
        <v>765</v>
      </c>
      <c r="M8" s="98" t="s">
        <v>766</v>
      </c>
      <c r="N8" s="98" t="s">
        <v>767</v>
      </c>
      <c r="O8" s="98" t="s">
        <v>768</v>
      </c>
      <c r="P8" s="98" t="s">
        <v>769</v>
      </c>
      <c r="Q8" s="98" t="s">
        <v>770</v>
      </c>
      <c r="R8" s="98" t="s">
        <v>771</v>
      </c>
      <c r="S8" s="99"/>
      <c r="T8" s="99"/>
      <c r="U8" s="99"/>
    </row>
    <row r="9" spans="1:27" ht="165.65" customHeight="1">
      <c r="A9" s="122" t="s">
        <v>96</v>
      </c>
      <c r="B9" s="122"/>
      <c r="C9" s="122"/>
      <c r="D9" s="122"/>
      <c r="E9" s="125" t="s">
        <v>772</v>
      </c>
      <c r="F9" s="125" t="s">
        <v>773</v>
      </c>
      <c r="G9" s="98" t="s">
        <v>774</v>
      </c>
      <c r="H9" s="125" t="s">
        <v>775</v>
      </c>
      <c r="I9" s="125" t="s">
        <v>776</v>
      </c>
      <c r="J9" s="125" t="s">
        <v>777</v>
      </c>
      <c r="K9" s="125" t="s">
        <v>778</v>
      </c>
      <c r="L9" s="125" t="s">
        <v>779</v>
      </c>
      <c r="M9" s="125" t="s">
        <v>780</v>
      </c>
      <c r="N9" s="125" t="s">
        <v>781</v>
      </c>
      <c r="O9" s="125" t="s">
        <v>782</v>
      </c>
      <c r="P9" s="125" t="s">
        <v>783</v>
      </c>
      <c r="Q9" s="125" t="s">
        <v>784</v>
      </c>
      <c r="R9" s="125" t="s">
        <v>785</v>
      </c>
      <c r="S9" s="127"/>
      <c r="T9" s="127"/>
      <c r="U9" s="127"/>
    </row>
    <row r="10" spans="1:27" ht="134.15" customHeight="1">
      <c r="A10" s="122" t="s">
        <v>583</v>
      </c>
      <c r="B10" s="122"/>
      <c r="C10" s="122"/>
      <c r="D10" s="122"/>
      <c r="E10" s="102" t="s">
        <v>786</v>
      </c>
      <c r="F10" s="102" t="s">
        <v>787</v>
      </c>
      <c r="G10" s="102" t="s">
        <v>788</v>
      </c>
      <c r="H10" s="102" t="s">
        <v>789</v>
      </c>
      <c r="I10" s="102" t="s">
        <v>790</v>
      </c>
      <c r="J10" s="103" t="s">
        <v>791</v>
      </c>
      <c r="K10" s="103" t="s">
        <v>792</v>
      </c>
      <c r="L10" s="103" t="s">
        <v>793</v>
      </c>
      <c r="M10" s="102" t="s">
        <v>794</v>
      </c>
      <c r="N10" s="102" t="s">
        <v>795</v>
      </c>
      <c r="O10" s="102" t="s">
        <v>796</v>
      </c>
      <c r="P10" s="102" t="s">
        <v>797</v>
      </c>
      <c r="Q10" s="102" t="s">
        <v>798</v>
      </c>
      <c r="R10" s="102" t="s">
        <v>799</v>
      </c>
      <c r="S10" s="152"/>
      <c r="T10" s="152"/>
      <c r="U10" s="152"/>
    </row>
    <row r="11" spans="1:27" ht="78">
      <c r="A11" s="135" t="s">
        <v>85</v>
      </c>
      <c r="B11" s="135"/>
      <c r="C11" s="135"/>
      <c r="D11" s="135"/>
      <c r="E11" s="102"/>
      <c r="F11" s="102" t="s">
        <v>800</v>
      </c>
      <c r="G11" s="102" t="s">
        <v>801</v>
      </c>
      <c r="H11" s="102" t="s">
        <v>802</v>
      </c>
      <c r="I11" s="102" t="s">
        <v>803</v>
      </c>
      <c r="J11" s="103" t="s">
        <v>804</v>
      </c>
      <c r="K11" s="103" t="s">
        <v>805</v>
      </c>
      <c r="L11" s="103" t="s">
        <v>806</v>
      </c>
      <c r="M11" s="102" t="s">
        <v>807</v>
      </c>
      <c r="N11" s="102" t="s">
        <v>808</v>
      </c>
      <c r="O11" s="102" t="s">
        <v>809</v>
      </c>
      <c r="P11" s="102" t="s">
        <v>810</v>
      </c>
      <c r="Q11" s="102" t="s">
        <v>811</v>
      </c>
      <c r="R11" s="102" t="s">
        <v>812</v>
      </c>
      <c r="S11" s="152"/>
      <c r="T11" s="152"/>
      <c r="U11" s="152"/>
    </row>
    <row r="15" spans="1:27" customFormat="1">
      <c r="A15" t="s">
        <v>452</v>
      </c>
      <c r="B15" t="s">
        <v>104</v>
      </c>
      <c r="C15" t="s">
        <v>105</v>
      </c>
      <c r="D15" s="295" t="s">
        <v>451</v>
      </c>
      <c r="E15" s="14" t="s">
        <v>178</v>
      </c>
      <c r="F15" s="14" t="s">
        <v>179</v>
      </c>
      <c r="G15" s="14" t="s">
        <v>180</v>
      </c>
      <c r="H15" s="14" t="s">
        <v>181</v>
      </c>
      <c r="I15" s="14" t="s">
        <v>182</v>
      </c>
      <c r="J15" s="14" t="s">
        <v>184</v>
      </c>
      <c r="K15" s="14" t="s">
        <v>185</v>
      </c>
      <c r="L15" s="14" t="s">
        <v>186</v>
      </c>
      <c r="M15" s="14" t="s">
        <v>187</v>
      </c>
      <c r="N15" s="14" t="s">
        <v>188</v>
      </c>
      <c r="O15" s="14" t="s">
        <v>190</v>
      </c>
      <c r="P15" s="14" t="s">
        <v>191</v>
      </c>
      <c r="Q15" s="14" t="s">
        <v>192</v>
      </c>
      <c r="R15" s="14" t="s">
        <v>194</v>
      </c>
    </row>
    <row r="16" spans="1:27">
      <c r="A16" t="s">
        <v>545</v>
      </c>
      <c r="B16" s="15" t="s">
        <v>104</v>
      </c>
      <c r="C16" s="15" t="str">
        <f>HYPERLINK("02-项目级\P3-主从数据库复制及性能提升项目\01-生存周期\04-需求\04-需求调研报告\01-需求调研报告(QCUBIC-XNTS-RDM-Report-20220113pm)V1.0-engl.docx", "engl")</f>
        <v>engl</v>
      </c>
      <c r="D16"/>
      <c r="E16" t="s">
        <v>435</v>
      </c>
      <c r="F16"/>
      <c r="G16"/>
      <c r="H16"/>
      <c r="I16"/>
      <c r="J16"/>
      <c r="K16"/>
      <c r="L16"/>
      <c r="M16"/>
      <c r="N16"/>
      <c r="O16"/>
      <c r="P16"/>
      <c r="Q16"/>
      <c r="R16" t="s">
        <v>435</v>
      </c>
      <c r="S16"/>
      <c r="T16"/>
      <c r="U16"/>
      <c r="V16"/>
      <c r="W16"/>
      <c r="X16"/>
      <c r="Y16"/>
      <c r="Z16"/>
      <c r="AA16"/>
    </row>
    <row r="17" spans="1:27">
      <c r="A17" t="s">
        <v>545</v>
      </c>
      <c r="B17" s="15" t="s">
        <v>104</v>
      </c>
      <c r="C17" s="15" t="str">
        <f>HYPERLINK("02-项目级\P3-主从数据库复制及性能提升项目\01-生存周期\04-需求\02-需求规格说明书 (QCUBIC-XNTS-RDM-SRS)V1.1-engl.docx", "engl")</f>
        <v>engl</v>
      </c>
      <c r="D17"/>
      <c r="E17" t="s">
        <v>435</v>
      </c>
      <c r="F17" t="s">
        <v>435</v>
      </c>
      <c r="G17" t="s">
        <v>435</v>
      </c>
      <c r="H17" t="s">
        <v>435</v>
      </c>
      <c r="I17" t="s">
        <v>435</v>
      </c>
      <c r="J17" t="s">
        <v>435</v>
      </c>
      <c r="K17"/>
      <c r="L17" t="s">
        <v>435</v>
      </c>
      <c r="M17" t="s">
        <v>435</v>
      </c>
      <c r="N17" t="s">
        <v>435</v>
      </c>
      <c r="O17" t="s">
        <v>435</v>
      </c>
      <c r="P17" t="s">
        <v>435</v>
      </c>
      <c r="Q17" t="s">
        <v>435</v>
      </c>
      <c r="R17" t="s">
        <v>435</v>
      </c>
      <c r="S17"/>
      <c r="T17"/>
      <c r="U17"/>
      <c r="V17"/>
      <c r="W17"/>
      <c r="X17"/>
      <c r="Y17"/>
      <c r="Z17"/>
      <c r="AA17"/>
    </row>
    <row r="18" spans="1:27">
      <c r="A18" t="s">
        <v>545</v>
      </c>
      <c r="B18" s="15" t="s">
        <v>104</v>
      </c>
      <c r="C18" s="15" t="str">
        <f>HYPERLINK("02-项目级\P3-主从数据库复制及性能提升项目\01-生存周期\04-需求\03-用户需求说明书(QCUBIC-XNTS-RDM-CRS)V1.1-engl.docx", "engl")</f>
        <v>engl</v>
      </c>
      <c r="D18"/>
      <c r="E18"/>
      <c r="F18" t="s">
        <v>435</v>
      </c>
      <c r="G18" t="s">
        <v>435</v>
      </c>
      <c r="H18" t="s">
        <v>435</v>
      </c>
      <c r="I18" t="s">
        <v>435</v>
      </c>
      <c r="J18"/>
      <c r="K18"/>
      <c r="L18"/>
      <c r="M18"/>
      <c r="N18"/>
      <c r="O18"/>
      <c r="P18"/>
      <c r="Q18"/>
      <c r="R18"/>
      <c r="S18"/>
      <c r="T18"/>
      <c r="U18"/>
      <c r="V18"/>
      <c r="W18"/>
      <c r="X18"/>
      <c r="Y18"/>
      <c r="Z18"/>
      <c r="AA18"/>
    </row>
    <row r="19" spans="1:27">
      <c r="A19" t="s">
        <v>545</v>
      </c>
      <c r="B19" s="15" t="s">
        <v>104</v>
      </c>
      <c r="C19" s="15" t="str">
        <f>HYPERLINK("02-项目级\P3-主从数据库复制及性能提升项目\02-全程管理\05-评审管理\04-需求评审\01-需求规格说明书\05-评审报告_需求规格说明书(QCUBIC-XNTS-PR-ReviewRpt)V1.1-engl.xlsx", "engl")</f>
        <v>engl</v>
      </c>
      <c r="D19"/>
      <c r="E19"/>
      <c r="F19"/>
      <c r="G19"/>
      <c r="H19" t="s">
        <v>435</v>
      </c>
      <c r="I19" t="s">
        <v>435</v>
      </c>
      <c r="J19"/>
      <c r="K19"/>
      <c r="L19"/>
      <c r="M19"/>
      <c r="N19"/>
      <c r="O19"/>
      <c r="P19" t="s">
        <v>435</v>
      </c>
      <c r="Q19" t="s">
        <v>435</v>
      </c>
      <c r="R19" t="s">
        <v>435</v>
      </c>
      <c r="S19"/>
      <c r="T19"/>
      <c r="U19"/>
      <c r="V19"/>
      <c r="W19"/>
      <c r="X19"/>
      <c r="Y19"/>
      <c r="Z19"/>
      <c r="AA19"/>
    </row>
    <row r="20" spans="1:27">
      <c r="A20" t="s">
        <v>545</v>
      </c>
      <c r="B20" s="15" t="s">
        <v>104</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435</v>
      </c>
      <c r="J20"/>
      <c r="K20"/>
      <c r="L20"/>
      <c r="M20"/>
      <c r="N20"/>
      <c r="O20"/>
      <c r="P20" t="s">
        <v>435</v>
      </c>
      <c r="Q20"/>
      <c r="R20"/>
      <c r="S20"/>
      <c r="T20"/>
      <c r="U20"/>
      <c r="V20"/>
      <c r="W20"/>
      <c r="X20"/>
      <c r="Y20"/>
      <c r="Z20"/>
      <c r="AA20"/>
    </row>
    <row r="21" spans="1:27">
      <c r="A21" t="s">
        <v>545</v>
      </c>
      <c r="B21" s="15" t="s">
        <v>104</v>
      </c>
      <c r="C21" s="15" t="str">
        <f>HYPERLINK("02-项目级\P3-主从数据库复制及性能提升项目\01-生存周期\04-需求\05-需求跟踪矩阵\01-需求跟踪矩阵(QCUBIC-XNTS-RDM-RTX)V1.1-engl.xlsx", "engl")</f>
        <v>engl</v>
      </c>
      <c r="D21"/>
      <c r="E21"/>
      <c r="F21"/>
      <c r="G21"/>
      <c r="H21"/>
      <c r="I21"/>
      <c r="J21" t="s">
        <v>435</v>
      </c>
      <c r="K21" t="s">
        <v>435</v>
      </c>
      <c r="L21"/>
      <c r="M21"/>
      <c r="N21"/>
      <c r="O21"/>
      <c r="P21"/>
      <c r="Q21"/>
      <c r="R21"/>
      <c r="S21"/>
      <c r="T21"/>
      <c r="U21"/>
      <c r="V21"/>
      <c r="W21"/>
      <c r="X21"/>
      <c r="Y21"/>
      <c r="Z21"/>
      <c r="AA21"/>
    </row>
    <row r="22" spans="1:27">
      <c r="A22" t="s">
        <v>545</v>
      </c>
      <c r="B22" s="15" t="s">
        <v>104</v>
      </c>
      <c r="C22" s="15" t="str">
        <f>HYPERLINK("02-项目级\P3-主从数据库复制及性能提升项目\01-生存周期\03-项目策划\03-项目计划书 (QCUBIC-XNTS-PLAN-Plan)V1.1-engl.docx", "engl")</f>
        <v>engl</v>
      </c>
      <c r="D22"/>
      <c r="E22"/>
      <c r="F22"/>
      <c r="G22"/>
      <c r="H22"/>
      <c r="I22"/>
      <c r="J22"/>
      <c r="K22" t="s">
        <v>435</v>
      </c>
      <c r="L22"/>
      <c r="M22"/>
      <c r="N22"/>
      <c r="O22"/>
      <c r="P22"/>
      <c r="Q22"/>
      <c r="R22"/>
      <c r="S22"/>
      <c r="T22"/>
      <c r="U22"/>
      <c r="V22"/>
      <c r="W22"/>
      <c r="X22"/>
      <c r="Y22"/>
      <c r="Z22"/>
      <c r="AA22"/>
    </row>
    <row r="23" spans="1:27">
      <c r="A23" t="s">
        <v>545</v>
      </c>
      <c r="B23" s="15" t="s">
        <v>104</v>
      </c>
      <c r="C23" s="15" t="str">
        <f>HYPERLINK("02-项目级\P3-主从数据库复制及性能提升项目\01-生存周期\04-需求\01-需求调研计划(QCUBIC-XNTS-RDM-Plan)V1.0-engl.docx", "engl")</f>
        <v>engl</v>
      </c>
      <c r="D23"/>
      <c r="E23"/>
      <c r="F23"/>
      <c r="G23"/>
      <c r="H23"/>
      <c r="I23"/>
      <c r="J23"/>
      <c r="K23" t="s">
        <v>435</v>
      </c>
      <c r="L23"/>
      <c r="M23"/>
      <c r="N23"/>
      <c r="O23"/>
      <c r="P23"/>
      <c r="Q23"/>
      <c r="R23"/>
      <c r="S23"/>
      <c r="T23"/>
      <c r="U23"/>
      <c r="V23"/>
      <c r="W23"/>
      <c r="X23"/>
      <c r="Y23"/>
      <c r="Z23"/>
      <c r="AA23"/>
    </row>
    <row r="24" spans="1:27">
      <c r="A24" t="s">
        <v>545</v>
      </c>
      <c r="B24" s="15" t="s">
        <v>104</v>
      </c>
      <c r="C24" s="15" t="str">
        <f>HYPERLINK("02-项目级\P3-主从数据库复制及性能提升项目\02-全程管理\06-变更管理\03-变更结果报告(QCUBIC-XNTS-mc-changereport_001)V1.0-engl.docx", "engl")</f>
        <v>engl</v>
      </c>
      <c r="D24"/>
      <c r="E24"/>
      <c r="F24"/>
      <c r="G24"/>
      <c r="H24"/>
      <c r="I24"/>
      <c r="J24"/>
      <c r="K24" t="s">
        <v>435</v>
      </c>
      <c r="L24" t="s">
        <v>435</v>
      </c>
      <c r="M24"/>
      <c r="N24"/>
      <c r="O24"/>
      <c r="P24"/>
      <c r="Q24"/>
      <c r="R24"/>
      <c r="S24"/>
      <c r="T24"/>
      <c r="U24"/>
      <c r="V24"/>
      <c r="W24"/>
      <c r="X24"/>
      <c r="Y24"/>
      <c r="Z24"/>
      <c r="AA24"/>
    </row>
    <row r="25" spans="1:27">
      <c r="A25" t="s">
        <v>545</v>
      </c>
      <c r="B25" s="15" t="s">
        <v>104</v>
      </c>
      <c r="C25" s="15" t="str">
        <f>HYPERLINK("02-项目级\P3-主从数据库复制及性能提升项目\02-全程管理\06-变更管理\02-变更列表(QCUBIC-XNTS-MC-CRecoRDM)V1.0-engl.xlsx", "engl")</f>
        <v>engl</v>
      </c>
      <c r="D25"/>
      <c r="E25"/>
      <c r="F25"/>
      <c r="G25"/>
      <c r="H25"/>
      <c r="I25"/>
      <c r="J25"/>
      <c r="K25"/>
      <c r="L25" t="s">
        <v>435</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7.36328125" style="118" customWidth="1"/>
    <col min="2" max="4" width="7.90625" style="118" customWidth="1"/>
    <col min="5" max="7" width="15.6328125" style="118" customWidth="1"/>
    <col min="8" max="9" width="15.6328125" style="136" customWidth="1"/>
    <col min="10" max="15" width="15.6328125" style="118" customWidth="1"/>
    <col min="16" max="16" width="15.6328125" style="118" hidden="1" customWidth="1"/>
    <col min="17" max="17" width="15" style="118" customWidth="1"/>
    <col min="18" max="18" width="3.6328125" style="118" customWidth="1"/>
    <col min="19" max="19" width="40.08984375" style="118" bestFit="1" customWidth="1"/>
    <col min="20" max="20" width="87.36328125" style="118" customWidth="1"/>
    <col min="21" max="16384" width="8.6328125" style="118"/>
  </cols>
  <sheetData>
    <row r="1" spans="1:27" s="107" customFormat="1" ht="18.5">
      <c r="A1" s="105" t="s">
        <v>813</v>
      </c>
      <c r="B1" s="105"/>
      <c r="C1" s="105"/>
      <c r="D1" s="105"/>
      <c r="E1" s="106"/>
      <c r="H1" s="136"/>
      <c r="I1" s="136"/>
      <c r="T1" s="118"/>
    </row>
    <row r="2" spans="1:27" s="107" customFormat="1">
      <c r="A2" s="110" t="s">
        <v>456</v>
      </c>
      <c r="B2" s="110"/>
      <c r="C2" s="110"/>
      <c r="D2" s="110"/>
      <c r="E2" s="366" t="s">
        <v>251</v>
      </c>
      <c r="F2" s="366"/>
      <c r="G2" s="366"/>
      <c r="H2" s="366"/>
      <c r="I2" s="366"/>
      <c r="J2" s="366"/>
      <c r="T2" s="118"/>
    </row>
    <row r="3" spans="1:27" s="107" customFormat="1">
      <c r="A3" s="107" t="s">
        <v>457</v>
      </c>
      <c r="E3" s="107" t="s">
        <v>423</v>
      </c>
      <c r="H3" s="136"/>
      <c r="I3" s="136"/>
      <c r="T3" s="118"/>
    </row>
    <row r="4" spans="1:27" s="107" customFormat="1" ht="14.5">
      <c r="A4" s="111"/>
      <c r="B4" s="111"/>
      <c r="C4" s="111"/>
      <c r="D4" s="111"/>
      <c r="E4" s="112" t="s">
        <v>47</v>
      </c>
      <c r="F4" s="149"/>
      <c r="G4" s="112"/>
      <c r="H4" s="113" t="s">
        <v>54</v>
      </c>
      <c r="I4" s="113"/>
      <c r="J4" s="116" t="s">
        <v>56</v>
      </c>
      <c r="K4" s="150"/>
      <c r="L4" s="150"/>
      <c r="M4" s="116"/>
      <c r="N4" s="116"/>
      <c r="O4" s="116" t="s">
        <v>56</v>
      </c>
      <c r="P4" s="173" t="s">
        <v>57</v>
      </c>
      <c r="Q4" s="117"/>
      <c r="R4" s="117"/>
      <c r="S4" s="117"/>
      <c r="T4" s="118"/>
      <c r="U4" s="110"/>
      <c r="V4" s="117"/>
      <c r="W4" s="117"/>
    </row>
    <row r="5" spans="1:27" ht="14.5">
      <c r="E5" s="119" t="s">
        <v>548</v>
      </c>
      <c r="F5" s="149"/>
      <c r="G5" s="119"/>
      <c r="H5" s="120" t="s">
        <v>549</v>
      </c>
      <c r="I5" s="120"/>
      <c r="J5" s="116" t="s">
        <v>550</v>
      </c>
      <c r="K5" s="150"/>
      <c r="L5" s="150"/>
      <c r="M5" s="121"/>
      <c r="N5" s="121"/>
      <c r="O5" s="116" t="s">
        <v>550</v>
      </c>
      <c r="P5" s="174" t="s">
        <v>814</v>
      </c>
      <c r="U5" s="110"/>
      <c r="W5" s="117"/>
    </row>
    <row r="6" spans="1:27">
      <c r="A6" s="135"/>
      <c r="B6" s="135"/>
      <c r="C6" s="135"/>
      <c r="D6" s="135"/>
      <c r="E6" s="175" t="s">
        <v>252</v>
      </c>
      <c r="F6" s="175" t="s">
        <v>253</v>
      </c>
      <c r="G6" s="175" t="s">
        <v>254</v>
      </c>
      <c r="H6" s="90" t="s">
        <v>255</v>
      </c>
      <c r="I6" s="90" t="s">
        <v>256</v>
      </c>
      <c r="J6" s="91" t="s">
        <v>257</v>
      </c>
      <c r="K6" s="91" t="s">
        <v>258</v>
      </c>
      <c r="L6" s="91" t="s">
        <v>259</v>
      </c>
      <c r="M6" s="91" t="s">
        <v>260</v>
      </c>
      <c r="N6" s="91" t="s">
        <v>261</v>
      </c>
      <c r="O6" s="91" t="s">
        <v>262</v>
      </c>
      <c r="P6" s="176" t="s">
        <v>263</v>
      </c>
      <c r="Q6" s="153"/>
      <c r="R6" s="93"/>
      <c r="S6" s="153"/>
      <c r="T6" s="177"/>
    </row>
    <row r="7" spans="1:27" ht="116.4" customHeight="1">
      <c r="A7" s="124" t="s">
        <v>652</v>
      </c>
      <c r="B7" s="124"/>
      <c r="C7" s="124"/>
      <c r="D7" s="124"/>
      <c r="E7" s="97" t="s">
        <v>815</v>
      </c>
      <c r="F7" s="97" t="s">
        <v>816</v>
      </c>
      <c r="G7" s="97" t="s">
        <v>817</v>
      </c>
      <c r="H7" s="97" t="s">
        <v>818</v>
      </c>
      <c r="I7" s="97" t="s">
        <v>819</v>
      </c>
      <c r="J7" s="97" t="s">
        <v>820</v>
      </c>
      <c r="K7" s="97" t="s">
        <v>821</v>
      </c>
      <c r="L7" s="97" t="s">
        <v>822</v>
      </c>
      <c r="M7" s="97" t="s">
        <v>823</v>
      </c>
      <c r="N7" s="97" t="s">
        <v>824</v>
      </c>
      <c r="O7" s="97" t="s">
        <v>825</v>
      </c>
      <c r="P7" s="97" t="s">
        <v>826</v>
      </c>
      <c r="Q7" s="93"/>
      <c r="R7" s="93"/>
      <c r="S7" s="93"/>
    </row>
    <row r="8" spans="1:27" ht="80.400000000000006" customHeight="1">
      <c r="A8" s="135" t="s">
        <v>562</v>
      </c>
      <c r="B8" s="135"/>
      <c r="C8" s="135"/>
      <c r="D8" s="135"/>
      <c r="E8" s="98" t="s">
        <v>827</v>
      </c>
      <c r="F8" s="98" t="s">
        <v>828</v>
      </c>
      <c r="G8" s="98" t="s">
        <v>829</v>
      </c>
      <c r="H8" s="98" t="s">
        <v>830</v>
      </c>
      <c r="I8" s="98" t="s">
        <v>831</v>
      </c>
      <c r="J8" s="98" t="s">
        <v>832</v>
      </c>
      <c r="K8" s="98" t="s">
        <v>833</v>
      </c>
      <c r="L8" s="98" t="s">
        <v>834</v>
      </c>
      <c r="M8" s="98" t="s">
        <v>835</v>
      </c>
      <c r="N8" s="98" t="s">
        <v>836</v>
      </c>
      <c r="O8" s="98" t="s">
        <v>837</v>
      </c>
      <c r="P8" s="125" t="s">
        <v>838</v>
      </c>
      <c r="Q8" s="127"/>
      <c r="R8" s="127"/>
      <c r="S8" s="127"/>
    </row>
    <row r="9" spans="1:27" ht="300">
      <c r="A9" s="135" t="s">
        <v>96</v>
      </c>
      <c r="B9" s="135"/>
      <c r="C9" s="135"/>
      <c r="D9" s="135"/>
      <c r="E9" s="98" t="s">
        <v>839</v>
      </c>
      <c r="F9" s="125" t="s">
        <v>840</v>
      </c>
      <c r="G9" s="125" t="s">
        <v>841</v>
      </c>
      <c r="H9" s="125" t="s">
        <v>842</v>
      </c>
      <c r="I9" s="125" t="s">
        <v>843</v>
      </c>
      <c r="J9" s="125" t="s">
        <v>844</v>
      </c>
      <c r="K9" s="125" t="s">
        <v>845</v>
      </c>
      <c r="L9" s="125" t="s">
        <v>846</v>
      </c>
      <c r="M9" s="125" t="s">
        <v>847</v>
      </c>
      <c r="N9" s="125" t="s">
        <v>848</v>
      </c>
      <c r="O9" s="125" t="s">
        <v>849</v>
      </c>
      <c r="P9" s="125" t="s">
        <v>850</v>
      </c>
      <c r="Q9" s="127"/>
      <c r="R9" s="127"/>
      <c r="S9" s="127"/>
    </row>
    <row r="10" spans="1:27" ht="189" customHeight="1">
      <c r="A10" s="122" t="s">
        <v>583</v>
      </c>
      <c r="B10" s="122"/>
      <c r="C10" s="122"/>
      <c r="D10" s="122"/>
      <c r="E10" s="178" t="s">
        <v>851</v>
      </c>
      <c r="F10" s="178" t="s">
        <v>852</v>
      </c>
      <c r="G10" s="178" t="s">
        <v>853</v>
      </c>
      <c r="H10" s="125" t="s">
        <v>854</v>
      </c>
      <c r="I10" s="125" t="s">
        <v>447</v>
      </c>
      <c r="J10" s="125" t="s">
        <v>855</v>
      </c>
      <c r="K10" s="125" t="s">
        <v>448</v>
      </c>
      <c r="L10" s="125" t="s">
        <v>856</v>
      </c>
      <c r="M10" s="125" t="s">
        <v>449</v>
      </c>
      <c r="N10" s="125" t="s">
        <v>450</v>
      </c>
      <c r="O10" s="125" t="s">
        <v>857</v>
      </c>
      <c r="P10" s="179" t="s">
        <v>858</v>
      </c>
      <c r="Q10" s="180"/>
      <c r="R10" s="180"/>
      <c r="S10" s="180"/>
    </row>
    <row r="11" spans="1:27" ht="72" customHeight="1">
      <c r="A11" s="161" t="s">
        <v>85</v>
      </c>
      <c r="B11" s="161"/>
      <c r="C11" s="161"/>
      <c r="D11" s="161"/>
      <c r="E11" s="125"/>
      <c r="F11" s="125" t="s">
        <v>859</v>
      </c>
      <c r="G11" s="125" t="s">
        <v>860</v>
      </c>
      <c r="H11" s="125" t="s">
        <v>861</v>
      </c>
      <c r="I11" s="125" t="s">
        <v>862</v>
      </c>
      <c r="J11" s="125" t="s">
        <v>863</v>
      </c>
      <c r="K11" s="125" t="s">
        <v>864</v>
      </c>
      <c r="L11" s="125" t="s">
        <v>865</v>
      </c>
      <c r="M11" s="125" t="s">
        <v>866</v>
      </c>
      <c r="N11" s="125" t="s">
        <v>867</v>
      </c>
      <c r="O11" s="125" t="s">
        <v>868</v>
      </c>
      <c r="P11" s="179" t="s">
        <v>858</v>
      </c>
      <c r="Q11" s="180"/>
      <c r="R11" s="180"/>
      <c r="S11" s="180"/>
    </row>
    <row r="12" spans="1:27" s="117" customFormat="1" ht="14.5">
      <c r="A12" s="118"/>
      <c r="B12" s="118"/>
      <c r="C12" s="118"/>
      <c r="D12" s="118"/>
      <c r="E12" s="118"/>
      <c r="F12" s="118"/>
      <c r="G12" s="118"/>
      <c r="H12" s="136"/>
      <c r="I12" s="136"/>
      <c r="J12" s="118"/>
      <c r="K12" s="118"/>
      <c r="L12" s="118"/>
      <c r="M12" s="118"/>
      <c r="N12" s="118"/>
      <c r="O12" s="118"/>
      <c r="P12" s="118"/>
      <c r="Q12" s="118"/>
      <c r="R12" s="118"/>
      <c r="S12" s="118"/>
      <c r="T12" s="118"/>
    </row>
    <row r="13" spans="1:27" s="117" customFormat="1" ht="14.5">
      <c r="A13" s="118"/>
      <c r="B13" s="118"/>
      <c r="C13" s="118"/>
      <c r="D13" s="118"/>
      <c r="E13" s="118"/>
      <c r="F13" s="118"/>
      <c r="G13" s="118"/>
      <c r="H13" s="136"/>
      <c r="I13" s="136"/>
      <c r="J13" s="118"/>
      <c r="K13" s="118"/>
      <c r="L13" s="118"/>
      <c r="M13" s="118"/>
      <c r="N13" s="118"/>
      <c r="O13" s="118"/>
      <c r="P13" s="118"/>
      <c r="Q13" s="118"/>
      <c r="R13" s="118"/>
      <c r="S13" s="118"/>
      <c r="T13" s="118"/>
    </row>
    <row r="14" spans="1:27" s="117" customFormat="1" ht="14.5">
      <c r="A14" s="118"/>
      <c r="B14" s="118"/>
      <c r="C14" s="118"/>
      <c r="D14" s="118"/>
      <c r="E14" s="118"/>
      <c r="F14" s="118"/>
      <c r="G14" s="118"/>
      <c r="H14" s="136"/>
      <c r="I14" s="136"/>
      <c r="J14" s="118"/>
      <c r="K14" s="118"/>
      <c r="L14" s="118"/>
      <c r="M14" s="118"/>
      <c r="N14" s="118"/>
      <c r="O14" s="118"/>
      <c r="P14" s="118"/>
      <c r="Q14" s="118"/>
      <c r="R14" s="118"/>
      <c r="S14" s="118"/>
      <c r="T14" s="118"/>
    </row>
    <row r="15" spans="1:27" customFormat="1" ht="14.5">
      <c r="A15" t="s">
        <v>452</v>
      </c>
      <c r="B15" t="s">
        <v>104</v>
      </c>
      <c r="C15" t="s">
        <v>105</v>
      </c>
      <c r="D15" s="295" t="s">
        <v>451</v>
      </c>
      <c r="E15" s="14" t="s">
        <v>252</v>
      </c>
      <c r="F15" s="14" t="s">
        <v>253</v>
      </c>
      <c r="G15" s="14" t="s">
        <v>254</v>
      </c>
      <c r="H15" s="14" t="s">
        <v>255</v>
      </c>
      <c r="I15" s="14" t="s">
        <v>256</v>
      </c>
      <c r="J15" s="14" t="s">
        <v>257</v>
      </c>
      <c r="K15" s="14" t="s">
        <v>258</v>
      </c>
      <c r="L15" s="14" t="s">
        <v>259</v>
      </c>
      <c r="M15" s="14" t="s">
        <v>260</v>
      </c>
      <c r="N15" s="14" t="s">
        <v>261</v>
      </c>
      <c r="O15" s="14" t="s">
        <v>262</v>
      </c>
      <c r="P15" s="14" t="s">
        <v>263</v>
      </c>
      <c r="Q15" s="14" t="s">
        <v>263</v>
      </c>
    </row>
    <row r="16" spans="1:27" s="117" customFormat="1" ht="14.5">
      <c r="A16" t="s">
        <v>545</v>
      </c>
      <c r="B16" s="15" t="s">
        <v>104</v>
      </c>
      <c r="C16" s="15" t="str">
        <f>HYPERLINK("01-组织级\02-组织工作库\02-EPG活动库\03-过程改进计划\过程改进计划(QCUBIC-SPI-PIM-PIPlan)V1.2-engl.docx", "engl")</f>
        <v>engl</v>
      </c>
      <c r="D16"/>
      <c r="E16" t="s">
        <v>435</v>
      </c>
      <c r="F16"/>
      <c r="G16"/>
      <c r="H16" t="s">
        <v>435</v>
      </c>
      <c r="I16" t="s">
        <v>435</v>
      </c>
      <c r="J16" t="s">
        <v>435</v>
      </c>
      <c r="K16" t="s">
        <v>435</v>
      </c>
      <c r="L16"/>
      <c r="M16"/>
      <c r="N16"/>
      <c r="O16"/>
      <c r="P16"/>
      <c r="Q16"/>
      <c r="R16"/>
      <c r="S16"/>
      <c r="T16"/>
      <c r="U16"/>
      <c r="V16"/>
      <c r="W16"/>
      <c r="X16"/>
      <c r="Y16"/>
      <c r="Z16"/>
      <c r="AA16"/>
    </row>
    <row r="17" spans="1:27" s="117" customFormat="1" ht="14.5">
      <c r="A17" t="s">
        <v>545</v>
      </c>
      <c r="B17" s="15" t="s">
        <v>104</v>
      </c>
      <c r="C17" s="15" t="str">
        <f>HYPERLINK("01-组织级\02-组织工作库\02-EPG活动库\02-现场诊断\北京快立方科技有限公司现场诊断报告-engl.pptx", "engl")</f>
        <v>engl</v>
      </c>
      <c r="D17"/>
      <c r="E17"/>
      <c r="F17" t="s">
        <v>435</v>
      </c>
      <c r="G17"/>
      <c r="H17"/>
      <c r="I17"/>
      <c r="J17"/>
      <c r="K17"/>
      <c r="L17"/>
      <c r="M17"/>
      <c r="N17"/>
      <c r="O17"/>
      <c r="P17"/>
      <c r="Q17"/>
      <c r="R17"/>
      <c r="S17"/>
      <c r="T17"/>
      <c r="U17"/>
      <c r="V17"/>
      <c r="W17"/>
      <c r="X17"/>
      <c r="Y17"/>
      <c r="Z17"/>
      <c r="AA17"/>
    </row>
    <row r="18" spans="1:27" s="117" customFormat="1" ht="14.5">
      <c r="A18" t="s">
        <v>545</v>
      </c>
      <c r="B18" s="15" t="s">
        <v>104</v>
      </c>
      <c r="C18" s="15" t="str">
        <f>HYPERLINK("01-组织级\02-组织工作库\02-EPG活动库\过程改进总结报告-engl.pptx", "engl")</f>
        <v>engl</v>
      </c>
      <c r="D18"/>
      <c r="E18"/>
      <c r="F18" t="s">
        <v>435</v>
      </c>
      <c r="G18"/>
      <c r="H18"/>
      <c r="I18"/>
      <c r="J18"/>
      <c r="K18"/>
      <c r="L18" t="s">
        <v>435</v>
      </c>
      <c r="M18"/>
      <c r="N18" t="s">
        <v>435</v>
      </c>
      <c r="O18" t="s">
        <v>435</v>
      </c>
      <c r="P18"/>
      <c r="Q18"/>
      <c r="R18"/>
      <c r="S18"/>
      <c r="T18"/>
      <c r="U18"/>
      <c r="V18"/>
      <c r="W18"/>
      <c r="X18"/>
      <c r="Y18"/>
      <c r="Z18"/>
      <c r="AA18"/>
    </row>
    <row r="19" spans="1:27" s="117" customFormat="1" ht="14.5">
      <c r="A19" t="s">
        <v>545</v>
      </c>
      <c r="B19" s="15" t="s">
        <v>104</v>
      </c>
      <c r="C19" s="15" t="str">
        <f>HYPERLINK("01-组织级\02-组织工作库\02-EPG活动库\01-EPG章程\EPG章程(QCUBIC-SPI-PIM-Std-EPGRule)V1.2-engl.docx", "engl")</f>
        <v>engl</v>
      </c>
      <c r="D19"/>
      <c r="E19"/>
      <c r="F19" t="s">
        <v>435</v>
      </c>
      <c r="G19"/>
      <c r="H19"/>
      <c r="I19"/>
      <c r="J19"/>
      <c r="K19"/>
      <c r="L19"/>
      <c r="M19"/>
      <c r="N19"/>
      <c r="O19"/>
      <c r="P19"/>
      <c r="Q19"/>
      <c r="R19"/>
      <c r="S19"/>
      <c r="T19"/>
      <c r="U19"/>
      <c r="V19"/>
      <c r="W19"/>
      <c r="X19"/>
      <c r="Y19"/>
      <c r="Z19"/>
      <c r="AA19"/>
    </row>
    <row r="20" spans="1:27" s="117" customFormat="1" ht="14.5">
      <c r="A20" t="s">
        <v>545</v>
      </c>
      <c r="B20" s="15" t="s">
        <v>104</v>
      </c>
      <c r="C20" s="15" t="str">
        <f>HYPERLINK("01-组织级\02-组织工作库\02-EPG活动库\07-EPG跟踪\05-过程改进建议表\过程改进建议表(QCUBIC-SPI-PIM-SPIAdvic)V1.2-engl.xlsx", "engl")</f>
        <v>engl</v>
      </c>
      <c r="D20"/>
      <c r="E20"/>
      <c r="F20"/>
      <c r="G20" t="s">
        <v>435</v>
      </c>
      <c r="H20"/>
      <c r="I20"/>
      <c r="J20"/>
      <c r="K20"/>
      <c r="L20"/>
      <c r="M20" t="s">
        <v>435</v>
      </c>
      <c r="N20"/>
      <c r="O20"/>
      <c r="P20"/>
      <c r="Q20"/>
      <c r="R20"/>
      <c r="S20"/>
      <c r="T20"/>
      <c r="U20"/>
      <c r="V20"/>
      <c r="W20"/>
      <c r="X20"/>
      <c r="Y20"/>
      <c r="Z20"/>
      <c r="AA20"/>
    </row>
    <row r="21" spans="1:27" ht="14.5">
      <c r="A21" t="s">
        <v>545</v>
      </c>
      <c r="B21" s="15" t="s">
        <v>104</v>
      </c>
      <c r="C21"/>
      <c r="D21"/>
      <c r="E21"/>
      <c r="F21"/>
      <c r="G21"/>
      <c r="H21"/>
      <c r="I21"/>
      <c r="J21"/>
      <c r="K21" t="s">
        <v>435</v>
      </c>
      <c r="L21"/>
      <c r="M21"/>
      <c r="N21"/>
      <c r="O21"/>
      <c r="P21"/>
      <c r="Q21"/>
      <c r="R21"/>
      <c r="S21"/>
      <c r="T21"/>
      <c r="U21"/>
      <c r="V21"/>
      <c r="W21"/>
      <c r="X21"/>
      <c r="Y21"/>
      <c r="Z21"/>
      <c r="AA21"/>
    </row>
    <row r="22" spans="1:27" ht="14.5">
      <c r="A22" t="s">
        <v>545</v>
      </c>
      <c r="B22" s="15" t="s">
        <v>104</v>
      </c>
      <c r="C22" s="15" t="str">
        <f>HYPERLINK("01-组织级\02-组织工作库\02-EPG活动库\03-过程改进计划\关键子过程选择(QCUBIC_PCM_Select subprocess)V1.0-engl.xlsx", "engl")</f>
        <v>engl</v>
      </c>
      <c r="D22"/>
      <c r="E22"/>
      <c r="F22"/>
      <c r="G22"/>
      <c r="H22"/>
      <c r="I22"/>
      <c r="J22"/>
      <c r="K22" t="s">
        <v>435</v>
      </c>
      <c r="L22"/>
      <c r="M22"/>
      <c r="N22"/>
      <c r="O22"/>
      <c r="P22"/>
      <c r="Q22"/>
      <c r="R22"/>
      <c r="S22"/>
      <c r="T22"/>
      <c r="U22"/>
      <c r="V22"/>
      <c r="W22"/>
      <c r="X22"/>
      <c r="Y22"/>
      <c r="Z22"/>
      <c r="AA22"/>
    </row>
    <row r="23" spans="1:27" ht="14.5">
      <c r="A23" t="s">
        <v>545</v>
      </c>
      <c r="B23" s="15" t="s">
        <v>104</v>
      </c>
      <c r="C23" s="15" t="str">
        <f>HYPERLINK("01-组织级\02-组织工作库\02-EPG活动库\03-过程改进计划\过程改进计划评审报告(QCUBIC-SPI-VV-Tem-ReviewRpt)V1.2-engl.xlsx", "engl")</f>
        <v>engl</v>
      </c>
      <c r="D23"/>
      <c r="E23"/>
      <c r="F23"/>
      <c r="G23"/>
      <c r="H23"/>
      <c r="I23"/>
      <c r="J23"/>
      <c r="K23"/>
      <c r="L23" t="s">
        <v>435</v>
      </c>
      <c r="M23"/>
      <c r="N23"/>
      <c r="O23"/>
      <c r="P23"/>
      <c r="Q23"/>
      <c r="R23"/>
      <c r="S23"/>
      <c r="T23"/>
      <c r="U23"/>
      <c r="V23"/>
      <c r="W23"/>
      <c r="X23"/>
      <c r="Y23"/>
      <c r="Z23"/>
      <c r="AA23"/>
    </row>
    <row r="24" spans="1:27" ht="14.5">
      <c r="A24" t="s">
        <v>545</v>
      </c>
      <c r="B24" s="15" t="s">
        <v>104</v>
      </c>
      <c r="C24"/>
      <c r="D24"/>
      <c r="E24"/>
      <c r="F24"/>
      <c r="G24"/>
      <c r="H24"/>
      <c r="I24"/>
      <c r="J24"/>
      <c r="K24"/>
      <c r="L24"/>
      <c r="M24" t="s">
        <v>435</v>
      </c>
      <c r="N24"/>
      <c r="O24"/>
      <c r="P24"/>
      <c r="Q24"/>
      <c r="R24"/>
      <c r="S24"/>
      <c r="T24"/>
      <c r="U24"/>
      <c r="V24"/>
      <c r="W24"/>
      <c r="X24"/>
      <c r="Y24"/>
      <c r="Z24"/>
      <c r="AA24"/>
    </row>
    <row r="25" spans="1:27" ht="14.5">
      <c r="A25" t="s">
        <v>545</v>
      </c>
      <c r="B25" s="15" t="s">
        <v>104</v>
      </c>
      <c r="C25" s="15" t="str">
        <f>HYPERLINK("01-组织级\02-组织工作库\02-EPG活动库\05-项目试点\试点行动计划(QCUBIC-SPI-PIM-PilotPlan)V1.1-engl.docx", "engl")</f>
        <v>engl</v>
      </c>
      <c r="D25"/>
      <c r="E25"/>
      <c r="F25"/>
      <c r="G25"/>
      <c r="H25"/>
      <c r="I25"/>
      <c r="J25"/>
      <c r="K25"/>
      <c r="L25"/>
      <c r="M25" t="s">
        <v>435</v>
      </c>
      <c r="N25"/>
      <c r="O25"/>
      <c r="P25"/>
      <c r="Q25"/>
      <c r="R25"/>
      <c r="S25"/>
      <c r="T25"/>
      <c r="U25"/>
      <c r="V25"/>
      <c r="W25"/>
      <c r="X25"/>
      <c r="Y25"/>
      <c r="Z25"/>
      <c r="AA25"/>
    </row>
    <row r="26" spans="1:27" ht="14.5">
      <c r="A26" t="s">
        <v>545</v>
      </c>
      <c r="B26" s="15" t="s">
        <v>104</v>
      </c>
      <c r="C26" s="15" t="str">
        <f>HYPERLINK("01-组织级\02-组织工作库\02-EPG活动库\07-EPG跟踪\06-过程改进里程碑\过程改进里程碑报告(ORG_PCM_Milestone_20220628)V1.0-engl.docx", "engl")</f>
        <v>engl</v>
      </c>
      <c r="D26"/>
      <c r="E26"/>
      <c r="F26"/>
      <c r="G26"/>
      <c r="H26"/>
      <c r="I26"/>
      <c r="J26"/>
      <c r="K26"/>
      <c r="L26"/>
      <c r="M26"/>
      <c r="N26" t="s">
        <v>435</v>
      </c>
      <c r="O26"/>
      <c r="P26"/>
      <c r="Q26"/>
      <c r="R26"/>
      <c r="S26"/>
      <c r="T26"/>
      <c r="U26"/>
      <c r="V26"/>
      <c r="W26"/>
      <c r="X26"/>
      <c r="Y26"/>
      <c r="Z26"/>
      <c r="AA26"/>
    </row>
    <row r="27" spans="1:27" ht="14.5">
      <c r="A27" t="s">
        <v>545</v>
      </c>
      <c r="B27" s="15" t="s">
        <v>104</v>
      </c>
      <c r="C27" s="15" t="str">
        <f>HYPERLINK("01-组织级\02-组织工作库\02-EPG活动库\06-过程推广\过程部署计划(QCUBIC-SPI-PIM-PSPreadPlan)V1.2-engl.docx", "engl")</f>
        <v>engl</v>
      </c>
      <c r="D27"/>
      <c r="E27"/>
      <c r="F27"/>
      <c r="G27"/>
      <c r="H27"/>
      <c r="I27"/>
      <c r="J27"/>
      <c r="K27"/>
      <c r="L27"/>
      <c r="M27"/>
      <c r="N27" t="s">
        <v>435</v>
      </c>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7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50.36328125" style="118" customWidth="1"/>
    <col min="2" max="4" width="7.90625" style="118" customWidth="1"/>
    <col min="5" max="6" width="15.6328125" style="118" customWidth="1"/>
    <col min="7" max="7" width="15.6328125" style="136" customWidth="1"/>
    <col min="8" max="15" width="15.6328125" style="118" customWidth="1"/>
    <col min="16" max="16" width="50.6328125" style="118" customWidth="1"/>
    <col min="17" max="17" width="3.6328125" style="118" customWidth="1"/>
    <col min="18" max="18" width="45.6328125" style="118" bestFit="1" customWidth="1"/>
    <col min="19" max="19" width="58.6328125" style="118" customWidth="1"/>
    <col min="20" max="16384" width="8.6328125" style="118"/>
  </cols>
  <sheetData>
    <row r="1" spans="1:27" s="138" customFormat="1" ht="18.5">
      <c r="A1" s="105" t="s">
        <v>869</v>
      </c>
      <c r="B1" s="105"/>
      <c r="C1" s="105"/>
      <c r="D1" s="105"/>
      <c r="E1" s="106"/>
      <c r="F1" s="107"/>
      <c r="G1" s="136"/>
      <c r="H1" s="107"/>
      <c r="I1" s="107"/>
      <c r="J1" s="107"/>
      <c r="K1" s="107"/>
      <c r="L1" s="107"/>
      <c r="M1" s="107"/>
      <c r="N1" s="107"/>
      <c r="O1" s="107"/>
      <c r="P1" s="107"/>
      <c r="Q1" s="107"/>
      <c r="R1" s="107"/>
      <c r="S1" s="107"/>
      <c r="T1" s="107"/>
    </row>
    <row r="2" spans="1:27" s="139" customFormat="1">
      <c r="A2" s="110" t="s">
        <v>456</v>
      </c>
      <c r="B2" s="110"/>
      <c r="C2" s="110"/>
      <c r="D2" s="110"/>
      <c r="E2" s="107" t="s">
        <v>237</v>
      </c>
      <c r="F2" s="107"/>
      <c r="G2" s="136"/>
      <c r="H2" s="107"/>
      <c r="I2" s="107"/>
      <c r="J2" s="107"/>
      <c r="K2" s="107"/>
      <c r="L2" s="107"/>
      <c r="M2" s="107"/>
      <c r="N2" s="107"/>
      <c r="O2" s="107"/>
      <c r="P2" s="107"/>
      <c r="Q2" s="107"/>
      <c r="R2" s="107"/>
      <c r="S2" s="107"/>
      <c r="T2" s="107"/>
    </row>
    <row r="3" spans="1:27" s="138" customFormat="1">
      <c r="A3" s="107" t="s">
        <v>457</v>
      </c>
      <c r="B3" s="107"/>
      <c r="C3" s="107"/>
      <c r="D3" s="107"/>
      <c r="E3" s="107" t="s">
        <v>238</v>
      </c>
      <c r="F3" s="107"/>
      <c r="G3" s="136"/>
      <c r="H3" s="107"/>
      <c r="I3" s="107"/>
      <c r="J3" s="107"/>
      <c r="K3" s="107"/>
      <c r="L3" s="107"/>
      <c r="M3" s="107"/>
      <c r="N3" s="107"/>
      <c r="O3" s="107"/>
      <c r="P3" s="107"/>
      <c r="Q3" s="107"/>
      <c r="R3" s="107"/>
      <c r="S3" s="107"/>
      <c r="T3" s="107"/>
    </row>
    <row r="4" spans="1:27" s="138" customFormat="1">
      <c r="A4" s="111"/>
      <c r="B4" s="111"/>
      <c r="C4" s="111"/>
      <c r="D4" s="111"/>
      <c r="E4" s="112" t="s">
        <v>47</v>
      </c>
      <c r="F4" s="113" t="s">
        <v>54</v>
      </c>
      <c r="G4" s="113"/>
      <c r="H4" s="114"/>
      <c r="I4" s="116" t="s">
        <v>56</v>
      </c>
      <c r="J4" s="150"/>
      <c r="K4" s="150"/>
      <c r="L4" s="150"/>
      <c r="M4" s="116"/>
      <c r="N4" s="116"/>
      <c r="O4" s="116"/>
      <c r="P4" s="107"/>
      <c r="Q4" s="107"/>
      <c r="R4" s="107"/>
      <c r="S4" s="107"/>
      <c r="T4" s="107"/>
    </row>
    <row r="5" spans="1:27">
      <c r="E5" s="119" t="s">
        <v>548</v>
      </c>
      <c r="F5" s="120" t="s">
        <v>549</v>
      </c>
      <c r="G5" s="120"/>
      <c r="H5" s="114"/>
      <c r="I5" s="116" t="s">
        <v>550</v>
      </c>
      <c r="J5" s="150"/>
      <c r="K5" s="150"/>
      <c r="L5" s="150"/>
      <c r="M5" s="121"/>
      <c r="N5" s="121"/>
      <c r="O5" s="116"/>
      <c r="P5" s="107"/>
      <c r="Q5" s="107"/>
      <c r="R5" s="107"/>
    </row>
    <row r="6" spans="1:27">
      <c r="A6" s="135"/>
      <c r="B6" s="135"/>
      <c r="C6" s="135"/>
      <c r="D6" s="135"/>
      <c r="E6" s="181" t="s">
        <v>239</v>
      </c>
      <c r="F6" s="182" t="s">
        <v>240</v>
      </c>
      <c r="G6" s="182" t="s">
        <v>241</v>
      </c>
      <c r="H6" s="182" t="s">
        <v>242</v>
      </c>
      <c r="I6" s="183" t="s">
        <v>243</v>
      </c>
      <c r="J6" s="183" t="s">
        <v>244</v>
      </c>
      <c r="K6" s="183" t="s">
        <v>245</v>
      </c>
      <c r="L6" s="183" t="s">
        <v>246</v>
      </c>
      <c r="M6" s="183" t="s">
        <v>247</v>
      </c>
      <c r="N6" s="183" t="s">
        <v>248</v>
      </c>
      <c r="O6" s="184" t="s">
        <v>249</v>
      </c>
      <c r="P6" s="170"/>
      <c r="Q6" s="170"/>
      <c r="R6" s="170"/>
    </row>
    <row r="7" spans="1:27" ht="117">
      <c r="A7" s="124" t="s">
        <v>652</v>
      </c>
      <c r="B7" s="124"/>
      <c r="C7" s="124"/>
      <c r="D7" s="124"/>
      <c r="E7" s="97" t="s">
        <v>870</v>
      </c>
      <c r="F7" s="97" t="s">
        <v>871</v>
      </c>
      <c r="G7" s="97" t="s">
        <v>872</v>
      </c>
      <c r="H7" s="97" t="s">
        <v>873</v>
      </c>
      <c r="I7" s="97" t="s">
        <v>874</v>
      </c>
      <c r="J7" s="97" t="s">
        <v>875</v>
      </c>
      <c r="K7" s="97" t="s">
        <v>876</v>
      </c>
      <c r="L7" s="97" t="s">
        <v>877</v>
      </c>
      <c r="M7" s="97" t="s">
        <v>878</v>
      </c>
      <c r="N7" s="97" t="s">
        <v>879</v>
      </c>
      <c r="O7" s="97" t="s">
        <v>880</v>
      </c>
      <c r="P7" s="93"/>
      <c r="Q7" s="93"/>
      <c r="R7" s="93"/>
    </row>
    <row r="8" spans="1:27" ht="63">
      <c r="A8" s="135" t="s">
        <v>562</v>
      </c>
      <c r="B8" s="135"/>
      <c r="C8" s="135"/>
      <c r="D8" s="135"/>
      <c r="E8" s="133" t="s">
        <v>881</v>
      </c>
      <c r="F8" s="151" t="s">
        <v>882</v>
      </c>
      <c r="G8" s="151" t="s">
        <v>883</v>
      </c>
      <c r="H8" s="151" t="s">
        <v>884</v>
      </c>
      <c r="I8" s="151" t="s">
        <v>885</v>
      </c>
      <c r="J8" s="151" t="s">
        <v>886</v>
      </c>
      <c r="K8" s="151" t="s">
        <v>887</v>
      </c>
      <c r="L8" s="151" t="s">
        <v>888</v>
      </c>
      <c r="M8" s="151" t="s">
        <v>889</v>
      </c>
      <c r="N8" s="151" t="s">
        <v>890</v>
      </c>
      <c r="O8" s="151" t="s">
        <v>891</v>
      </c>
      <c r="P8" s="127"/>
      <c r="Q8" s="127"/>
      <c r="R8" s="127"/>
    </row>
    <row r="9" spans="1:27" ht="165" customHeight="1">
      <c r="A9" s="135" t="s">
        <v>96</v>
      </c>
      <c r="B9" s="135"/>
      <c r="C9" s="135"/>
      <c r="D9" s="135"/>
      <c r="E9" s="125" t="s">
        <v>892</v>
      </c>
      <c r="F9" s="125" t="s">
        <v>893</v>
      </c>
      <c r="G9" s="125" t="s">
        <v>894</v>
      </c>
      <c r="H9" s="125" t="s">
        <v>895</v>
      </c>
      <c r="I9" s="125" t="s">
        <v>896</v>
      </c>
      <c r="J9" s="125" t="s">
        <v>897</v>
      </c>
      <c r="K9" s="125" t="s">
        <v>898</v>
      </c>
      <c r="L9" s="125" t="s">
        <v>899</v>
      </c>
      <c r="M9" s="125" t="s">
        <v>900</v>
      </c>
      <c r="N9" s="125" t="s">
        <v>901</v>
      </c>
      <c r="O9" s="125" t="s">
        <v>902</v>
      </c>
      <c r="P9" s="127"/>
      <c r="Q9" s="127"/>
      <c r="R9" s="127"/>
    </row>
    <row r="10" spans="1:27" ht="104">
      <c r="A10" s="122" t="s">
        <v>583</v>
      </c>
      <c r="B10" s="122"/>
      <c r="C10" s="122"/>
      <c r="D10" s="122"/>
      <c r="E10" s="185"/>
      <c r="F10" s="102" t="s">
        <v>903</v>
      </c>
      <c r="G10" s="102" t="s">
        <v>904</v>
      </c>
      <c r="H10" s="102" t="s">
        <v>905</v>
      </c>
      <c r="I10" s="102" t="s">
        <v>906</v>
      </c>
      <c r="J10" s="102" t="s">
        <v>907</v>
      </c>
      <c r="K10" s="102" t="s">
        <v>908</v>
      </c>
      <c r="L10" s="102" t="s">
        <v>909</v>
      </c>
      <c r="M10" s="103" t="str">
        <f>K10</f>
        <v>- (2.3) How are the process assets made available for use in the organisation?</v>
      </c>
      <c r="N10" s="102" t="s">
        <v>910</v>
      </c>
      <c r="O10" s="102" t="s">
        <v>911</v>
      </c>
      <c r="P10" s="152"/>
      <c r="Q10" s="152"/>
      <c r="R10" s="152"/>
    </row>
    <row r="11" spans="1:27" ht="52">
      <c r="A11" s="161" t="s">
        <v>85</v>
      </c>
      <c r="B11" s="161"/>
      <c r="C11" s="161"/>
      <c r="D11" s="161"/>
      <c r="E11" s="102"/>
      <c r="F11" s="163" t="s">
        <v>912</v>
      </c>
      <c r="G11" s="102" t="s">
        <v>913</v>
      </c>
      <c r="H11" s="102" t="s">
        <v>914</v>
      </c>
      <c r="I11" s="102" t="s">
        <v>915</v>
      </c>
      <c r="J11" s="102" t="s">
        <v>916</v>
      </c>
      <c r="K11" s="102" t="s">
        <v>917</v>
      </c>
      <c r="L11" s="102" t="s">
        <v>918</v>
      </c>
      <c r="M11" s="102" t="str">
        <f>K11</f>
        <v>—(2.3)如何使过程资产在组织中可用?</v>
      </c>
      <c r="N11" s="102" t="s">
        <v>919</v>
      </c>
      <c r="O11" s="102" t="s">
        <v>920</v>
      </c>
      <c r="P11" s="152"/>
      <c r="Q11" s="152"/>
      <c r="R11" s="152"/>
    </row>
    <row r="15" spans="1:27" customFormat="1" ht="14.5">
      <c r="A15" t="s">
        <v>452</v>
      </c>
      <c r="B15" t="s">
        <v>104</v>
      </c>
      <c r="C15" t="s">
        <v>105</v>
      </c>
      <c r="D15" s="295" t="s">
        <v>451</v>
      </c>
      <c r="E15" s="14" t="s">
        <v>239</v>
      </c>
      <c r="F15" s="14" t="s">
        <v>240</v>
      </c>
      <c r="G15" s="14" t="s">
        <v>241</v>
      </c>
      <c r="H15" s="14" t="s">
        <v>242</v>
      </c>
      <c r="I15" s="14" t="s">
        <v>243</v>
      </c>
      <c r="J15" s="14" t="s">
        <v>244</v>
      </c>
      <c r="K15" s="14" t="s">
        <v>245</v>
      </c>
      <c r="L15" s="14" t="s">
        <v>246</v>
      </c>
      <c r="M15" s="14" t="s">
        <v>247</v>
      </c>
      <c r="N15" s="14" t="s">
        <v>248</v>
      </c>
      <c r="O15" s="14" t="s">
        <v>249</v>
      </c>
    </row>
    <row r="16" spans="1:27" s="117" customFormat="1" ht="14.5">
      <c r="A16" t="s">
        <v>545</v>
      </c>
      <c r="B16" s="15" t="s">
        <v>104</v>
      </c>
      <c r="C16"/>
      <c r="D16"/>
      <c r="E16" t="s">
        <v>435</v>
      </c>
      <c r="F16" t="s">
        <v>435</v>
      </c>
      <c r="G16" t="s">
        <v>435</v>
      </c>
      <c r="H16"/>
      <c r="I16"/>
      <c r="J16"/>
      <c r="K16"/>
      <c r="L16"/>
      <c r="M16" t="s">
        <v>435</v>
      </c>
      <c r="N16"/>
      <c r="O16"/>
      <c r="P16"/>
      <c r="Q16"/>
      <c r="R16"/>
      <c r="S16"/>
      <c r="T16"/>
      <c r="U16"/>
      <c r="V16"/>
      <c r="W16"/>
      <c r="X16"/>
      <c r="Y16"/>
      <c r="Z16"/>
      <c r="AA16"/>
    </row>
    <row r="17" spans="1:27" ht="14.5">
      <c r="A17" t="s">
        <v>545</v>
      </c>
      <c r="B17" s="15" t="s">
        <v>104</v>
      </c>
      <c r="C17"/>
      <c r="D17"/>
      <c r="E17"/>
      <c r="F17"/>
      <c r="G17" t="s">
        <v>435</v>
      </c>
      <c r="H17"/>
      <c r="I17"/>
      <c r="J17"/>
      <c r="K17"/>
      <c r="L17"/>
      <c r="M17"/>
      <c r="N17"/>
      <c r="O17"/>
      <c r="P17"/>
      <c r="Q17"/>
      <c r="R17"/>
      <c r="S17"/>
      <c r="T17"/>
      <c r="U17"/>
      <c r="V17"/>
      <c r="W17"/>
      <c r="X17"/>
      <c r="Y17"/>
      <c r="Z17"/>
      <c r="AA17"/>
    </row>
    <row r="18" spans="1:27" ht="14.5">
      <c r="A18" t="s">
        <v>545</v>
      </c>
      <c r="B18" s="15" t="s">
        <v>104</v>
      </c>
      <c r="C18"/>
      <c r="D18"/>
      <c r="E18"/>
      <c r="F18"/>
      <c r="G18"/>
      <c r="H18" t="s">
        <v>435</v>
      </c>
      <c r="I18" t="s">
        <v>435</v>
      </c>
      <c r="J18" t="s">
        <v>435</v>
      </c>
      <c r="K18" t="s">
        <v>435</v>
      </c>
      <c r="L18"/>
      <c r="M18"/>
      <c r="N18"/>
      <c r="O18"/>
      <c r="P18"/>
      <c r="Q18"/>
      <c r="R18"/>
      <c r="S18"/>
      <c r="T18"/>
      <c r="U18"/>
      <c r="V18"/>
      <c r="W18"/>
      <c r="X18"/>
      <c r="Y18"/>
      <c r="Z18"/>
      <c r="AA18"/>
    </row>
    <row r="19" spans="1:27" ht="14.5">
      <c r="A19" t="s">
        <v>545</v>
      </c>
      <c r="B19" s="15" t="s">
        <v>104</v>
      </c>
      <c r="C19" s="15" t="str">
        <f>HYPERLINK("01-组织级\02-组织工作库\02-EPG活动库\03-过程改进计划\过程改进计划(QCUBIC-SPI-PIM-PIPlan)V1.2-engl.docx", "engl")</f>
        <v>engl</v>
      </c>
      <c r="D19"/>
      <c r="E19"/>
      <c r="F19"/>
      <c r="G19"/>
      <c r="H19"/>
      <c r="I19" t="s">
        <v>435</v>
      </c>
      <c r="J19"/>
      <c r="K19"/>
      <c r="L19"/>
      <c r="M19"/>
      <c r="N19"/>
      <c r="O19"/>
      <c r="P19"/>
      <c r="Q19"/>
      <c r="R19"/>
      <c r="S19"/>
      <c r="T19"/>
      <c r="U19"/>
      <c r="V19"/>
      <c r="W19"/>
      <c r="X19"/>
      <c r="Y19"/>
      <c r="Z19"/>
      <c r="AA19"/>
    </row>
    <row r="20" spans="1:27" ht="14.5">
      <c r="A20" t="s">
        <v>545</v>
      </c>
      <c r="B20" s="15" t="s">
        <v>104</v>
      </c>
      <c r="C20" s="15" t="str">
        <f>HYPERLINK("01-组织级\01-组织财富库\01-标准过程文件库\04-组织过程类\02-过程资产管理\过程资产库管理指南 (QCUBIC-SPI-OPAL-Guid-Assetlib)V1.2-engl.docx", "engl")</f>
        <v>engl</v>
      </c>
      <c r="D20"/>
      <c r="E20"/>
      <c r="F20"/>
      <c r="G20"/>
      <c r="H20"/>
      <c r="I20" t="s">
        <v>435</v>
      </c>
      <c r="J20"/>
      <c r="K20"/>
      <c r="L20"/>
      <c r="M20"/>
      <c r="N20"/>
      <c r="O20"/>
      <c r="P20"/>
      <c r="Q20"/>
      <c r="R20"/>
      <c r="S20"/>
      <c r="T20"/>
      <c r="U20"/>
      <c r="V20"/>
      <c r="W20"/>
      <c r="X20"/>
      <c r="Y20"/>
      <c r="Z20"/>
      <c r="AA20"/>
    </row>
    <row r="21" spans="1:27" ht="14.5">
      <c r="A21" t="s">
        <v>545</v>
      </c>
      <c r="B21" s="15" t="s">
        <v>104</v>
      </c>
      <c r="C21" s="15" t="str">
        <f>HYPERLINK("01-组织级\01-组织财富库\01-标准过程文件库\04-组织过程类\02-过程资产管理\过程资产管理过程文件 (QCUBIC-SPI-OPAL-Proc-Doc)V1.2-engl.docx", "engl")</f>
        <v>engl</v>
      </c>
      <c r="D21"/>
      <c r="E21"/>
      <c r="F21"/>
      <c r="G21"/>
      <c r="H21"/>
      <c r="I21" t="s">
        <v>435</v>
      </c>
      <c r="J21"/>
      <c r="K21"/>
      <c r="L21"/>
      <c r="M21"/>
      <c r="N21"/>
      <c r="O21"/>
      <c r="P21"/>
      <c r="Q21"/>
      <c r="R21"/>
      <c r="S21"/>
      <c r="T21"/>
      <c r="U21"/>
      <c r="V21"/>
      <c r="W21"/>
      <c r="X21"/>
      <c r="Y21"/>
      <c r="Z21"/>
      <c r="AA21"/>
    </row>
    <row r="22" spans="1:27" ht="14.5">
      <c r="A22" t="s">
        <v>545</v>
      </c>
      <c r="B22" s="15" t="s">
        <v>104</v>
      </c>
      <c r="C22"/>
      <c r="D22"/>
      <c r="E22"/>
      <c r="F22"/>
      <c r="G22"/>
      <c r="H22"/>
      <c r="I22"/>
      <c r="J22" t="s">
        <v>435</v>
      </c>
      <c r="K22"/>
      <c r="L22"/>
      <c r="M22"/>
      <c r="N22"/>
      <c r="O22"/>
      <c r="P22"/>
      <c r="Q22"/>
      <c r="R22"/>
      <c r="S22"/>
      <c r="T22"/>
      <c r="U22"/>
      <c r="V22"/>
      <c r="W22"/>
      <c r="X22"/>
      <c r="Y22"/>
      <c r="Z22"/>
      <c r="AA22"/>
    </row>
    <row r="23" spans="1:27" ht="14.5">
      <c r="A23" t="s">
        <v>545</v>
      </c>
      <c r="B23" s="15" t="s">
        <v>104</v>
      </c>
      <c r="C23"/>
      <c r="D23"/>
      <c r="E23"/>
      <c r="F23"/>
      <c r="G23"/>
      <c r="H23"/>
      <c r="I23"/>
      <c r="J23" t="s">
        <v>435</v>
      </c>
      <c r="K23"/>
      <c r="L23"/>
      <c r="M23"/>
      <c r="N23"/>
      <c r="O23"/>
      <c r="P23"/>
      <c r="Q23"/>
      <c r="R23"/>
      <c r="S23"/>
      <c r="T23"/>
      <c r="U23"/>
      <c r="V23"/>
      <c r="W23"/>
      <c r="X23"/>
      <c r="Y23"/>
      <c r="Z23"/>
      <c r="AA23"/>
    </row>
    <row r="24" spans="1:27" ht="14.5">
      <c r="A24" t="s">
        <v>545</v>
      </c>
      <c r="B24" s="15" t="s">
        <v>104</v>
      </c>
      <c r="C24" s="15" t="str">
        <f>HYPERLINK("01-组织级\01-组织财富库\01-标准过程文件库\04-组织过程类\02-过程资产管理\裁剪指南 (QCUBIC-SPI-OPAL-Guid-Tailor)V1.2-engl.xlsx", "engl")</f>
        <v>engl</v>
      </c>
      <c r="D24"/>
      <c r="E24"/>
      <c r="F24"/>
      <c r="G24"/>
      <c r="H24"/>
      <c r="I24"/>
      <c r="J24"/>
      <c r="K24"/>
      <c r="L24" t="s">
        <v>435</v>
      </c>
      <c r="M24"/>
      <c r="N24"/>
      <c r="O24"/>
      <c r="P24"/>
      <c r="Q24"/>
      <c r="R24"/>
      <c r="S24"/>
      <c r="T24"/>
      <c r="U24"/>
      <c r="V24"/>
      <c r="W24"/>
      <c r="X24"/>
      <c r="Y24"/>
      <c r="Z24"/>
      <c r="AA24"/>
    </row>
    <row r="25" spans="1:27" ht="14.5">
      <c r="A25" t="s">
        <v>545</v>
      </c>
      <c r="B25" s="15" t="s">
        <v>104</v>
      </c>
      <c r="C25" s="15" t="str">
        <f>HYPERLINK("01-组织级\01-组织财富库\01-标准过程文件库\04-组织过程类\02-过程资产管理\工作环境标准(QCUBIC-SPI-OPAL-Std-Environment)V1.2(1)-engl.docx", "engl")</f>
        <v>engl</v>
      </c>
      <c r="D25"/>
      <c r="E25"/>
      <c r="F25"/>
      <c r="G25"/>
      <c r="H25"/>
      <c r="I25"/>
      <c r="J25"/>
      <c r="K25"/>
      <c r="L25"/>
      <c r="M25"/>
      <c r="N25" t="s">
        <v>435</v>
      </c>
      <c r="O25"/>
      <c r="P25"/>
      <c r="Q25"/>
      <c r="R25"/>
      <c r="S25"/>
      <c r="T25"/>
      <c r="U25"/>
      <c r="V25"/>
      <c r="W25"/>
      <c r="X25"/>
      <c r="Y25"/>
      <c r="Z25"/>
      <c r="AA25"/>
    </row>
    <row r="26" spans="1:27" s="117" customFormat="1" ht="14.5">
      <c r="A26" t="s">
        <v>545</v>
      </c>
      <c r="B26" s="15" t="s">
        <v>104</v>
      </c>
      <c r="C26" s="15" t="str">
        <f>HYPERLINK("01-组织级\02-组织工作库\06-度量\组织度量表(QCUBIC-SPI-MPM-Tem-datasheet)V1.3-engl.xlsx", "engl")</f>
        <v>engl</v>
      </c>
      <c r="D26"/>
      <c r="E26"/>
      <c r="F26"/>
      <c r="G26"/>
      <c r="H26"/>
      <c r="I26"/>
      <c r="J26"/>
      <c r="K26"/>
      <c r="L26"/>
      <c r="M26"/>
      <c r="N26"/>
      <c r="O26" t="s">
        <v>435</v>
      </c>
      <c r="P26"/>
      <c r="Q26"/>
      <c r="R26"/>
      <c r="S26"/>
      <c r="T26"/>
      <c r="U26"/>
      <c r="V26"/>
      <c r="W26"/>
      <c r="X26"/>
      <c r="Y26"/>
      <c r="Z26"/>
      <c r="AA26"/>
    </row>
    <row r="27" spans="1:27" ht="14.5">
      <c r="A27" t="s">
        <v>545</v>
      </c>
      <c r="B27" s="15" t="s">
        <v>104</v>
      </c>
      <c r="C27" s="15" t="str">
        <f>HYPERLINK("01-组织级\01-组织财富库\01-标准过程文件库\03-支持类\03-度量分析\度量分析指南 (QCUBIC-SPI-MPM-Guid-Doc)V1.2-engl.docx", "engl")</f>
        <v>engl</v>
      </c>
      <c r="D27"/>
      <c r="E27"/>
      <c r="F27"/>
      <c r="G27"/>
      <c r="H27"/>
      <c r="I27"/>
      <c r="J27"/>
      <c r="K27"/>
      <c r="L27"/>
      <c r="M27"/>
      <c r="N27"/>
      <c r="O27" t="s">
        <v>435</v>
      </c>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39.6328125" style="117" customWidth="1"/>
    <col min="2" max="4" width="7.90625" style="117" customWidth="1"/>
    <col min="5" max="8" width="12.6328125" style="117" customWidth="1"/>
    <col min="9" max="26" width="14.6328125" style="117" customWidth="1"/>
    <col min="27" max="27" width="10.08984375" style="117" customWidth="1"/>
    <col min="28" max="28" width="3.6328125" style="117" customWidth="1"/>
    <col min="29" max="29" width="32.08984375" style="117" bestFit="1" customWidth="1"/>
    <col min="30" max="30" width="72" style="117" customWidth="1"/>
    <col min="31" max="32" width="16.6328125" style="117" customWidth="1"/>
    <col min="33" max="33" width="61.90625" style="117" customWidth="1"/>
    <col min="34" max="16384" width="8.90625" style="117"/>
  </cols>
  <sheetData>
    <row r="1" spans="1:32" ht="21">
      <c r="A1" s="186" t="s">
        <v>205</v>
      </c>
      <c r="B1" s="186"/>
      <c r="C1" s="186"/>
      <c r="D1" s="186"/>
      <c r="E1" s="187"/>
      <c r="F1" s="187"/>
      <c r="G1" s="187"/>
      <c r="H1" s="187"/>
      <c r="I1" s="187"/>
      <c r="J1" s="187"/>
      <c r="K1" s="187"/>
      <c r="L1" s="187"/>
      <c r="M1" s="366"/>
      <c r="N1" s="366"/>
      <c r="O1" s="366"/>
      <c r="P1" s="366"/>
      <c r="Q1" s="366"/>
      <c r="R1" s="366"/>
    </row>
    <row r="2" spans="1:32" ht="15.5">
      <c r="A2" s="188" t="s">
        <v>456</v>
      </c>
      <c r="B2" s="188"/>
      <c r="C2" s="188"/>
      <c r="D2" s="188"/>
      <c r="E2" s="189" t="s">
        <v>206</v>
      </c>
      <c r="F2" s="189"/>
      <c r="G2" s="189"/>
      <c r="H2" s="189"/>
      <c r="I2" s="189"/>
      <c r="J2" s="189"/>
      <c r="K2" s="189"/>
      <c r="L2" s="189"/>
      <c r="M2" s="189"/>
      <c r="S2" s="190"/>
      <c r="X2" s="123"/>
    </row>
    <row r="3" spans="1:32" ht="15.5">
      <c r="A3" s="188" t="s">
        <v>457</v>
      </c>
      <c r="B3" s="188"/>
      <c r="C3" s="188"/>
      <c r="D3" s="188"/>
      <c r="E3" s="189" t="s">
        <v>207</v>
      </c>
      <c r="F3" s="189"/>
      <c r="G3" s="189"/>
      <c r="H3" s="189"/>
      <c r="I3" s="189"/>
      <c r="J3" s="189"/>
      <c r="K3" s="189"/>
      <c r="L3" s="189"/>
      <c r="M3" s="189"/>
    </row>
    <row r="4" spans="1:32" ht="15.5">
      <c r="A4" s="188"/>
      <c r="B4" s="188"/>
      <c r="C4" s="188"/>
      <c r="D4" s="188"/>
      <c r="E4" s="191" t="s">
        <v>47</v>
      </c>
      <c r="F4" s="191"/>
      <c r="G4" s="192" t="s">
        <v>54</v>
      </c>
      <c r="H4" s="192"/>
      <c r="I4" s="192"/>
      <c r="J4" s="192"/>
      <c r="K4" s="192"/>
      <c r="L4" s="192"/>
      <c r="M4" s="193" t="s">
        <v>56</v>
      </c>
      <c r="N4" s="194"/>
      <c r="O4" s="194"/>
      <c r="P4" s="194"/>
      <c r="Q4" s="194"/>
      <c r="R4" s="194"/>
      <c r="S4" s="173" t="s">
        <v>57</v>
      </c>
      <c r="T4" s="173"/>
      <c r="U4" s="173"/>
      <c r="V4" s="173"/>
      <c r="W4" s="173"/>
      <c r="X4" s="195" t="s">
        <v>58</v>
      </c>
      <c r="Y4" s="195"/>
      <c r="Z4" s="195"/>
    </row>
    <row r="5" spans="1:32">
      <c r="E5" s="119" t="s">
        <v>548</v>
      </c>
      <c r="F5" s="196"/>
      <c r="G5" s="120" t="s">
        <v>549</v>
      </c>
      <c r="H5" s="197"/>
      <c r="I5" s="197"/>
      <c r="J5" s="197"/>
      <c r="K5" s="197"/>
      <c r="L5" s="113"/>
      <c r="M5" s="116" t="s">
        <v>550</v>
      </c>
      <c r="N5" s="194"/>
      <c r="O5" s="194"/>
      <c r="P5" s="194"/>
      <c r="Q5" s="194"/>
      <c r="R5" s="194"/>
      <c r="S5" s="174" t="s">
        <v>814</v>
      </c>
      <c r="T5" s="173"/>
      <c r="U5" s="173"/>
      <c r="V5" s="173"/>
      <c r="W5" s="173"/>
      <c r="X5" s="198" t="s">
        <v>921</v>
      </c>
      <c r="Y5" s="195"/>
      <c r="Z5" s="195"/>
    </row>
    <row r="6" spans="1:32">
      <c r="A6" s="122"/>
      <c r="B6" s="122"/>
      <c r="C6" s="122"/>
      <c r="D6" s="122"/>
      <c r="E6" s="175" t="s">
        <v>208</v>
      </c>
      <c r="F6" s="175" t="s">
        <v>209</v>
      </c>
      <c r="G6" s="90" t="s">
        <v>210</v>
      </c>
      <c r="H6" s="90" t="s">
        <v>212</v>
      </c>
      <c r="I6" s="90" t="s">
        <v>213</v>
      </c>
      <c r="J6" s="90" t="s">
        <v>215</v>
      </c>
      <c r="K6" s="199" t="s">
        <v>217</v>
      </c>
      <c r="L6" s="90" t="s">
        <v>219</v>
      </c>
      <c r="M6" s="200" t="s">
        <v>220</v>
      </c>
      <c r="N6" s="91" t="s">
        <v>222</v>
      </c>
      <c r="O6" s="91" t="s">
        <v>223</v>
      </c>
      <c r="P6" s="91" t="s">
        <v>224</v>
      </c>
      <c r="Q6" s="91" t="s">
        <v>226</v>
      </c>
      <c r="R6" s="91" t="s">
        <v>228</v>
      </c>
      <c r="S6" s="201" t="s">
        <v>229</v>
      </c>
      <c r="T6" s="201" t="s">
        <v>230</v>
      </c>
      <c r="U6" s="201" t="s">
        <v>231</v>
      </c>
      <c r="V6" s="201" t="s">
        <v>232</v>
      </c>
      <c r="W6" s="201" t="s">
        <v>233</v>
      </c>
      <c r="X6" s="172" t="s">
        <v>234</v>
      </c>
      <c r="Y6" s="172" t="s">
        <v>235</v>
      </c>
      <c r="Z6" s="202" t="s">
        <v>236</v>
      </c>
      <c r="AA6" s="93"/>
      <c r="AB6" s="93"/>
      <c r="AC6" s="93"/>
      <c r="AD6" s="367"/>
      <c r="AE6" s="367"/>
      <c r="AF6" s="367"/>
    </row>
    <row r="7" spans="1:32" ht="172.4" customHeight="1">
      <c r="A7" s="124" t="s">
        <v>652</v>
      </c>
      <c r="B7" s="124"/>
      <c r="C7" s="124"/>
      <c r="D7" s="124"/>
      <c r="E7" s="97" t="s">
        <v>922</v>
      </c>
      <c r="F7" s="97" t="s">
        <v>923</v>
      </c>
      <c r="G7" s="97" t="s">
        <v>924</v>
      </c>
      <c r="H7" s="97" t="s">
        <v>925</v>
      </c>
      <c r="I7" s="97" t="s">
        <v>926</v>
      </c>
      <c r="J7" s="97" t="s">
        <v>927</v>
      </c>
      <c r="K7" s="97" t="s">
        <v>928</v>
      </c>
      <c r="L7" s="97" t="s">
        <v>929</v>
      </c>
      <c r="M7" s="203" t="s">
        <v>930</v>
      </c>
      <c r="N7" s="97" t="s">
        <v>931</v>
      </c>
      <c r="O7" s="97" t="s">
        <v>932</v>
      </c>
      <c r="P7" s="97" t="s">
        <v>933</v>
      </c>
      <c r="Q7" s="97" t="s">
        <v>934</v>
      </c>
      <c r="R7" s="97" t="s">
        <v>935</v>
      </c>
      <c r="S7" s="97" t="s">
        <v>936</v>
      </c>
      <c r="T7" s="97" t="s">
        <v>937</v>
      </c>
      <c r="U7" s="97" t="s">
        <v>938</v>
      </c>
      <c r="V7" s="97" t="s">
        <v>939</v>
      </c>
      <c r="W7" s="97" t="s">
        <v>940</v>
      </c>
      <c r="X7" s="97" t="s">
        <v>941</v>
      </c>
      <c r="Y7" s="97" t="s">
        <v>942</v>
      </c>
      <c r="Z7" s="204" t="s">
        <v>943</v>
      </c>
      <c r="AA7" s="93"/>
      <c r="AB7" s="93"/>
      <c r="AC7" s="93"/>
    </row>
    <row r="8" spans="1:32" ht="117.65" customHeight="1">
      <c r="A8" s="122" t="s">
        <v>562</v>
      </c>
      <c r="B8" s="122"/>
      <c r="C8" s="122"/>
      <c r="D8" s="122"/>
      <c r="E8" s="133" t="s">
        <v>944</v>
      </c>
      <c r="F8" s="133" t="s">
        <v>945</v>
      </c>
      <c r="G8" s="133" t="s">
        <v>946</v>
      </c>
      <c r="H8" s="133" t="s">
        <v>947</v>
      </c>
      <c r="I8" s="133" t="s">
        <v>948</v>
      </c>
      <c r="J8" s="133" t="s">
        <v>949</v>
      </c>
      <c r="K8" s="205" t="s">
        <v>950</v>
      </c>
      <c r="L8" s="133" t="s">
        <v>951</v>
      </c>
      <c r="M8" s="206" t="s">
        <v>952</v>
      </c>
      <c r="N8" s="133" t="s">
        <v>953</v>
      </c>
      <c r="O8" s="133" t="s">
        <v>954</v>
      </c>
      <c r="P8" s="133" t="s">
        <v>955</v>
      </c>
      <c r="Q8" s="133" t="s">
        <v>956</v>
      </c>
      <c r="R8" s="133" t="s">
        <v>957</v>
      </c>
      <c r="S8" s="98" t="s">
        <v>958</v>
      </c>
      <c r="T8" s="98" t="s">
        <v>959</v>
      </c>
      <c r="U8" s="98" t="s">
        <v>960</v>
      </c>
      <c r="V8" s="98" t="s">
        <v>961</v>
      </c>
      <c r="W8" s="98" t="s">
        <v>962</v>
      </c>
      <c r="X8" s="98" t="s">
        <v>963</v>
      </c>
      <c r="Y8" s="98" t="s">
        <v>964</v>
      </c>
      <c r="Z8" s="207" t="s">
        <v>965</v>
      </c>
      <c r="AA8" s="99"/>
      <c r="AB8" s="99"/>
      <c r="AC8" s="99"/>
    </row>
    <row r="9" spans="1:32" ht="75" customHeight="1">
      <c r="A9" s="122" t="s">
        <v>96</v>
      </c>
      <c r="B9" s="122"/>
      <c r="C9" s="122"/>
      <c r="D9" s="122"/>
      <c r="E9" s="98" t="s">
        <v>966</v>
      </c>
      <c r="F9" s="98" t="s">
        <v>967</v>
      </c>
      <c r="G9" s="98" t="s">
        <v>968</v>
      </c>
      <c r="H9" s="98" t="s">
        <v>969</v>
      </c>
      <c r="I9" s="98" t="s">
        <v>970</v>
      </c>
      <c r="J9" s="98" t="s">
        <v>971</v>
      </c>
      <c r="K9" s="207" t="s">
        <v>972</v>
      </c>
      <c r="L9" s="98" t="s">
        <v>973</v>
      </c>
      <c r="M9" s="208" t="s">
        <v>974</v>
      </c>
      <c r="N9" s="98" t="s">
        <v>975</v>
      </c>
      <c r="O9" s="98" t="s">
        <v>976</v>
      </c>
      <c r="P9" s="98" t="s">
        <v>977</v>
      </c>
      <c r="Q9" s="98" t="s">
        <v>978</v>
      </c>
      <c r="R9" s="98" t="s">
        <v>979</v>
      </c>
      <c r="S9" s="125" t="s">
        <v>980</v>
      </c>
      <c r="T9" s="125" t="s">
        <v>981</v>
      </c>
      <c r="U9" s="98" t="s">
        <v>982</v>
      </c>
      <c r="V9" s="98" t="s">
        <v>983</v>
      </c>
      <c r="W9" s="98" t="s">
        <v>984</v>
      </c>
      <c r="X9" s="98" t="s">
        <v>985</v>
      </c>
      <c r="Y9" s="98" t="s">
        <v>986</v>
      </c>
      <c r="Z9" s="207" t="s">
        <v>987</v>
      </c>
      <c r="AA9" s="99"/>
      <c r="AB9" s="99"/>
      <c r="AC9" s="99"/>
    </row>
    <row r="10" spans="1:32" ht="198.65" customHeight="1">
      <c r="A10" s="122" t="s">
        <v>583</v>
      </c>
      <c r="B10" s="122"/>
      <c r="C10" s="122"/>
      <c r="D10" s="122"/>
      <c r="E10" s="102" t="s">
        <v>988</v>
      </c>
      <c r="F10" s="102" t="s">
        <v>989</v>
      </c>
      <c r="G10" s="102" t="s">
        <v>990</v>
      </c>
      <c r="H10" s="102" t="s">
        <v>991</v>
      </c>
      <c r="I10" s="102" t="s">
        <v>992</v>
      </c>
      <c r="J10" s="102" t="s">
        <v>993</v>
      </c>
      <c r="K10" s="209" t="s">
        <v>994</v>
      </c>
      <c r="L10" s="103" t="s">
        <v>995</v>
      </c>
      <c r="M10" s="210" t="s">
        <v>996</v>
      </c>
      <c r="N10" s="103" t="s">
        <v>997</v>
      </c>
      <c r="O10" s="103" t="s">
        <v>998</v>
      </c>
      <c r="P10" s="103" t="s">
        <v>999</v>
      </c>
      <c r="Q10" s="103" t="s">
        <v>1000</v>
      </c>
      <c r="R10" s="103" t="s">
        <v>1001</v>
      </c>
      <c r="S10" s="103" t="s">
        <v>1002</v>
      </c>
      <c r="T10" s="103" t="s">
        <v>1003</v>
      </c>
      <c r="U10" s="103" t="s">
        <v>1004</v>
      </c>
      <c r="V10" s="103" t="s">
        <v>1005</v>
      </c>
      <c r="W10" s="103" t="s">
        <v>1006</v>
      </c>
      <c r="X10" s="103" t="s">
        <v>1007</v>
      </c>
      <c r="Y10" s="103" t="s">
        <v>1008</v>
      </c>
      <c r="Z10" s="103" t="s">
        <v>1009</v>
      </c>
      <c r="AA10" s="93"/>
      <c r="AB10" s="93"/>
      <c r="AC10" s="93"/>
    </row>
    <row r="11" spans="1:32" ht="118.4" customHeight="1">
      <c r="A11" s="135" t="s">
        <v>85</v>
      </c>
      <c r="B11" s="135"/>
      <c r="C11" s="135"/>
      <c r="D11" s="135"/>
      <c r="E11" s="102" t="s">
        <v>1010</v>
      </c>
      <c r="F11" s="102"/>
      <c r="G11" s="102" t="s">
        <v>1011</v>
      </c>
      <c r="H11" s="102" t="s">
        <v>1012</v>
      </c>
      <c r="I11" s="102" t="s">
        <v>1013</v>
      </c>
      <c r="J11" s="102" t="s">
        <v>1014</v>
      </c>
      <c r="K11" s="209" t="s">
        <v>1015</v>
      </c>
      <c r="L11" s="103" t="s">
        <v>1016</v>
      </c>
      <c r="M11" s="210" t="s">
        <v>1017</v>
      </c>
      <c r="N11" s="103" t="s">
        <v>1018</v>
      </c>
      <c r="O11" s="103" t="s">
        <v>1019</v>
      </c>
      <c r="P11" s="103" t="s">
        <v>1020</v>
      </c>
      <c r="Q11" s="103" t="s">
        <v>1021</v>
      </c>
      <c r="R11" s="103" t="s">
        <v>1022</v>
      </c>
      <c r="S11" s="103" t="s">
        <v>1002</v>
      </c>
      <c r="T11" s="103" t="s">
        <v>1003</v>
      </c>
      <c r="U11" s="103" t="s">
        <v>1004</v>
      </c>
      <c r="V11" s="103" t="s">
        <v>1005</v>
      </c>
      <c r="W11" s="103" t="s">
        <v>1006</v>
      </c>
      <c r="X11" s="103" t="s">
        <v>1007</v>
      </c>
      <c r="Y11" s="103" t="s">
        <v>1008</v>
      </c>
      <c r="Z11" s="103" t="s">
        <v>1009</v>
      </c>
      <c r="AA11" s="93"/>
      <c r="AB11" s="93"/>
      <c r="AC11" s="93"/>
    </row>
    <row r="15" spans="1:32" customFormat="1">
      <c r="A15" t="s">
        <v>452</v>
      </c>
      <c r="B15" t="s">
        <v>104</v>
      </c>
      <c r="C15" t="s">
        <v>105</v>
      </c>
      <c r="D15" s="295" t="s">
        <v>451</v>
      </c>
      <c r="E15" s="14" t="s">
        <v>208</v>
      </c>
      <c r="F15" s="14" t="s">
        <v>209</v>
      </c>
      <c r="G15" s="14" t="s">
        <v>210</v>
      </c>
      <c r="H15" s="14" t="s">
        <v>212</v>
      </c>
      <c r="I15" s="14" t="s">
        <v>213</v>
      </c>
      <c r="J15" s="14" t="s">
        <v>215</v>
      </c>
      <c r="K15" s="14" t="s">
        <v>217</v>
      </c>
      <c r="L15" s="14" t="s">
        <v>219</v>
      </c>
      <c r="M15" s="14" t="s">
        <v>220</v>
      </c>
      <c r="N15" s="14" t="s">
        <v>222</v>
      </c>
      <c r="O15" s="14" t="s">
        <v>223</v>
      </c>
      <c r="P15" s="14" t="s">
        <v>224</v>
      </c>
      <c r="Q15" s="14" t="s">
        <v>226</v>
      </c>
      <c r="R15" s="14" t="s">
        <v>228</v>
      </c>
      <c r="S15" s="14" t="s">
        <v>229</v>
      </c>
      <c r="T15" s="14" t="s">
        <v>230</v>
      </c>
      <c r="U15" s="14" t="s">
        <v>231</v>
      </c>
      <c r="V15" s="14" t="s">
        <v>232</v>
      </c>
      <c r="W15" s="14" t="s">
        <v>233</v>
      </c>
      <c r="X15" s="14" t="s">
        <v>234</v>
      </c>
      <c r="Y15" s="14" t="s">
        <v>235</v>
      </c>
      <c r="Z15" s="14" t="s">
        <v>236</v>
      </c>
      <c r="AA15" s="14"/>
    </row>
    <row r="16" spans="1:32">
      <c r="A16" t="s">
        <v>545</v>
      </c>
      <c r="B16" s="15" t="s">
        <v>104</v>
      </c>
      <c r="C16" s="15" t="str">
        <f>HYPERLINK("01-组织级\02-组织工作库\06-度量\组织度量表(QCUBIC-SPI-MPM-Tem-datasheet)V1.3-engl.xlsx", "engl")</f>
        <v>engl</v>
      </c>
      <c r="D16"/>
      <c r="E16" t="s">
        <v>435</v>
      </c>
      <c r="F16" t="s">
        <v>435</v>
      </c>
      <c r="G16"/>
      <c r="H16"/>
      <c r="I16" t="s">
        <v>435</v>
      </c>
      <c r="J16" t="s">
        <v>435</v>
      </c>
      <c r="K16" t="s">
        <v>435</v>
      </c>
      <c r="L16" t="s">
        <v>435</v>
      </c>
      <c r="M16" t="s">
        <v>435</v>
      </c>
      <c r="N16" t="s">
        <v>435</v>
      </c>
      <c r="O16"/>
      <c r="P16" t="s">
        <v>435</v>
      </c>
      <c r="Q16" t="s">
        <v>435</v>
      </c>
      <c r="R16" t="s">
        <v>435</v>
      </c>
      <c r="S16"/>
      <c r="T16"/>
      <c r="U16"/>
      <c r="V16"/>
      <c r="W16"/>
      <c r="X16"/>
      <c r="Y16"/>
      <c r="Z16"/>
      <c r="AA16"/>
    </row>
    <row r="17" spans="1:27">
      <c r="A17" t="s">
        <v>545</v>
      </c>
      <c r="B17" s="15" t="s">
        <v>104</v>
      </c>
      <c r="C17" s="15" t="str">
        <f>HYPERLINK("01-组织级\02-组织工作库\06-度量\组织度量计划(QCUBIC-SPI-MPM-Plan)V1.3-engl.xlsx", "engl")</f>
        <v>engl</v>
      </c>
      <c r="D17"/>
      <c r="E17" t="s">
        <v>435</v>
      </c>
      <c r="F17"/>
      <c r="G17" t="s">
        <v>435</v>
      </c>
      <c r="H17" t="s">
        <v>435</v>
      </c>
      <c r="I17"/>
      <c r="J17"/>
      <c r="K17"/>
      <c r="L17"/>
      <c r="M17"/>
      <c r="N17" t="s">
        <v>435</v>
      </c>
      <c r="O17"/>
      <c r="P17"/>
      <c r="Q17"/>
      <c r="R17"/>
      <c r="S17"/>
      <c r="T17"/>
      <c r="U17"/>
      <c r="V17"/>
      <c r="W17"/>
      <c r="X17"/>
      <c r="Y17"/>
      <c r="Z17"/>
      <c r="AA17"/>
    </row>
    <row r="18" spans="1:27">
      <c r="A18" t="s">
        <v>545</v>
      </c>
      <c r="B18" s="15" t="s">
        <v>104</v>
      </c>
      <c r="C18" s="15" t="str">
        <f>HYPERLINK("01-组织级\01-组织财富库\01-标准过程文件库\03-支持类\03-度量分析\度量分析指南 (QCUBIC-SPI-MPM-Guid-Doc)V1.2-engl.docx", "engl")</f>
        <v>engl</v>
      </c>
      <c r="D18"/>
      <c r="E18"/>
      <c r="F18"/>
      <c r="G18"/>
      <c r="H18" t="s">
        <v>435</v>
      </c>
      <c r="I18"/>
      <c r="J18"/>
      <c r="K18"/>
      <c r="L18"/>
      <c r="M18"/>
      <c r="N18"/>
      <c r="O18" t="s">
        <v>435</v>
      </c>
      <c r="P18"/>
      <c r="Q18"/>
      <c r="R18"/>
      <c r="S18"/>
      <c r="T18"/>
      <c r="U18"/>
      <c r="V18"/>
      <c r="W18"/>
      <c r="X18"/>
      <c r="Y18"/>
      <c r="Z18"/>
      <c r="AA18"/>
    </row>
    <row r="19" spans="1:27">
      <c r="A19" t="s">
        <v>545</v>
      </c>
      <c r="B19" s="15" t="s">
        <v>104</v>
      </c>
      <c r="C19" s="15" t="str">
        <f>HYPERLINK("01-组织级\01-组织财富库\01-标准过程文件库\03-支持类\03-度量分析\度量分析过程文件 (QCUBIC-SPI-MPM-Proc-Doc)V1.2-engl.docx", "engl")</f>
        <v>engl</v>
      </c>
      <c r="D19"/>
      <c r="E19"/>
      <c r="F19"/>
      <c r="G19"/>
      <c r="H19"/>
      <c r="I19"/>
      <c r="J19"/>
      <c r="K19"/>
      <c r="L19"/>
      <c r="M19"/>
      <c r="N19" t="s">
        <v>435</v>
      </c>
      <c r="O19"/>
      <c r="P19"/>
      <c r="Q19"/>
      <c r="R19"/>
      <c r="S19"/>
      <c r="T19"/>
      <c r="U19"/>
      <c r="V19"/>
      <c r="W19"/>
      <c r="X19"/>
      <c r="Y19"/>
      <c r="Z19"/>
      <c r="AA19"/>
    </row>
    <row r="20" spans="1:27">
      <c r="A20" t="s">
        <v>545</v>
      </c>
      <c r="B20" s="15" t="s">
        <v>104</v>
      </c>
      <c r="C20" s="15" t="str">
        <f>HYPERLINK("01-组织级\02-组织工作库\03-PQA活动库\组织级工作产品和过程检查表(QCUBIC-ORG-PQA-Checklist_20200627)V1.0-engl.xlsx", "engl")</f>
        <v>engl</v>
      </c>
      <c r="D20"/>
      <c r="E20"/>
      <c r="F20"/>
      <c r="G20"/>
      <c r="H20"/>
      <c r="I20"/>
      <c r="J20"/>
      <c r="K20"/>
      <c r="L20"/>
      <c r="M20"/>
      <c r="N20"/>
      <c r="O20" t="s">
        <v>435</v>
      </c>
      <c r="P20"/>
      <c r="Q20"/>
      <c r="R20"/>
      <c r="S20"/>
      <c r="T20"/>
      <c r="U20"/>
      <c r="V20"/>
      <c r="W20"/>
      <c r="X20"/>
      <c r="Y20"/>
      <c r="Z20"/>
      <c r="AA20"/>
    </row>
    <row r="21" spans="1:27">
      <c r="A21" t="s">
        <v>545</v>
      </c>
      <c r="B21" s="15" t="s">
        <v>104</v>
      </c>
      <c r="C21" s="15" t="str">
        <f>HYPERLINK("01-组织级\02-组织工作库\02-EPG活动库\07-EPG跟踪\01-EPG月报\EPG月报2020-06-engl.xlsx", "engl")</f>
        <v>engl</v>
      </c>
      <c r="D21"/>
      <c r="E21"/>
      <c r="F21"/>
      <c r="G21"/>
      <c r="H21"/>
      <c r="I21"/>
      <c r="J21"/>
      <c r="K21"/>
      <c r="L21"/>
      <c r="M21"/>
      <c r="N21"/>
      <c r="O21"/>
      <c r="P21"/>
      <c r="Q21"/>
      <c r="R21" t="s">
        <v>435</v>
      </c>
      <c r="S21"/>
      <c r="T21"/>
      <c r="U21"/>
      <c r="V21"/>
      <c r="W21"/>
      <c r="X21"/>
      <c r="Y21"/>
      <c r="Z21"/>
      <c r="AA21"/>
    </row>
    <row r="22" spans="1:27">
      <c r="A22" t="s">
        <v>545</v>
      </c>
      <c r="B22" s="15" t="s">
        <v>104</v>
      </c>
      <c r="C22" s="15" t="str">
        <f>HYPERLINK("01-组织级\02-组织工作库\01-会议记录\高层会议记录(QCUBIC-SPI-MeetingRcd-2020-06-03)V1.0-engl.docx", "engl")</f>
        <v>engl</v>
      </c>
      <c r="D22"/>
      <c r="E22"/>
      <c r="F22"/>
      <c r="G22"/>
      <c r="H22"/>
      <c r="I22"/>
      <c r="J22"/>
      <c r="K22"/>
      <c r="L22"/>
      <c r="M22"/>
      <c r="N22"/>
      <c r="O22"/>
      <c r="P22"/>
      <c r="Q22"/>
      <c r="R22" t="s">
        <v>435</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7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4.6328125" style="123" customWidth="1"/>
    <col min="2" max="4" width="7.90625" style="123" customWidth="1"/>
    <col min="5" max="6" width="20.6328125" style="123" customWidth="1"/>
    <col min="7" max="12" width="20.6328125" style="108" customWidth="1"/>
    <col min="13" max="13" width="50.6328125" style="108" customWidth="1"/>
    <col min="14" max="14" width="3.6328125" style="108" customWidth="1"/>
    <col min="15" max="15" width="35.6328125" style="108" bestFit="1" customWidth="1"/>
    <col min="16" max="16" width="67.08984375" style="108" customWidth="1"/>
    <col min="17" max="17" width="24.36328125" style="108" customWidth="1"/>
    <col min="18" max="16384" width="8.6328125" style="123"/>
  </cols>
  <sheetData>
    <row r="1" spans="1:27" s="148" customFormat="1" ht="18.5">
      <c r="A1" s="105" t="s">
        <v>1023</v>
      </c>
      <c r="B1" s="105"/>
      <c r="C1" s="105"/>
      <c r="D1" s="105"/>
      <c r="E1" s="106"/>
      <c r="F1" s="107"/>
      <c r="G1" s="108"/>
      <c r="H1" s="108"/>
      <c r="I1" s="108"/>
      <c r="J1" s="108"/>
      <c r="K1" s="108"/>
      <c r="L1" s="108"/>
      <c r="M1" s="108"/>
      <c r="N1" s="108"/>
      <c r="O1" s="108"/>
      <c r="P1" s="108"/>
      <c r="Q1" s="108"/>
    </row>
    <row r="2" spans="1:27" s="110" customFormat="1">
      <c r="A2" s="110" t="s">
        <v>456</v>
      </c>
      <c r="E2" s="123" t="s">
        <v>265</v>
      </c>
      <c r="F2" s="123"/>
      <c r="G2" s="123"/>
      <c r="H2" s="108"/>
      <c r="I2" s="108"/>
      <c r="J2" s="108"/>
      <c r="K2" s="108"/>
      <c r="L2" s="108"/>
      <c r="M2" s="108"/>
      <c r="N2" s="108"/>
      <c r="O2" s="108"/>
      <c r="P2" s="108"/>
      <c r="Q2" s="108"/>
    </row>
    <row r="3" spans="1:27" s="148" customFormat="1">
      <c r="A3" s="107" t="s">
        <v>457</v>
      </c>
      <c r="B3" s="107"/>
      <c r="C3" s="107"/>
      <c r="D3" s="107"/>
      <c r="E3" s="211" t="s">
        <v>266</v>
      </c>
      <c r="F3" s="211"/>
      <c r="G3" s="211"/>
      <c r="H3" s="108"/>
      <c r="I3" s="108"/>
      <c r="J3" s="108"/>
      <c r="K3" s="108"/>
      <c r="L3" s="108"/>
      <c r="M3" s="108"/>
      <c r="N3" s="108"/>
      <c r="O3" s="108"/>
      <c r="P3" s="108"/>
      <c r="Q3" s="108"/>
    </row>
    <row r="4" spans="1:27" s="148" customFormat="1" ht="14.5">
      <c r="A4" s="111"/>
      <c r="B4" s="111"/>
      <c r="C4" s="111"/>
      <c r="D4" s="111"/>
      <c r="E4" s="112" t="s">
        <v>47</v>
      </c>
      <c r="F4" s="113" t="s">
        <v>54</v>
      </c>
      <c r="G4" s="113"/>
      <c r="H4" s="116" t="s">
        <v>56</v>
      </c>
      <c r="I4" s="116"/>
      <c r="J4" s="150"/>
      <c r="K4" s="150"/>
      <c r="L4" s="150"/>
      <c r="M4" s="110"/>
      <c r="N4" s="110"/>
      <c r="O4" s="110"/>
      <c r="P4" s="107"/>
      <c r="Q4" s="107"/>
      <c r="R4" s="110"/>
      <c r="S4" s="117"/>
      <c r="T4" s="117"/>
    </row>
    <row r="5" spans="1:27" s="148" customFormat="1" ht="14.5">
      <c r="A5" s="118"/>
      <c r="B5" s="118"/>
      <c r="C5" s="118"/>
      <c r="D5" s="118"/>
      <c r="E5" s="119" t="s">
        <v>548</v>
      </c>
      <c r="F5" s="120" t="s">
        <v>549</v>
      </c>
      <c r="G5" s="120"/>
      <c r="H5" s="116" t="s">
        <v>550</v>
      </c>
      <c r="I5" s="169"/>
      <c r="J5" s="150"/>
      <c r="K5" s="150"/>
      <c r="L5" s="150"/>
      <c r="M5" s="110"/>
      <c r="N5" s="110"/>
      <c r="O5" s="110"/>
      <c r="P5" s="118"/>
      <c r="Q5" s="107"/>
      <c r="R5" s="110"/>
      <c r="S5" s="118"/>
      <c r="T5" s="117"/>
    </row>
    <row r="6" spans="1:27" s="107" customFormat="1">
      <c r="A6" s="122"/>
      <c r="B6" s="122"/>
      <c r="C6" s="122"/>
      <c r="D6" s="122"/>
      <c r="E6" s="3" t="s">
        <v>267</v>
      </c>
      <c r="F6" s="90" t="s">
        <v>268</v>
      </c>
      <c r="G6" s="90" t="s">
        <v>270</v>
      </c>
      <c r="H6" s="91" t="s">
        <v>271</v>
      </c>
      <c r="I6" s="91" t="s">
        <v>273</v>
      </c>
      <c r="J6" s="91" t="s">
        <v>274</v>
      </c>
      <c r="K6" s="91" t="s">
        <v>276</v>
      </c>
      <c r="L6" s="92" t="s">
        <v>278</v>
      </c>
      <c r="M6" s="93"/>
      <c r="N6" s="93"/>
      <c r="O6" s="93"/>
      <c r="P6" s="123"/>
      <c r="Q6" s="108"/>
    </row>
    <row r="7" spans="1:27" s="107" customFormat="1" ht="65">
      <c r="A7" s="124" t="s">
        <v>652</v>
      </c>
      <c r="B7" s="124"/>
      <c r="C7" s="124"/>
      <c r="D7" s="124"/>
      <c r="E7" s="97" t="s">
        <v>1024</v>
      </c>
      <c r="F7" s="97" t="s">
        <v>1025</v>
      </c>
      <c r="G7" s="97" t="s">
        <v>1026</v>
      </c>
      <c r="H7" s="97" t="s">
        <v>1027</v>
      </c>
      <c r="I7" s="97" t="s">
        <v>1028</v>
      </c>
      <c r="J7" s="97" t="s">
        <v>1029</v>
      </c>
      <c r="K7" s="97" t="s">
        <v>1030</v>
      </c>
      <c r="L7" s="97" t="s">
        <v>1031</v>
      </c>
      <c r="M7" s="93"/>
      <c r="N7" s="93"/>
      <c r="O7" s="93"/>
      <c r="P7" s="108"/>
      <c r="Q7" s="108"/>
    </row>
    <row r="8" spans="1:27" s="107" customFormat="1" ht="73.5">
      <c r="A8" s="122" t="s">
        <v>562</v>
      </c>
      <c r="B8" s="122"/>
      <c r="C8" s="122"/>
      <c r="D8" s="122"/>
      <c r="E8" s="151" t="s">
        <v>1032</v>
      </c>
      <c r="F8" s="133" t="s">
        <v>1033</v>
      </c>
      <c r="G8" s="133" t="s">
        <v>1034</v>
      </c>
      <c r="H8" s="133" t="s">
        <v>1035</v>
      </c>
      <c r="I8" s="133" t="s">
        <v>1036</v>
      </c>
      <c r="J8" s="133" t="s">
        <v>1037</v>
      </c>
      <c r="K8" s="133" t="s">
        <v>1038</v>
      </c>
      <c r="L8" s="133" t="s">
        <v>1039</v>
      </c>
      <c r="M8" s="99"/>
      <c r="N8" s="99"/>
      <c r="O8" s="99"/>
      <c r="P8" s="108"/>
      <c r="Q8" s="108"/>
    </row>
    <row r="9" spans="1:27" s="107" customFormat="1" ht="156.5" thickBot="1">
      <c r="A9" s="122" t="s">
        <v>96</v>
      </c>
      <c r="B9" s="122"/>
      <c r="C9" s="122"/>
      <c r="D9" s="122"/>
      <c r="E9" s="125" t="s">
        <v>1040</v>
      </c>
      <c r="F9" s="125" t="s">
        <v>1041</v>
      </c>
      <c r="G9" s="125" t="s">
        <v>1042</v>
      </c>
      <c r="H9" s="125" t="s">
        <v>1043</v>
      </c>
      <c r="I9" s="125" t="s">
        <v>1044</v>
      </c>
      <c r="J9" s="125" t="s">
        <v>1045</v>
      </c>
      <c r="K9" s="125" t="s">
        <v>1046</v>
      </c>
      <c r="L9" s="125" t="s">
        <v>1047</v>
      </c>
      <c r="M9" s="127"/>
      <c r="N9" s="127"/>
      <c r="O9" s="127"/>
      <c r="P9" s="108"/>
      <c r="Q9" s="108"/>
    </row>
    <row r="10" spans="1:27" s="107" customFormat="1" ht="84">
      <c r="A10" s="122" t="s">
        <v>583</v>
      </c>
      <c r="B10" s="171"/>
      <c r="C10" s="171"/>
      <c r="D10" s="171"/>
      <c r="E10" s="212" t="s">
        <v>1048</v>
      </c>
      <c r="F10" s="213" t="s">
        <v>1049</v>
      </c>
      <c r="G10" s="213" t="s">
        <v>1050</v>
      </c>
      <c r="H10" s="213" t="s">
        <v>1051</v>
      </c>
      <c r="I10" s="213" t="s">
        <v>1052</v>
      </c>
      <c r="J10" s="213" t="s">
        <v>1053</v>
      </c>
      <c r="K10" s="213" t="s">
        <v>1054</v>
      </c>
      <c r="L10" s="213" t="s">
        <v>1055</v>
      </c>
      <c r="M10" s="99"/>
      <c r="N10" s="99"/>
      <c r="O10" s="99"/>
      <c r="P10" s="108"/>
      <c r="Q10" s="108"/>
    </row>
    <row r="11" spans="1:27" s="107" customFormat="1" ht="36">
      <c r="A11" s="135" t="s">
        <v>85</v>
      </c>
      <c r="B11" s="135"/>
      <c r="C11" s="135"/>
      <c r="D11" s="135"/>
      <c r="E11" s="214" t="s">
        <v>1056</v>
      </c>
      <c r="F11" s="98" t="s">
        <v>1057</v>
      </c>
      <c r="G11" s="98" t="s">
        <v>1058</v>
      </c>
      <c r="H11" s="98" t="s">
        <v>1059</v>
      </c>
      <c r="I11" s="98" t="s">
        <v>1060</v>
      </c>
      <c r="J11" s="98" t="s">
        <v>1061</v>
      </c>
      <c r="K11" s="98" t="s">
        <v>1062</v>
      </c>
      <c r="L11" s="98" t="s">
        <v>1063</v>
      </c>
      <c r="M11" s="99"/>
      <c r="N11" s="99"/>
      <c r="O11" s="99"/>
      <c r="P11" s="108"/>
      <c r="Q11" s="108"/>
      <c r="R11" s="108"/>
      <c r="S11" s="108"/>
    </row>
    <row r="12" spans="1:27" ht="15" customHeight="1">
      <c r="G12" s="123"/>
      <c r="H12" s="123"/>
      <c r="I12" s="123"/>
      <c r="J12" s="123"/>
      <c r="K12" s="123"/>
      <c r="L12" s="123"/>
      <c r="M12" s="123"/>
      <c r="N12" s="123"/>
      <c r="O12" s="123"/>
      <c r="P12" s="123"/>
    </row>
    <row r="13" spans="1:27" ht="15" customHeight="1">
      <c r="G13" s="123"/>
      <c r="H13" s="123"/>
      <c r="I13" s="123"/>
      <c r="J13" s="123"/>
      <c r="K13" s="123"/>
      <c r="L13" s="123"/>
      <c r="M13" s="123"/>
      <c r="N13" s="123"/>
      <c r="O13" s="123"/>
      <c r="P13" s="123"/>
    </row>
    <row r="14" spans="1:27" ht="15" customHeight="1">
      <c r="G14" s="123"/>
      <c r="H14" s="123"/>
      <c r="I14" s="123"/>
      <c r="J14" s="123"/>
      <c r="K14" s="123"/>
      <c r="L14" s="123"/>
      <c r="M14" s="123"/>
      <c r="N14" s="123"/>
      <c r="O14" s="123"/>
      <c r="P14" s="123"/>
    </row>
    <row r="15" spans="1:27" customFormat="1" ht="14.5">
      <c r="A15" t="s">
        <v>452</v>
      </c>
      <c r="B15" t="s">
        <v>104</v>
      </c>
      <c r="C15" t="s">
        <v>105</v>
      </c>
      <c r="D15" s="295" t="s">
        <v>451</v>
      </c>
      <c r="E15" s="14" t="s">
        <v>267</v>
      </c>
      <c r="F15" s="14" t="s">
        <v>268</v>
      </c>
      <c r="G15" s="14" t="s">
        <v>270</v>
      </c>
      <c r="H15" s="14" t="s">
        <v>271</v>
      </c>
      <c r="I15" s="14" t="s">
        <v>273</v>
      </c>
      <c r="J15" s="14" t="s">
        <v>274</v>
      </c>
      <c r="K15" s="14" t="s">
        <v>276</v>
      </c>
      <c r="L15" s="14" t="s">
        <v>278</v>
      </c>
    </row>
    <row r="16" spans="1:27" ht="14.5">
      <c r="A16" t="s">
        <v>545</v>
      </c>
      <c r="B16" s="15" t="s">
        <v>104</v>
      </c>
      <c r="C16" s="15" t="str">
        <f>HYPERLINK("02-项目级\P1-Qcubic数据库管理工具 V1.0\02-全程管理\02-风险和机会管理\03-风险和机会管理一览表(QCUBIC-SJKGL-RSK-chk&amp;tracking)V1.2-engl.xlsx", "engl")</f>
        <v>engl</v>
      </c>
      <c r="D16"/>
      <c r="E16" t="s">
        <v>435</v>
      </c>
      <c r="F16" t="s">
        <v>435</v>
      </c>
      <c r="G16" t="s">
        <v>435</v>
      </c>
      <c r="H16" t="s">
        <v>435</v>
      </c>
      <c r="I16" t="s">
        <v>435</v>
      </c>
      <c r="J16" t="s">
        <v>435</v>
      </c>
      <c r="K16"/>
      <c r="L16" t="s">
        <v>435</v>
      </c>
      <c r="M16"/>
      <c r="N16"/>
      <c r="O16"/>
      <c r="P16"/>
      <c r="Q16"/>
      <c r="R16"/>
      <c r="S16"/>
      <c r="T16"/>
      <c r="U16"/>
      <c r="V16"/>
      <c r="W16"/>
      <c r="X16"/>
      <c r="Y16"/>
      <c r="Z16"/>
      <c r="AA16"/>
    </row>
    <row r="17" spans="1:27" ht="14.5">
      <c r="A17" t="s">
        <v>545</v>
      </c>
      <c r="B17" s="15" t="s">
        <v>104</v>
      </c>
      <c r="C17" s="15" t="str">
        <f>HYPERLINK("02-项目级\P1-Qcubic数据库管理工具 V1.0\02-全程管理\02-风险和机会管理\01-风险和机会检查表(QCUBIC-SJKGL-RSK-rc)V1.0-engl.xlsx", "engl")</f>
        <v>engl</v>
      </c>
      <c r="D17"/>
      <c r="E17" t="s">
        <v>435</v>
      </c>
      <c r="F17" t="s">
        <v>435</v>
      </c>
      <c r="G17"/>
      <c r="H17"/>
      <c r="I17"/>
      <c r="J17"/>
      <c r="K17"/>
      <c r="L17"/>
      <c r="M17"/>
      <c r="N17"/>
      <c r="O17"/>
      <c r="P17"/>
      <c r="Q17"/>
      <c r="R17"/>
      <c r="S17"/>
      <c r="T17"/>
      <c r="U17"/>
      <c r="V17"/>
      <c r="W17"/>
      <c r="X17"/>
      <c r="Y17"/>
      <c r="Z17"/>
      <c r="AA17"/>
    </row>
    <row r="18" spans="1:27" s="108" customFormat="1" ht="14.5">
      <c r="A18" t="s">
        <v>545</v>
      </c>
      <c r="B18" s="15" t="s">
        <v>104</v>
      </c>
      <c r="C18" s="15" t="str">
        <f>HYPERLINK("02-项目级\P1-Qcubic数据库管理工具 V1.0\02-全程管理\02-风险和机会管理\02-风险和机会管理计划(QCUBIC-SJKGL-RSK-plan)V1.0-engl.docx", "engl")</f>
        <v>engl</v>
      </c>
      <c r="D18"/>
      <c r="E18"/>
      <c r="F18" t="s">
        <v>435</v>
      </c>
      <c r="G18"/>
      <c r="H18"/>
      <c r="I18"/>
      <c r="J18"/>
      <c r="K18" t="s">
        <v>435</v>
      </c>
      <c r="L18" t="s">
        <v>435</v>
      </c>
      <c r="M18"/>
      <c r="N18"/>
      <c r="O18"/>
      <c r="P18"/>
      <c r="Q18"/>
      <c r="R18"/>
      <c r="S18"/>
      <c r="T18"/>
      <c r="U18"/>
      <c r="V18"/>
      <c r="W18"/>
      <c r="X18"/>
      <c r="Y18"/>
      <c r="Z18"/>
      <c r="AA18"/>
    </row>
    <row r="19" spans="1:27" s="108" customFormat="1" ht="14.5">
      <c r="A19" t="s">
        <v>545</v>
      </c>
      <c r="B19" s="15" t="s">
        <v>104</v>
      </c>
      <c r="C19" s="15" t="str">
        <f>HYPERLINK("01-组织级\01-组织财富库\01-标准过程文件库\01-项目管理规范\05-风险和机会管理\风险和机会管理过程文件(QCUBIC-SPI-RSK-Proc-Doc)V1.2-engl.docx", "engl")</f>
        <v>engl</v>
      </c>
      <c r="D19"/>
      <c r="E19"/>
      <c r="F19"/>
      <c r="G19"/>
      <c r="H19" t="s">
        <v>435</v>
      </c>
      <c r="I19" t="s">
        <v>435</v>
      </c>
      <c r="J19" t="s">
        <v>435</v>
      </c>
      <c r="K19"/>
      <c r="L19"/>
      <c r="M19"/>
      <c r="N19"/>
      <c r="O19"/>
      <c r="P19"/>
      <c r="Q19"/>
      <c r="R19"/>
      <c r="S19"/>
      <c r="T19"/>
      <c r="U19"/>
      <c r="V19"/>
      <c r="W19"/>
      <c r="X19"/>
      <c r="Y19"/>
      <c r="Z19"/>
      <c r="AA19"/>
    </row>
    <row r="20" spans="1:27" s="108" customFormat="1" ht="14.5">
      <c r="A20" t="s">
        <v>545</v>
      </c>
      <c r="B20" s="15" t="s">
        <v>104</v>
      </c>
      <c r="C20" s="15" t="str">
        <f>HYPERLINK("01-组织级\01-组织财富库\01-标准过程文件库\01-项目管理规范\05-风险和机会管理\风险和机会管理指南(QCUBIC-SPI-RSK-Guid-Management)V1.2-engl.docx", "engl")</f>
        <v>engl</v>
      </c>
      <c r="D20"/>
      <c r="E20"/>
      <c r="F20"/>
      <c r="G20"/>
      <c r="H20" t="s">
        <v>435</v>
      </c>
      <c r="I20" t="s">
        <v>435</v>
      </c>
      <c r="J20" t="s">
        <v>435</v>
      </c>
      <c r="K20"/>
      <c r="L20"/>
      <c r="M20"/>
      <c r="N20"/>
      <c r="O20"/>
      <c r="P20"/>
      <c r="Q20"/>
      <c r="R20"/>
      <c r="S20"/>
      <c r="T20"/>
      <c r="U20"/>
      <c r="V20"/>
      <c r="W20"/>
      <c r="X20"/>
      <c r="Y20"/>
      <c r="Z20"/>
      <c r="AA20"/>
    </row>
    <row r="21" spans="1:27" s="108" customFormat="1" ht="14.5">
      <c r="A21"/>
      <c r="B21"/>
      <c r="C21"/>
      <c r="D21"/>
      <c r="E21"/>
      <c r="F21"/>
      <c r="G21"/>
      <c r="H21"/>
      <c r="I21"/>
      <c r="J21"/>
      <c r="K21"/>
      <c r="L21"/>
      <c r="M21"/>
      <c r="N21"/>
      <c r="O21"/>
      <c r="P21"/>
      <c r="Q21"/>
      <c r="R21"/>
      <c r="S21"/>
      <c r="T21"/>
      <c r="U21"/>
      <c r="V21"/>
      <c r="W21"/>
      <c r="X21"/>
      <c r="Y21"/>
      <c r="Z21"/>
      <c r="AA21"/>
    </row>
    <row r="22" spans="1:27" s="108" customFormat="1" ht="14.5">
      <c r="A22"/>
      <c r="B22"/>
      <c r="C22"/>
      <c r="D22"/>
      <c r="E22"/>
      <c r="F22"/>
      <c r="G22"/>
      <c r="H22"/>
      <c r="I22"/>
      <c r="J22"/>
      <c r="K22"/>
      <c r="L22"/>
      <c r="M22"/>
      <c r="N22"/>
      <c r="O22"/>
      <c r="P22"/>
      <c r="Q22"/>
      <c r="R22"/>
      <c r="S22"/>
      <c r="T22"/>
      <c r="U22"/>
      <c r="V22"/>
      <c r="W22"/>
      <c r="X22"/>
      <c r="Y22"/>
      <c r="Z22"/>
      <c r="AA22"/>
    </row>
    <row r="23" spans="1:27" s="108" customFormat="1" ht="14.5">
      <c r="A23"/>
      <c r="B23"/>
      <c r="C23"/>
      <c r="D23"/>
      <c r="E23"/>
      <c r="F23"/>
      <c r="G23"/>
      <c r="H23"/>
      <c r="I23"/>
      <c r="J23"/>
      <c r="K23"/>
      <c r="L23"/>
      <c r="M23"/>
      <c r="N23"/>
      <c r="O23"/>
      <c r="P23"/>
      <c r="Q23"/>
      <c r="R23"/>
      <c r="S23"/>
      <c r="T23"/>
      <c r="U23"/>
      <c r="V23"/>
      <c r="W23"/>
      <c r="X23"/>
      <c r="Y23"/>
      <c r="Z23"/>
      <c r="AA23"/>
    </row>
    <row r="24" spans="1:27" s="108" customFormat="1" ht="14.5">
      <c r="A24"/>
      <c r="B24"/>
      <c r="C24"/>
      <c r="D24"/>
      <c r="E24"/>
      <c r="F24"/>
      <c r="G24"/>
      <c r="H24"/>
      <c r="I24"/>
      <c r="J24"/>
      <c r="K24"/>
      <c r="L24"/>
      <c r="M24"/>
      <c r="N24"/>
      <c r="O24"/>
      <c r="P24"/>
      <c r="Q24"/>
      <c r="R24"/>
      <c r="S24"/>
      <c r="T24"/>
      <c r="U24"/>
      <c r="V24"/>
      <c r="W24"/>
      <c r="X24"/>
      <c r="Y24"/>
      <c r="Z24"/>
      <c r="AA24"/>
    </row>
    <row r="25" spans="1:27" s="108" customFormat="1" ht="14.5">
      <c r="A25"/>
      <c r="B25"/>
      <c r="C25"/>
      <c r="D25"/>
      <c r="E25"/>
      <c r="F25"/>
      <c r="G25"/>
      <c r="H25"/>
      <c r="I25"/>
      <c r="J25"/>
      <c r="K25"/>
      <c r="L25"/>
      <c r="M25"/>
      <c r="N25"/>
      <c r="O25"/>
      <c r="P25"/>
      <c r="Q25"/>
      <c r="R25"/>
      <c r="S25"/>
      <c r="T25"/>
      <c r="U25"/>
      <c r="V25"/>
      <c r="W25"/>
      <c r="X25"/>
      <c r="Y25"/>
      <c r="Z25"/>
      <c r="AA25"/>
    </row>
    <row r="26" spans="1:27" s="108" customFormat="1" ht="14.5">
      <c r="A26"/>
      <c r="B26"/>
      <c r="C26"/>
      <c r="D26"/>
      <c r="E26"/>
      <c r="F26"/>
      <c r="G26"/>
      <c r="H26"/>
      <c r="I26"/>
      <c r="J26"/>
      <c r="K26"/>
      <c r="L26"/>
      <c r="M26"/>
      <c r="N26"/>
      <c r="O26"/>
      <c r="P26"/>
      <c r="Q26"/>
      <c r="R26"/>
      <c r="S26"/>
      <c r="T26"/>
      <c r="U26"/>
      <c r="V26"/>
      <c r="W26"/>
      <c r="X26"/>
      <c r="Y26"/>
      <c r="Z26"/>
      <c r="AA26"/>
    </row>
    <row r="27" spans="1:27" s="108" customFormat="1" ht="14.5">
      <c r="A27"/>
      <c r="B27"/>
      <c r="C27"/>
      <c r="D27"/>
      <c r="E27"/>
      <c r="F27"/>
      <c r="G27"/>
      <c r="H27"/>
      <c r="I27"/>
      <c r="J27"/>
      <c r="K27"/>
      <c r="L27"/>
      <c r="M27"/>
      <c r="N27"/>
      <c r="O27"/>
      <c r="P27"/>
      <c r="Q27"/>
      <c r="R27"/>
      <c r="S27"/>
      <c r="T27"/>
      <c r="U27"/>
      <c r="V27"/>
      <c r="W27"/>
      <c r="X27"/>
      <c r="Y27"/>
      <c r="Z27"/>
      <c r="AA27"/>
    </row>
    <row r="28" spans="1:27" s="108" customFormat="1" ht="14.5">
      <c r="A28"/>
      <c r="B28"/>
      <c r="C28"/>
      <c r="D28"/>
      <c r="E28"/>
      <c r="F28"/>
      <c r="G28"/>
      <c r="H28"/>
      <c r="I28"/>
      <c r="J28"/>
      <c r="K28"/>
      <c r="L28"/>
      <c r="M28"/>
      <c r="N28"/>
      <c r="O28"/>
      <c r="P28"/>
      <c r="Q28"/>
      <c r="R28"/>
      <c r="S28"/>
      <c r="T28"/>
      <c r="U28"/>
      <c r="V28"/>
      <c r="W28"/>
      <c r="X28"/>
      <c r="Y28"/>
      <c r="Z28"/>
      <c r="AA28"/>
    </row>
    <row r="29" spans="1:27" s="108" customFormat="1" ht="14.5">
      <c r="A29"/>
      <c r="B29"/>
      <c r="C29"/>
      <c r="D29"/>
      <c r="E29"/>
      <c r="F29"/>
      <c r="G29"/>
      <c r="H29"/>
      <c r="I29"/>
      <c r="J29"/>
      <c r="K29"/>
      <c r="L29"/>
      <c r="M29"/>
      <c r="N29"/>
      <c r="O29"/>
      <c r="P29"/>
      <c r="Q29"/>
      <c r="R29"/>
      <c r="S29"/>
      <c r="T29"/>
      <c r="U29"/>
      <c r="V29"/>
      <c r="W29"/>
      <c r="X29"/>
      <c r="Y29"/>
      <c r="Z29"/>
      <c r="AA29"/>
    </row>
    <row r="30" spans="1:27" s="108" customFormat="1" ht="14.5">
      <c r="A30"/>
      <c r="B30"/>
      <c r="C30"/>
      <c r="D30"/>
      <c r="E30"/>
      <c r="F30"/>
      <c r="G30"/>
      <c r="H30"/>
      <c r="I30"/>
      <c r="J30"/>
      <c r="K30"/>
      <c r="L30"/>
      <c r="M30"/>
      <c r="N30"/>
      <c r="O30"/>
      <c r="P30"/>
      <c r="Q30"/>
      <c r="R30"/>
      <c r="S30"/>
      <c r="T30"/>
      <c r="U30"/>
      <c r="V30"/>
      <c r="W30"/>
      <c r="X30"/>
      <c r="Y30"/>
      <c r="Z30"/>
      <c r="AA30"/>
    </row>
    <row r="31" spans="1:27" s="108" customFormat="1" ht="14.5">
      <c r="A31"/>
      <c r="B31"/>
      <c r="C31"/>
      <c r="D31"/>
      <c r="E31"/>
      <c r="F31"/>
      <c r="G31"/>
      <c r="H31"/>
      <c r="I31"/>
      <c r="J31"/>
      <c r="K31"/>
      <c r="L31"/>
      <c r="M31"/>
      <c r="N31"/>
      <c r="O31"/>
      <c r="P31"/>
      <c r="Q31"/>
      <c r="R31"/>
      <c r="S31"/>
      <c r="T31"/>
      <c r="U31"/>
      <c r="V31"/>
      <c r="W31"/>
      <c r="X31"/>
      <c r="Y31"/>
      <c r="Z31"/>
      <c r="AA31"/>
    </row>
    <row r="32" spans="1:27" s="108" customFormat="1"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1.6328125" style="123" customWidth="1"/>
    <col min="2" max="4" width="7.90625" style="123" customWidth="1"/>
    <col min="5" max="6" width="15.6328125" style="123" customWidth="1"/>
    <col min="7" max="8" width="15.6328125" style="108" customWidth="1"/>
    <col min="9" max="13" width="15.6328125" style="123" customWidth="1"/>
    <col min="14" max="14" width="94.54296875" style="123" customWidth="1"/>
    <col min="15" max="15" width="3.6328125" style="123" customWidth="1"/>
    <col min="16" max="16" width="31.6328125" style="123" bestFit="1" customWidth="1"/>
    <col min="17" max="17" width="65.6328125" style="123" customWidth="1"/>
    <col min="18" max="18" width="10.36328125" style="123" customWidth="1"/>
    <col min="19" max="16384" width="8.6328125" style="123"/>
  </cols>
  <sheetData>
    <row r="1" spans="1:27" s="216" customFormat="1" ht="18.5">
      <c r="A1" s="105" t="s">
        <v>1064</v>
      </c>
      <c r="B1" s="105"/>
      <c r="C1" s="105"/>
      <c r="D1" s="105"/>
      <c r="E1" s="159"/>
      <c r="F1" s="159"/>
      <c r="G1" s="215"/>
      <c r="H1" s="215"/>
    </row>
    <row r="2" spans="1:27" s="148" customFormat="1">
      <c r="A2" s="110" t="s">
        <v>456</v>
      </c>
      <c r="B2" s="110"/>
      <c r="C2" s="110"/>
      <c r="D2" s="110"/>
      <c r="E2" s="107" t="s">
        <v>281</v>
      </c>
      <c r="F2" s="107"/>
      <c r="G2" s="108"/>
      <c r="H2" s="108"/>
    </row>
    <row r="3" spans="1:27" s="110" customFormat="1">
      <c r="A3" s="107" t="s">
        <v>457</v>
      </c>
      <c r="B3" s="107"/>
      <c r="C3" s="107"/>
      <c r="D3" s="107"/>
      <c r="E3" s="107" t="s">
        <v>282</v>
      </c>
      <c r="F3" s="107"/>
      <c r="G3" s="108"/>
      <c r="H3" s="108"/>
    </row>
    <row r="4" spans="1:27" s="148" customFormat="1" ht="14.5">
      <c r="A4" s="111"/>
      <c r="B4" s="111"/>
      <c r="C4" s="111"/>
      <c r="D4" s="111"/>
      <c r="E4" s="112" t="s">
        <v>47</v>
      </c>
      <c r="F4" s="113" t="s">
        <v>54</v>
      </c>
      <c r="G4" s="113"/>
      <c r="H4" s="116" t="s">
        <v>56</v>
      </c>
      <c r="I4" s="116"/>
      <c r="J4" s="150"/>
      <c r="K4" s="150"/>
      <c r="L4" s="150"/>
      <c r="M4" s="116"/>
      <c r="N4" s="107"/>
      <c r="O4" s="107"/>
      <c r="P4" s="107"/>
      <c r="Q4" s="107"/>
      <c r="R4" s="107"/>
      <c r="S4" s="107"/>
      <c r="T4" s="110"/>
      <c r="U4" s="117"/>
      <c r="V4" s="117"/>
    </row>
    <row r="5" spans="1:27" s="107" customFormat="1" ht="14.5">
      <c r="A5" s="118"/>
      <c r="B5" s="118"/>
      <c r="C5" s="118"/>
      <c r="D5" s="118"/>
      <c r="E5" s="119" t="s">
        <v>548</v>
      </c>
      <c r="F5" s="120" t="s">
        <v>549</v>
      </c>
      <c r="G5" s="120"/>
      <c r="H5" s="116" t="s">
        <v>550</v>
      </c>
      <c r="I5" s="169"/>
      <c r="J5" s="150"/>
      <c r="K5" s="150"/>
      <c r="L5" s="150"/>
      <c r="M5" s="121"/>
      <c r="N5" s="108"/>
      <c r="O5" s="108"/>
      <c r="P5" s="108"/>
      <c r="R5" s="118"/>
      <c r="T5" s="110"/>
      <c r="U5" s="118"/>
      <c r="V5" s="117"/>
    </row>
    <row r="6" spans="1:27" s="107" customFormat="1">
      <c r="A6" s="135"/>
      <c r="B6" s="135"/>
      <c r="C6" s="135"/>
      <c r="D6" s="135"/>
      <c r="E6" s="3" t="s">
        <v>283</v>
      </c>
      <c r="F6" s="90" t="s">
        <v>285</v>
      </c>
      <c r="G6" s="90" t="s">
        <v>286</v>
      </c>
      <c r="H6" s="91" t="s">
        <v>287</v>
      </c>
      <c r="I6" s="91" t="s">
        <v>288</v>
      </c>
      <c r="J6" s="91" t="s">
        <v>289</v>
      </c>
      <c r="K6" s="91" t="s">
        <v>290</v>
      </c>
      <c r="L6" s="91" t="s">
        <v>292</v>
      </c>
      <c r="M6" s="92" t="s">
        <v>293</v>
      </c>
      <c r="N6" s="93"/>
      <c r="O6" s="93"/>
      <c r="P6" s="93"/>
      <c r="Q6" s="123"/>
      <c r="R6" s="123"/>
    </row>
    <row r="7" spans="1:27" s="107" customFormat="1" ht="91">
      <c r="A7" s="124" t="s">
        <v>652</v>
      </c>
      <c r="B7" s="124"/>
      <c r="C7" s="124"/>
      <c r="D7" s="124"/>
      <c r="E7" s="97" t="s">
        <v>1065</v>
      </c>
      <c r="F7" s="97" t="s">
        <v>1066</v>
      </c>
      <c r="G7" s="97" t="s">
        <v>1067</v>
      </c>
      <c r="H7" s="97" t="s">
        <v>1068</v>
      </c>
      <c r="I7" s="97" t="s">
        <v>1069</v>
      </c>
      <c r="J7" s="97" t="s">
        <v>1070</v>
      </c>
      <c r="K7" s="97" t="s">
        <v>1071</v>
      </c>
      <c r="L7" s="97" t="s">
        <v>1072</v>
      </c>
      <c r="M7" s="97" t="s">
        <v>1073</v>
      </c>
      <c r="N7" s="93"/>
      <c r="O7" s="93"/>
      <c r="P7" s="93"/>
    </row>
    <row r="8" spans="1:27" s="107" customFormat="1" ht="94.4" customHeight="1">
      <c r="A8" s="135" t="s">
        <v>562</v>
      </c>
      <c r="B8" s="135"/>
      <c r="C8" s="135"/>
      <c r="D8" s="135"/>
      <c r="E8" s="125" t="s">
        <v>1074</v>
      </c>
      <c r="F8" s="125" t="s">
        <v>1075</v>
      </c>
      <c r="G8" s="125" t="s">
        <v>1076</v>
      </c>
      <c r="H8" s="125" t="s">
        <v>1077</v>
      </c>
      <c r="I8" s="125" t="s">
        <v>1078</v>
      </c>
      <c r="J8" s="125" t="s">
        <v>1079</v>
      </c>
      <c r="K8" s="98" t="s">
        <v>1080</v>
      </c>
      <c r="L8" s="125" t="s">
        <v>1081</v>
      </c>
      <c r="M8" s="125" t="s">
        <v>1082</v>
      </c>
      <c r="N8" s="127"/>
      <c r="O8" s="127"/>
      <c r="P8" s="127"/>
    </row>
    <row r="9" spans="1:27" s="107" customFormat="1" ht="204" customHeight="1" thickBot="1">
      <c r="A9" s="135" t="s">
        <v>96</v>
      </c>
      <c r="B9" s="135"/>
      <c r="C9" s="135"/>
      <c r="D9" s="135"/>
      <c r="E9" s="125" t="s">
        <v>1083</v>
      </c>
      <c r="F9" s="125" t="s">
        <v>1084</v>
      </c>
      <c r="G9" s="125" t="s">
        <v>1085</v>
      </c>
      <c r="H9" s="125" t="s">
        <v>1086</v>
      </c>
      <c r="I9" s="125" t="s">
        <v>1087</v>
      </c>
      <c r="J9" s="125" t="s">
        <v>1088</v>
      </c>
      <c r="K9" s="125" t="s">
        <v>1089</v>
      </c>
      <c r="L9" s="125" t="s">
        <v>1090</v>
      </c>
      <c r="M9" s="125" t="s">
        <v>1091</v>
      </c>
      <c r="N9" s="127"/>
      <c r="O9" s="127"/>
      <c r="P9" s="127"/>
    </row>
    <row r="10" spans="1:27" s="107" customFormat="1" ht="84">
      <c r="A10" s="122" t="s">
        <v>583</v>
      </c>
      <c r="B10" s="122"/>
      <c r="C10" s="122"/>
      <c r="D10" s="122"/>
      <c r="E10" s="217"/>
      <c r="F10" s="217" t="s">
        <v>1092</v>
      </c>
      <c r="G10" s="217" t="s">
        <v>1093</v>
      </c>
      <c r="H10" s="98" t="s">
        <v>1094</v>
      </c>
      <c r="I10" s="98" t="s">
        <v>1095</v>
      </c>
      <c r="J10" s="98" t="s">
        <v>1096</v>
      </c>
      <c r="K10" s="98" t="s">
        <v>1097</v>
      </c>
      <c r="L10" s="98" t="s">
        <v>1098</v>
      </c>
      <c r="M10" s="213" t="s">
        <v>1099</v>
      </c>
      <c r="N10" s="99"/>
      <c r="O10" s="99"/>
      <c r="P10" s="99"/>
    </row>
    <row r="11" spans="1:27" s="107" customFormat="1" ht="48">
      <c r="A11" s="161" t="s">
        <v>85</v>
      </c>
      <c r="B11" s="161"/>
      <c r="C11" s="161"/>
      <c r="D11" s="161"/>
      <c r="E11" s="217"/>
      <c r="F11" s="217" t="s">
        <v>1100</v>
      </c>
      <c r="G11" s="217" t="s">
        <v>1101</v>
      </c>
      <c r="H11" s="98" t="s">
        <v>1102</v>
      </c>
      <c r="I11" s="98" t="s">
        <v>1103</v>
      </c>
      <c r="J11" s="98" t="s">
        <v>1104</v>
      </c>
      <c r="K11" s="98" t="s">
        <v>1105</v>
      </c>
      <c r="L11" s="98" t="s">
        <v>1106</v>
      </c>
      <c r="M11" s="207" t="s">
        <v>1107</v>
      </c>
      <c r="N11" s="218"/>
      <c r="O11" s="218"/>
      <c r="P11" s="218"/>
      <c r="Q11" s="219"/>
    </row>
    <row r="15" spans="1:27" customFormat="1" ht="14.5">
      <c r="A15" t="s">
        <v>452</v>
      </c>
      <c r="B15" t="s">
        <v>104</v>
      </c>
      <c r="C15" t="s">
        <v>105</v>
      </c>
      <c r="D15" s="295" t="s">
        <v>451</v>
      </c>
      <c r="E15" s="14" t="s">
        <v>283</v>
      </c>
      <c r="F15" s="14" t="s">
        <v>285</v>
      </c>
      <c r="G15" s="14" t="s">
        <v>286</v>
      </c>
      <c r="H15" s="14" t="s">
        <v>287</v>
      </c>
      <c r="I15" s="14" t="s">
        <v>288</v>
      </c>
      <c r="J15" s="14" t="s">
        <v>289</v>
      </c>
      <c r="K15" s="14" t="s">
        <v>290</v>
      </c>
      <c r="L15" s="14" t="s">
        <v>292</v>
      </c>
      <c r="M15" s="14" t="s">
        <v>293</v>
      </c>
    </row>
    <row r="16" spans="1:27" ht="14.5">
      <c r="A16" t="s">
        <v>545</v>
      </c>
      <c r="B16" s="15" t="s">
        <v>104</v>
      </c>
      <c r="C16" s="15" t="str">
        <f>HYPERLINK("01-组织级\02-组织工作库\05-OT培训库\01_公司级培训\03_2022年培训计划\02_年度培训计划\2022培训课程表(ORG_OT_TraininCNSchedule)V1.0-engl.xlsx", "engl")</f>
        <v>engl</v>
      </c>
      <c r="D16"/>
      <c r="E16" t="s">
        <v>435</v>
      </c>
      <c r="F16" t="s">
        <v>435</v>
      </c>
      <c r="G16"/>
      <c r="H16" t="s">
        <v>435</v>
      </c>
      <c r="I16"/>
      <c r="J16" t="s">
        <v>435</v>
      </c>
      <c r="K16"/>
      <c r="L16"/>
      <c r="M16"/>
      <c r="N16"/>
      <c r="O16"/>
      <c r="P16"/>
      <c r="Q16"/>
      <c r="R16"/>
      <c r="S16"/>
      <c r="T16"/>
      <c r="U16"/>
      <c r="V16"/>
      <c r="W16"/>
      <c r="X16"/>
      <c r="Y16"/>
      <c r="Z16"/>
      <c r="AA16"/>
    </row>
    <row r="17" spans="1:27" ht="14.5">
      <c r="A17" t="s">
        <v>545</v>
      </c>
      <c r="B17" s="15" t="s">
        <v>104</v>
      </c>
      <c r="C17"/>
      <c r="D17"/>
      <c r="E17" t="s">
        <v>435</v>
      </c>
      <c r="F17"/>
      <c r="G17"/>
      <c r="H17"/>
      <c r="I17"/>
      <c r="J17"/>
      <c r="K17"/>
      <c r="L17"/>
      <c r="M17"/>
      <c r="N17"/>
      <c r="O17"/>
      <c r="P17"/>
      <c r="Q17"/>
      <c r="R17"/>
      <c r="S17"/>
      <c r="T17"/>
      <c r="U17"/>
      <c r="V17"/>
      <c r="W17"/>
      <c r="X17"/>
      <c r="Y17"/>
      <c r="Z17"/>
      <c r="AA17"/>
    </row>
    <row r="18" spans="1:27" ht="14.5">
      <c r="A18" t="s">
        <v>545</v>
      </c>
      <c r="B18" s="15" t="s">
        <v>104</v>
      </c>
      <c r="C18"/>
      <c r="D18"/>
      <c r="E18" t="s">
        <v>435</v>
      </c>
      <c r="F18"/>
      <c r="G18"/>
      <c r="H18"/>
      <c r="I18"/>
      <c r="J18"/>
      <c r="K18"/>
      <c r="L18"/>
      <c r="M18"/>
      <c r="N18"/>
      <c r="O18"/>
      <c r="P18"/>
      <c r="Q18"/>
      <c r="R18"/>
      <c r="S18"/>
      <c r="T18"/>
      <c r="U18"/>
      <c r="V18"/>
      <c r="W18"/>
      <c r="X18"/>
      <c r="Y18"/>
      <c r="Z18"/>
      <c r="AA18"/>
    </row>
    <row r="19" spans="1:27" ht="14.5">
      <c r="A19" t="s">
        <v>545</v>
      </c>
      <c r="B19" s="15" t="s">
        <v>104</v>
      </c>
      <c r="C19" s="15" t="str">
        <f>HYPERLINK("01-组织级\02-组织工作库\05-OT培训库\01_公司级培训\03_2022年培训计划\01_培训需求调研\培训需求调研表(ORG_OT_TrainingReqDevTable)V1.1-engl.xlsx", "engl")</f>
        <v>engl</v>
      </c>
      <c r="D19"/>
      <c r="E19"/>
      <c r="F19" t="s">
        <v>435</v>
      </c>
      <c r="G19"/>
      <c r="H19"/>
      <c r="I19"/>
      <c r="J19"/>
      <c r="K19"/>
      <c r="L19"/>
      <c r="M19"/>
      <c r="N19"/>
      <c r="O19"/>
      <c r="P19"/>
      <c r="Q19"/>
      <c r="R19"/>
      <c r="S19"/>
      <c r="T19"/>
      <c r="U19"/>
      <c r="V19"/>
      <c r="W19"/>
      <c r="X19"/>
      <c r="Y19"/>
      <c r="Z19"/>
      <c r="AA19"/>
    </row>
    <row r="20" spans="1:27" ht="14.5">
      <c r="A20" t="s">
        <v>545</v>
      </c>
      <c r="B20" s="15" t="s">
        <v>104</v>
      </c>
      <c r="C20" s="15" t="str">
        <f>HYPERLINK("01-组织级\02-组织工作库\05-OT培训库\04_内部培训讲师培训\06_学员考核评价表\培训内部讲师培训(ORG-OT-TrainingEVVuationlist)V1.0-engl.xlsx", "engl")</f>
        <v>engl</v>
      </c>
      <c r="D20"/>
      <c r="E20"/>
      <c r="F20"/>
      <c r="G20" t="s">
        <v>435</v>
      </c>
      <c r="H20"/>
      <c r="I20" t="s">
        <v>435</v>
      </c>
      <c r="J20"/>
      <c r="K20" t="s">
        <v>435</v>
      </c>
      <c r="L20" t="s">
        <v>435</v>
      </c>
      <c r="M20"/>
      <c r="N20"/>
      <c r="O20"/>
      <c r="P20"/>
      <c r="Q20"/>
      <c r="R20"/>
      <c r="S20"/>
      <c r="T20"/>
      <c r="U20"/>
      <c r="V20"/>
      <c r="W20"/>
      <c r="X20"/>
      <c r="Y20"/>
      <c r="Z20"/>
      <c r="AA20"/>
    </row>
    <row r="21" spans="1:27" ht="14.5">
      <c r="A21" t="s">
        <v>545</v>
      </c>
      <c r="B21" s="15" t="s">
        <v>104</v>
      </c>
      <c r="C21" s="15" t="str">
        <f>HYPERLINK("01-组织级\02-组织工作库\05-OT培训库\02_人力资源库\01_员工信息\员工---岗位知识技能矩阵-engl.xlsx", "engl")</f>
        <v>engl</v>
      </c>
      <c r="D21"/>
      <c r="E21"/>
      <c r="F21"/>
      <c r="G21" t="s">
        <v>435</v>
      </c>
      <c r="H21"/>
      <c r="I21" t="s">
        <v>435</v>
      </c>
      <c r="J21"/>
      <c r="K21"/>
      <c r="L21"/>
      <c r="M21"/>
      <c r="N21"/>
      <c r="O21"/>
      <c r="P21"/>
      <c r="Q21"/>
      <c r="R21"/>
      <c r="S21"/>
      <c r="T21"/>
      <c r="U21"/>
      <c r="V21"/>
      <c r="W21"/>
      <c r="X21"/>
      <c r="Y21"/>
      <c r="Z21"/>
      <c r="AA21"/>
    </row>
    <row r="22" spans="1:27" ht="14.5">
      <c r="A22" t="s">
        <v>545</v>
      </c>
      <c r="B22" s="15" t="s">
        <v>104</v>
      </c>
      <c r="C22" s="15" t="str">
        <f>HYPERLINK("01-组织级\02-组织工作库\05-OT培训库\02_人力资源库\01_员工信息\员工技术及工作经历一览表(ORG_OT_Skills and Experience List)V1.0-engl.xlsx", "engl")</f>
        <v>engl</v>
      </c>
      <c r="D22"/>
      <c r="E22"/>
      <c r="F22"/>
      <c r="G22" t="s">
        <v>435</v>
      </c>
      <c r="H22"/>
      <c r="I22" t="s">
        <v>435</v>
      </c>
      <c r="J22"/>
      <c r="K22"/>
      <c r="L22"/>
      <c r="M22"/>
      <c r="N22"/>
      <c r="O22"/>
      <c r="P22"/>
      <c r="Q22"/>
      <c r="R22"/>
      <c r="S22"/>
      <c r="T22"/>
      <c r="U22"/>
      <c r="V22"/>
      <c r="W22"/>
      <c r="X22"/>
      <c r="Y22"/>
      <c r="Z22"/>
      <c r="AA22"/>
    </row>
    <row r="23" spans="1:27" ht="14.5">
      <c r="A23" t="s">
        <v>545</v>
      </c>
      <c r="B23" s="15" t="s">
        <v>104</v>
      </c>
      <c r="C23" s="15" t="str">
        <f>HYPERLINK("01-组织级\02-组织工作库\05-OT培训库\02_人力资源库\02_岗位职责\岗位职责说明书(ORG-OT-T01)V1.0-engl.xlsx", "engl")</f>
        <v>engl</v>
      </c>
      <c r="D23"/>
      <c r="E23"/>
      <c r="F23"/>
      <c r="G23" t="s">
        <v>435</v>
      </c>
      <c r="H23"/>
      <c r="I23"/>
      <c r="J23"/>
      <c r="K23"/>
      <c r="L23"/>
      <c r="M23"/>
      <c r="N23"/>
      <c r="O23"/>
      <c r="P23"/>
      <c r="Q23"/>
      <c r="R23"/>
      <c r="S23"/>
      <c r="T23"/>
      <c r="U23"/>
      <c r="V23"/>
      <c r="W23"/>
      <c r="X23"/>
      <c r="Y23"/>
      <c r="Z23"/>
      <c r="AA23"/>
    </row>
    <row r="24" spans="1:27" ht="14.5">
      <c r="A24" t="s">
        <v>545</v>
      </c>
      <c r="B24" s="15" t="s">
        <v>104</v>
      </c>
      <c r="C24" s="15" t="str">
        <f>HYPERLINK("01-组织级\02-组织工作库\05-OT培训库\01_公司级培训\01_公司战略培训规划\公司战略培训规划(ORG_OT_FutureTraining)V1.0-engl.docx", "engl")</f>
        <v>engl</v>
      </c>
      <c r="D24"/>
      <c r="E24"/>
      <c r="F24"/>
      <c r="G24"/>
      <c r="H24"/>
      <c r="I24"/>
      <c r="J24" t="s">
        <v>435</v>
      </c>
      <c r="K24"/>
      <c r="L24"/>
      <c r="M24"/>
      <c r="N24"/>
      <c r="O24"/>
      <c r="P24"/>
      <c r="Q24"/>
      <c r="R24"/>
      <c r="S24"/>
      <c r="T24"/>
      <c r="U24"/>
      <c r="V24"/>
      <c r="W24"/>
      <c r="X24"/>
      <c r="Y24"/>
      <c r="Z24"/>
      <c r="AA24"/>
    </row>
    <row r="25" spans="1:27" ht="14.5">
      <c r="A25" t="s">
        <v>545</v>
      </c>
      <c r="B25" s="15" t="s">
        <v>104</v>
      </c>
      <c r="C25" s="15" t="str">
        <f>HYPERLINK("01-组织级\02-组织工作库\05-OT培训库\01_公司级培训\03_2022年培训计划\02_年度培训计划\OT-组织培训计划评审记录2022-engl.xlsx", "engl")</f>
        <v>engl</v>
      </c>
      <c r="D25"/>
      <c r="E25"/>
      <c r="F25"/>
      <c r="G25"/>
      <c r="H25"/>
      <c r="I25"/>
      <c r="J25"/>
      <c r="K25"/>
      <c r="L25" t="s">
        <v>435</v>
      </c>
      <c r="M25"/>
      <c r="N25"/>
      <c r="O25"/>
      <c r="P25"/>
      <c r="Q25"/>
      <c r="R25"/>
      <c r="S25"/>
      <c r="T25"/>
      <c r="U25"/>
      <c r="V25"/>
      <c r="W25"/>
      <c r="X25"/>
      <c r="Y25"/>
      <c r="Z25"/>
      <c r="AA25"/>
    </row>
    <row r="26" spans="1:27" ht="14.5">
      <c r="A26" t="s">
        <v>545</v>
      </c>
      <c r="B26" s="15" t="s">
        <v>104</v>
      </c>
      <c r="C26"/>
      <c r="D26"/>
      <c r="E26"/>
      <c r="F26"/>
      <c r="G26"/>
      <c r="H26"/>
      <c r="I26"/>
      <c r="J26"/>
      <c r="K26"/>
      <c r="L26"/>
      <c r="M26" t="s">
        <v>435</v>
      </c>
      <c r="N26"/>
      <c r="O26"/>
      <c r="P26"/>
      <c r="Q26"/>
      <c r="R26"/>
      <c r="S26"/>
      <c r="T26"/>
      <c r="U26"/>
      <c r="V26"/>
      <c r="W26"/>
      <c r="X26"/>
      <c r="Y26"/>
      <c r="Z26"/>
      <c r="AA26"/>
    </row>
    <row r="27" spans="1:27" ht="14.5">
      <c r="A27"/>
      <c r="B27"/>
      <c r="C27"/>
      <c r="D27"/>
      <c r="E27"/>
      <c r="F27"/>
      <c r="G27"/>
      <c r="H27"/>
      <c r="I27"/>
      <c r="J27"/>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44.36328125" style="118" bestFit="1" customWidth="1"/>
    <col min="2" max="4" width="7.90625" style="118" customWidth="1"/>
    <col min="5" max="6" width="15.6328125" style="118" customWidth="1"/>
    <col min="7" max="14" width="15.6328125" style="136" customWidth="1"/>
    <col min="15" max="15" width="85.36328125" style="136" customWidth="1"/>
    <col min="16" max="16" width="3.6328125" style="136" customWidth="1"/>
    <col min="17" max="17" width="32.36328125" style="136" bestFit="1" customWidth="1"/>
    <col min="18" max="18" width="75.54296875" style="130" customWidth="1"/>
    <col min="19" max="19" width="8.6328125" style="136"/>
    <col min="20" max="16384" width="8.6328125" style="118"/>
  </cols>
  <sheetData>
    <row r="1" spans="1:27" s="139" customFormat="1" ht="18.5">
      <c r="A1" s="105" t="s">
        <v>1108</v>
      </c>
      <c r="B1" s="105"/>
      <c r="C1" s="105"/>
      <c r="D1" s="105"/>
      <c r="E1" s="106"/>
      <c r="F1" s="107"/>
      <c r="G1" s="136"/>
      <c r="H1" s="136"/>
      <c r="I1" s="136"/>
      <c r="J1" s="136"/>
      <c r="K1" s="136"/>
      <c r="L1" s="136"/>
      <c r="M1" s="136"/>
      <c r="N1" s="136"/>
      <c r="O1" s="136"/>
      <c r="P1" s="136"/>
      <c r="Q1" s="136"/>
      <c r="R1" s="130"/>
      <c r="S1" s="136"/>
    </row>
    <row r="2" spans="1:27" s="138" customFormat="1">
      <c r="A2" s="110" t="s">
        <v>456</v>
      </c>
      <c r="B2" s="110"/>
      <c r="C2" s="110"/>
      <c r="D2" s="110"/>
      <c r="E2" s="123" t="s">
        <v>303</v>
      </c>
      <c r="F2" s="123"/>
      <c r="G2" s="123"/>
      <c r="H2" s="136"/>
      <c r="I2" s="136"/>
      <c r="J2" s="136"/>
      <c r="K2" s="136"/>
      <c r="L2" s="136"/>
      <c r="M2" s="136"/>
      <c r="N2" s="136"/>
      <c r="O2" s="136"/>
      <c r="P2" s="136"/>
      <c r="Q2" s="136"/>
      <c r="R2" s="130"/>
      <c r="S2" s="136"/>
    </row>
    <row r="3" spans="1:27" s="139" customFormat="1">
      <c r="A3" s="107" t="s">
        <v>457</v>
      </c>
      <c r="B3" s="107"/>
      <c r="C3" s="107"/>
      <c r="D3" s="107"/>
      <c r="E3" s="123" t="s">
        <v>304</v>
      </c>
      <c r="F3" s="123"/>
      <c r="G3" s="123"/>
      <c r="H3" s="136"/>
      <c r="I3" s="136"/>
      <c r="J3" s="136"/>
      <c r="K3" s="136"/>
      <c r="L3" s="136"/>
      <c r="M3" s="136"/>
      <c r="N3" s="136"/>
      <c r="O3" s="136"/>
      <c r="P3" s="136"/>
      <c r="Q3" s="136"/>
      <c r="R3" s="130"/>
      <c r="S3" s="136"/>
    </row>
    <row r="4" spans="1:27" s="139" customFormat="1">
      <c r="A4" s="111"/>
      <c r="B4" s="111"/>
      <c r="C4" s="111"/>
      <c r="D4" s="111"/>
      <c r="E4" s="112" t="s">
        <v>47</v>
      </c>
      <c r="F4" s="149"/>
      <c r="G4" s="113" t="s">
        <v>54</v>
      </c>
      <c r="H4" s="114"/>
      <c r="I4" s="113"/>
      <c r="J4" s="115"/>
      <c r="K4" s="116" t="s">
        <v>56</v>
      </c>
      <c r="L4" s="116"/>
      <c r="M4" s="116"/>
      <c r="N4" s="116"/>
      <c r="O4" s="107"/>
      <c r="P4" s="107"/>
      <c r="Q4" s="107"/>
      <c r="R4" s="107"/>
      <c r="S4" s="107"/>
      <c r="T4" s="110"/>
    </row>
    <row r="5" spans="1:27" s="139" customFormat="1">
      <c r="A5" s="118"/>
      <c r="B5" s="118"/>
      <c r="C5" s="118"/>
      <c r="D5" s="118"/>
      <c r="E5" s="119" t="s">
        <v>548</v>
      </c>
      <c r="F5" s="149"/>
      <c r="G5" s="120" t="s">
        <v>549</v>
      </c>
      <c r="H5" s="114"/>
      <c r="I5" s="120"/>
      <c r="J5" s="115"/>
      <c r="K5" s="116" t="s">
        <v>550</v>
      </c>
      <c r="L5" s="169"/>
      <c r="M5" s="116"/>
      <c r="N5" s="121"/>
      <c r="O5" s="108"/>
      <c r="P5" s="108"/>
      <c r="Q5" s="108"/>
      <c r="R5" s="220"/>
      <c r="S5" s="107"/>
      <c r="T5" s="110"/>
    </row>
    <row r="6" spans="1:27" s="138" customFormat="1">
      <c r="A6" s="221"/>
      <c r="B6" s="221"/>
      <c r="C6" s="221"/>
      <c r="D6" s="221"/>
      <c r="E6" s="222" t="s">
        <v>305</v>
      </c>
      <c r="F6" s="222" t="s">
        <v>306</v>
      </c>
      <c r="G6" s="223" t="s">
        <v>307</v>
      </c>
      <c r="H6" s="223" t="s">
        <v>308</v>
      </c>
      <c r="I6" s="223" t="s">
        <v>309</v>
      </c>
      <c r="J6" s="223" t="s">
        <v>310</v>
      </c>
      <c r="K6" s="224" t="s">
        <v>311</v>
      </c>
      <c r="L6" s="224" t="s">
        <v>312</v>
      </c>
      <c r="M6" s="224" t="s">
        <v>313</v>
      </c>
      <c r="N6" s="225" t="s">
        <v>315</v>
      </c>
      <c r="O6" s="226"/>
      <c r="P6" s="226"/>
      <c r="Q6" s="226"/>
      <c r="R6" s="368"/>
      <c r="S6" s="368"/>
      <c r="T6" s="368"/>
    </row>
    <row r="7" spans="1:27" s="138" customFormat="1" ht="91">
      <c r="A7" s="227" t="s">
        <v>652</v>
      </c>
      <c r="B7" s="227"/>
      <c r="C7" s="227"/>
      <c r="D7" s="227"/>
      <c r="E7" s="228" t="s">
        <v>1109</v>
      </c>
      <c r="F7" s="228" t="s">
        <v>1110</v>
      </c>
      <c r="G7" s="228" t="s">
        <v>1111</v>
      </c>
      <c r="H7" s="228" t="s">
        <v>1112</v>
      </c>
      <c r="I7" s="228" t="s">
        <v>1113</v>
      </c>
      <c r="J7" s="228" t="s">
        <v>1114</v>
      </c>
      <c r="K7" s="228" t="s">
        <v>1115</v>
      </c>
      <c r="L7" s="228" t="s">
        <v>1116</v>
      </c>
      <c r="M7" s="228" t="s">
        <v>1117</v>
      </c>
      <c r="N7" s="228" t="s">
        <v>1118</v>
      </c>
      <c r="O7" s="226"/>
      <c r="P7" s="226"/>
      <c r="Q7" s="226"/>
      <c r="S7" s="229"/>
    </row>
    <row r="8" spans="1:27" s="138" customFormat="1" ht="115.5">
      <c r="A8" s="221" t="s">
        <v>562</v>
      </c>
      <c r="B8" s="221"/>
      <c r="C8" s="221"/>
      <c r="D8" s="221"/>
      <c r="E8" s="230" t="s">
        <v>1119</v>
      </c>
      <c r="F8" s="230" t="s">
        <v>1120</v>
      </c>
      <c r="G8" s="230" t="s">
        <v>1121</v>
      </c>
      <c r="H8" s="230" t="s">
        <v>1122</v>
      </c>
      <c r="I8" s="230" t="s">
        <v>1123</v>
      </c>
      <c r="J8" s="230" t="s">
        <v>1124</v>
      </c>
      <c r="K8" s="230" t="s">
        <v>1125</v>
      </c>
      <c r="L8" s="230" t="s">
        <v>1126</v>
      </c>
      <c r="M8" s="230" t="s">
        <v>1127</v>
      </c>
      <c r="N8" s="230" t="s">
        <v>1128</v>
      </c>
      <c r="O8" s="231"/>
      <c r="P8" s="231"/>
      <c r="Q8" s="232"/>
      <c r="S8" s="229"/>
    </row>
    <row r="9" spans="1:27" s="138" customFormat="1" ht="191.4" customHeight="1" thickBot="1">
      <c r="A9" s="221" t="s">
        <v>96</v>
      </c>
      <c r="B9" s="221"/>
      <c r="C9" s="221"/>
      <c r="D9" s="221"/>
      <c r="E9" s="233" t="s">
        <v>1129</v>
      </c>
      <c r="F9" s="233" t="s">
        <v>1130</v>
      </c>
      <c r="G9" s="233" t="s">
        <v>1131</v>
      </c>
      <c r="H9" s="233" t="s">
        <v>1132</v>
      </c>
      <c r="I9" s="233" t="s">
        <v>1133</v>
      </c>
      <c r="J9" s="234" t="s">
        <v>1134</v>
      </c>
      <c r="K9" s="234" t="s">
        <v>1135</v>
      </c>
      <c r="L9" s="233" t="s">
        <v>1136</v>
      </c>
      <c r="M9" s="233" t="s">
        <v>1137</v>
      </c>
      <c r="N9" s="233" t="s">
        <v>1138</v>
      </c>
      <c r="O9" s="235"/>
      <c r="P9" s="235"/>
      <c r="Q9" s="235"/>
      <c r="S9" s="229"/>
    </row>
    <row r="10" spans="1:27" s="138" customFormat="1" ht="96.5" thickBot="1">
      <c r="A10" s="122" t="s">
        <v>583</v>
      </c>
      <c r="B10" s="171"/>
      <c r="C10" s="171"/>
      <c r="D10" s="171"/>
      <c r="E10" s="236"/>
      <c r="F10" s="236" t="s">
        <v>1139</v>
      </c>
      <c r="G10" s="237" t="s">
        <v>1140</v>
      </c>
      <c r="H10" s="237" t="s">
        <v>1141</v>
      </c>
      <c r="I10" s="237" t="s">
        <v>1142</v>
      </c>
      <c r="J10" s="237" t="s">
        <v>1143</v>
      </c>
      <c r="K10" s="237" t="s">
        <v>1144</v>
      </c>
      <c r="L10" s="237" t="s">
        <v>1145</v>
      </c>
      <c r="M10" s="237" t="s">
        <v>1146</v>
      </c>
      <c r="N10" s="237" t="s">
        <v>1147</v>
      </c>
      <c r="O10" s="232"/>
      <c r="P10" s="232"/>
      <c r="Q10" s="232"/>
      <c r="S10" s="229"/>
    </row>
    <row r="11" spans="1:27" s="138" customFormat="1" ht="48">
      <c r="A11" s="238" t="s">
        <v>85</v>
      </c>
      <c r="B11" s="238"/>
      <c r="C11" s="238"/>
      <c r="D11" s="238"/>
      <c r="E11" s="236"/>
      <c r="F11" s="236" t="s">
        <v>1148</v>
      </c>
      <c r="G11" s="237" t="s">
        <v>1149</v>
      </c>
      <c r="H11" s="237" t="s">
        <v>1150</v>
      </c>
      <c r="I11" s="237" t="s">
        <v>1151</v>
      </c>
      <c r="J11" s="237" t="s">
        <v>1152</v>
      </c>
      <c r="K11" s="237" t="s">
        <v>1153</v>
      </c>
      <c r="L11" s="237" t="s">
        <v>1154</v>
      </c>
      <c r="M11" s="237" t="s">
        <v>1155</v>
      </c>
      <c r="N11" s="237" t="s">
        <v>1156</v>
      </c>
      <c r="O11" s="232"/>
      <c r="P11" s="232"/>
      <c r="Q11" s="232"/>
      <c r="R11" s="229"/>
      <c r="S11" s="229"/>
    </row>
    <row r="12" spans="1:27" s="138" customFormat="1" ht="15" customHeight="1"/>
    <row r="13" spans="1:27" s="138" customFormat="1" ht="15" customHeight="1"/>
    <row r="14" spans="1:27" s="138" customFormat="1" ht="15" customHeight="1"/>
    <row r="15" spans="1:27" customFormat="1" ht="14.5">
      <c r="A15" t="s">
        <v>452</v>
      </c>
      <c r="B15" t="s">
        <v>104</v>
      </c>
      <c r="C15" t="s">
        <v>105</v>
      </c>
      <c r="D15" t="s">
        <v>451</v>
      </c>
      <c r="E15" s="14" t="s">
        <v>305</v>
      </c>
      <c r="F15" s="14" t="s">
        <v>306</v>
      </c>
      <c r="G15" s="14" t="s">
        <v>307</v>
      </c>
      <c r="H15" s="14" t="s">
        <v>308</v>
      </c>
      <c r="I15" s="14" t="s">
        <v>309</v>
      </c>
      <c r="J15" s="14" t="s">
        <v>310</v>
      </c>
      <c r="K15" s="14" t="s">
        <v>311</v>
      </c>
      <c r="L15" s="14" t="s">
        <v>312</v>
      </c>
      <c r="M15" s="14" t="s">
        <v>313</v>
      </c>
      <c r="N15" s="14" t="s">
        <v>315</v>
      </c>
    </row>
    <row r="16" spans="1:27" s="138" customFormat="1" ht="15" customHeight="1">
      <c r="A16" t="s">
        <v>545</v>
      </c>
      <c r="B16" s="15" t="s">
        <v>104</v>
      </c>
      <c r="C16" s="15" t="str">
        <f>HYPERLINK("02-项目级\P2-Qcubic to MySQL数据同步工具 V1.0\01-生存周期\03-项目策划\03-项目计划书 (QCUBIC-SJTB-PLAN-Plan)V1.0-engl.docx", "engl")</f>
        <v>engl</v>
      </c>
      <c r="D16"/>
      <c r="E16" t="s">
        <v>435</v>
      </c>
      <c r="F16"/>
      <c r="G16"/>
      <c r="H16"/>
      <c r="I16"/>
      <c r="J16"/>
      <c r="K16" t="s">
        <v>435</v>
      </c>
      <c r="L16"/>
      <c r="M16"/>
      <c r="N16"/>
      <c r="O16"/>
      <c r="P16"/>
      <c r="Q16"/>
      <c r="R16"/>
      <c r="S16"/>
      <c r="T16"/>
      <c r="U16"/>
      <c r="V16"/>
      <c r="W16"/>
      <c r="X16"/>
      <c r="Y16"/>
      <c r="Z16"/>
      <c r="AA16"/>
    </row>
    <row r="17" spans="1:27" s="140" customFormat="1" ht="14.5">
      <c r="A17" t="s">
        <v>545</v>
      </c>
      <c r="B17" s="15" t="s">
        <v>104</v>
      </c>
      <c r="C17" s="15" t="str">
        <f>HYPERLINK("02-项目级\P2-Qcubic to MySQL数据同步工具 V1.0\02-全程管理\01-项目监控\02-项目周报(QCUBIC-SJTB-MC-weeklyrpt)v1.1-engl.xlsx", "engl")</f>
        <v>engl</v>
      </c>
      <c r="D17"/>
      <c r="E17" t="s">
        <v>435</v>
      </c>
      <c r="F17"/>
      <c r="G17" t="s">
        <v>435</v>
      </c>
      <c r="H17" t="s">
        <v>435</v>
      </c>
      <c r="I17" t="s">
        <v>435</v>
      </c>
      <c r="J17" t="s">
        <v>435</v>
      </c>
      <c r="K17" t="s">
        <v>435</v>
      </c>
      <c r="L17" t="s">
        <v>435</v>
      </c>
      <c r="M17" t="s">
        <v>435</v>
      </c>
      <c r="N17" t="s">
        <v>435</v>
      </c>
      <c r="O17"/>
      <c r="P17"/>
      <c r="Q17"/>
      <c r="R17"/>
      <c r="S17"/>
      <c r="T17"/>
      <c r="U17"/>
      <c r="V17"/>
      <c r="W17"/>
      <c r="X17"/>
      <c r="Y17"/>
      <c r="Z17"/>
      <c r="AA17"/>
    </row>
    <row r="18" spans="1:27" s="140" customFormat="1" ht="14.5">
      <c r="A18" t="s">
        <v>545</v>
      </c>
      <c r="B18" s="15" t="s">
        <v>104</v>
      </c>
      <c r="C18" s="15" t="str">
        <f>HYPERLINK("02-项目级\P2-Qcubic to MySQL数据同步工具 V1.0\02-全程管理\01-项目监控\04-里程碑状态报告\01-策划里程碑状态报告(QCUBIC-SJTB-MC-PlanMilestoneRpt)V1.0-engl.docx", "engl")</f>
        <v>engl</v>
      </c>
      <c r="D18"/>
      <c r="E18" t="s">
        <v>435</v>
      </c>
      <c r="F18"/>
      <c r="G18" t="s">
        <v>435</v>
      </c>
      <c r="H18" t="s">
        <v>435</v>
      </c>
      <c r="I18" t="s">
        <v>435</v>
      </c>
      <c r="J18" t="s">
        <v>435</v>
      </c>
      <c r="K18" t="s">
        <v>435</v>
      </c>
      <c r="L18" t="s">
        <v>435</v>
      </c>
      <c r="M18" t="s">
        <v>435</v>
      </c>
      <c r="N18" t="s">
        <v>435</v>
      </c>
      <c r="O18"/>
      <c r="P18"/>
      <c r="Q18"/>
      <c r="R18"/>
      <c r="S18"/>
      <c r="T18"/>
      <c r="U18"/>
      <c r="V18"/>
      <c r="W18"/>
      <c r="X18"/>
      <c r="Y18"/>
      <c r="Z18"/>
      <c r="AA18"/>
    </row>
    <row r="19" spans="1:27" s="140" customFormat="1" ht="14.5">
      <c r="A19" t="s">
        <v>545</v>
      </c>
      <c r="B19" s="15" t="s">
        <v>104</v>
      </c>
      <c r="C19" s="15" t="str">
        <f>HYPERLINK("02-项目级\P2-Qcubic to MySQL数据同步工具 V1.0\02-全程管理\01-项目监控\04-里程碑状态报告\02-需求里程碑状态报告(QCUBIC-SJTB-MC-RDMilestoneRpt)V1.1-engl.docx", "engl")</f>
        <v>engl</v>
      </c>
      <c r="D19"/>
      <c r="E19" t="s">
        <v>435</v>
      </c>
      <c r="F19"/>
      <c r="G19" t="s">
        <v>435</v>
      </c>
      <c r="H19" t="s">
        <v>435</v>
      </c>
      <c r="I19" t="s">
        <v>435</v>
      </c>
      <c r="J19" t="s">
        <v>435</v>
      </c>
      <c r="K19" t="s">
        <v>435</v>
      </c>
      <c r="L19" t="s">
        <v>435</v>
      </c>
      <c r="M19" t="s">
        <v>435</v>
      </c>
      <c r="N19" t="s">
        <v>435</v>
      </c>
      <c r="O19"/>
      <c r="P19"/>
      <c r="Q19"/>
      <c r="R19"/>
      <c r="S19"/>
      <c r="T19"/>
      <c r="U19"/>
      <c r="V19"/>
      <c r="W19"/>
      <c r="X19"/>
      <c r="Y19"/>
      <c r="Z19"/>
      <c r="AA19"/>
    </row>
    <row r="20" spans="1:27" s="140" customFormat="1" ht="14.5">
      <c r="A20" t="s">
        <v>545</v>
      </c>
      <c r="B20" s="15" t="s">
        <v>104</v>
      </c>
      <c r="C20" s="15" t="str">
        <f>HYPERLINK("02-项目级\P2-Qcubic to MySQL数据同步工具 V1.0\02-全程管理\01-项目监控\04-里程碑状态报告\03-设计里程碑状态报告(QCUBIC-SJTB-MC-DesMilestoneRpt)V1.0-engl.docx", "engl")</f>
        <v>engl</v>
      </c>
      <c r="D20"/>
      <c r="E20" t="s">
        <v>435</v>
      </c>
      <c r="F20"/>
      <c r="G20" t="s">
        <v>435</v>
      </c>
      <c r="H20" t="s">
        <v>435</v>
      </c>
      <c r="I20" t="s">
        <v>435</v>
      </c>
      <c r="J20" t="s">
        <v>435</v>
      </c>
      <c r="K20" t="s">
        <v>435</v>
      </c>
      <c r="L20" t="s">
        <v>435</v>
      </c>
      <c r="M20" t="s">
        <v>435</v>
      </c>
      <c r="N20" t="s">
        <v>435</v>
      </c>
      <c r="O20"/>
      <c r="P20"/>
      <c r="Q20"/>
      <c r="R20"/>
      <c r="S20"/>
      <c r="T20"/>
      <c r="U20"/>
      <c r="V20"/>
      <c r="W20"/>
      <c r="X20"/>
      <c r="Y20"/>
      <c r="Z20"/>
      <c r="AA20"/>
    </row>
    <row r="21" spans="1:27" s="140" customFormat="1" ht="14.5">
      <c r="A21" t="s">
        <v>545</v>
      </c>
      <c r="B21" s="15" t="s">
        <v>104</v>
      </c>
      <c r="C21" s="15" t="str">
        <f>HYPERLINK("02-项目级\P2-Qcubic to MySQL数据同步工具 V1.0\02-全程管理\01-项目监控\04-里程碑状态报告\04-编码里程碑状态报告(QCUBIC-SJTB-MC-CodingMilestoneRpt)V1.0-engl.docx", "engl")</f>
        <v>engl</v>
      </c>
      <c r="D21"/>
      <c r="E21" t="s">
        <v>435</v>
      </c>
      <c r="F21"/>
      <c r="G21" t="s">
        <v>435</v>
      </c>
      <c r="H21" t="s">
        <v>435</v>
      </c>
      <c r="I21" t="s">
        <v>435</v>
      </c>
      <c r="J21" t="s">
        <v>435</v>
      </c>
      <c r="K21" t="s">
        <v>435</v>
      </c>
      <c r="L21" t="s">
        <v>435</v>
      </c>
      <c r="M21" t="s">
        <v>435</v>
      </c>
      <c r="N21" t="s">
        <v>435</v>
      </c>
      <c r="O21"/>
      <c r="P21"/>
      <c r="Q21"/>
      <c r="R21"/>
      <c r="S21"/>
      <c r="T21"/>
      <c r="U21"/>
      <c r="V21"/>
      <c r="W21"/>
      <c r="X21"/>
      <c r="Y21"/>
      <c r="Z21"/>
      <c r="AA21"/>
    </row>
    <row r="22" spans="1:27" s="140" customFormat="1" ht="14.5">
      <c r="A22" t="s">
        <v>545</v>
      </c>
      <c r="B22" s="15" t="s">
        <v>104</v>
      </c>
      <c r="C22" s="15" t="str">
        <f>HYPERLINK("02-项目级\P2-Qcubic to MySQL数据同步工具 V1.0\02-全程管理\01-项目监控\04-里程碑状态报告\05-测试里程碑状态报告(QCUBIC-SJTB-MC-TestMilestoneRpt)V1.0-engl.docx", "engl")</f>
        <v>engl</v>
      </c>
      <c r="D22"/>
      <c r="E22" t="s">
        <v>435</v>
      </c>
      <c r="F22"/>
      <c r="G22" t="s">
        <v>435</v>
      </c>
      <c r="H22" t="s">
        <v>435</v>
      </c>
      <c r="I22" t="s">
        <v>435</v>
      </c>
      <c r="J22" t="s">
        <v>435</v>
      </c>
      <c r="K22" t="s">
        <v>435</v>
      </c>
      <c r="L22" t="s">
        <v>435</v>
      </c>
      <c r="M22" t="s">
        <v>435</v>
      </c>
      <c r="N22" t="s">
        <v>435</v>
      </c>
      <c r="O22"/>
      <c r="P22"/>
      <c r="Q22"/>
      <c r="R22"/>
      <c r="S22"/>
      <c r="T22"/>
      <c r="U22"/>
      <c r="V22"/>
      <c r="W22"/>
      <c r="X22"/>
      <c r="Y22"/>
      <c r="Z22"/>
      <c r="AA22"/>
    </row>
    <row r="23" spans="1:27" s="140" customFormat="1" ht="14.5">
      <c r="A23" t="s">
        <v>545</v>
      </c>
      <c r="B23" s="15" t="s">
        <v>104</v>
      </c>
      <c r="C23" s="15" t="str">
        <f>HYPERLINK("02-项目级\P2-Qcubic to MySQL数据同步工具 V1.0\02-全程管理\01-项目监控\04-里程碑状态报告\06-验收里程碑状态报告(QCUBIC-SJTB-MC-VVMilestoneRpt)V1.0-engl.docx", "engl")</f>
        <v>engl</v>
      </c>
      <c r="D23"/>
      <c r="E23" t="s">
        <v>435</v>
      </c>
      <c r="F23"/>
      <c r="G23" t="s">
        <v>435</v>
      </c>
      <c r="H23" t="s">
        <v>435</v>
      </c>
      <c r="I23" t="s">
        <v>435</v>
      </c>
      <c r="J23" t="s">
        <v>435</v>
      </c>
      <c r="K23" t="s">
        <v>435</v>
      </c>
      <c r="L23" t="s">
        <v>435</v>
      </c>
      <c r="M23" t="s">
        <v>435</v>
      </c>
      <c r="N23" t="s">
        <v>435</v>
      </c>
      <c r="O23"/>
      <c r="P23"/>
      <c r="Q23"/>
      <c r="R23"/>
      <c r="S23"/>
      <c r="T23"/>
      <c r="U23"/>
      <c r="V23"/>
      <c r="W23"/>
      <c r="X23"/>
      <c r="Y23"/>
      <c r="Z23"/>
      <c r="AA23"/>
    </row>
    <row r="24" spans="1:27" s="140" customFormat="1" ht="14.5">
      <c r="A24" t="s">
        <v>545</v>
      </c>
      <c r="B24" s="15" t="s">
        <v>104</v>
      </c>
      <c r="C24" s="15" t="str">
        <f>HYPERLINK("02-项目级\P2-Qcubic to MySQL数据同步工具 V1.0\02-全程管理\01-项目监控\01-问题管理表(QCUBIC-SJTB-MC-IssueList)V1.1-engl.xlsx", "engl")</f>
        <v>engl</v>
      </c>
      <c r="D24"/>
      <c r="E24"/>
      <c r="F24" t="s">
        <v>435</v>
      </c>
      <c r="G24"/>
      <c r="H24"/>
      <c r="I24"/>
      <c r="J24" t="s">
        <v>435</v>
      </c>
      <c r="K24" t="s">
        <v>435</v>
      </c>
      <c r="L24"/>
      <c r="M24"/>
      <c r="N24" t="s">
        <v>435</v>
      </c>
      <c r="O24"/>
      <c r="P24"/>
      <c r="Q24"/>
      <c r="R24"/>
      <c r="S24"/>
      <c r="T24"/>
      <c r="U24"/>
      <c r="V24"/>
      <c r="W24"/>
      <c r="X24"/>
      <c r="Y24"/>
      <c r="Z24"/>
      <c r="AA24"/>
    </row>
    <row r="25" spans="1:27" s="123" customFormat="1" ht="14.5">
      <c r="A25" t="s">
        <v>545</v>
      </c>
      <c r="B25" s="15" t="s">
        <v>104</v>
      </c>
      <c r="C25" s="15" t="str">
        <f>HYPERLINK("02-项目级\P2-Qcubic to MySQL数据同步工具 V1.0\02-全程管理\07-质量保证\01-质量保证计划(QCUBIC-SJTB-PQA-Plan)V1.0-engl.docx", "engl")</f>
        <v>engl</v>
      </c>
      <c r="D25"/>
      <c r="E25"/>
      <c r="F25" t="s">
        <v>435</v>
      </c>
      <c r="G25"/>
      <c r="H25"/>
      <c r="I25"/>
      <c r="J25"/>
      <c r="K25"/>
      <c r="L25"/>
      <c r="M25"/>
      <c r="N25"/>
      <c r="O25"/>
      <c r="P25"/>
      <c r="Q25"/>
      <c r="R25"/>
      <c r="S25"/>
      <c r="T25"/>
      <c r="U25"/>
      <c r="V25"/>
      <c r="W25"/>
      <c r="X25"/>
      <c r="Y25"/>
      <c r="Z25"/>
      <c r="AA25"/>
    </row>
    <row r="26" spans="1:27" s="123" customFormat="1" ht="14.5">
      <c r="A26" t="s">
        <v>545</v>
      </c>
      <c r="B26" s="15" t="s">
        <v>104</v>
      </c>
      <c r="C26" s="15" t="str">
        <f>HYPERLINK("02-项目级\P2-Qcubic to MySQL数据同步工具 V1.0\02-全程管理\08-配置管理\01-项目配置管理计划 (QCUBIC-SJTB-CM-Plan)V1.0-engl.docx", "engl")</f>
        <v>engl</v>
      </c>
      <c r="D26"/>
      <c r="E26"/>
      <c r="F26" t="s">
        <v>435</v>
      </c>
      <c r="G26"/>
      <c r="H26"/>
      <c r="I26"/>
      <c r="J26"/>
      <c r="K26"/>
      <c r="L26"/>
      <c r="M26"/>
      <c r="N26"/>
      <c r="O26"/>
      <c r="P26"/>
      <c r="Q26"/>
      <c r="R26"/>
      <c r="S26"/>
      <c r="T26"/>
      <c r="U26"/>
      <c r="V26"/>
      <c r="W26"/>
      <c r="X26"/>
      <c r="Y26"/>
      <c r="Z26"/>
      <c r="AA26"/>
    </row>
    <row r="27" spans="1:27" s="123" customFormat="1" ht="14.5">
      <c r="A27" t="s">
        <v>545</v>
      </c>
      <c r="B27" s="15" t="s">
        <v>104</v>
      </c>
      <c r="C27"/>
      <c r="D27"/>
      <c r="E27"/>
      <c r="F27"/>
      <c r="G27" t="s">
        <v>435</v>
      </c>
      <c r="H27"/>
      <c r="I27"/>
      <c r="J27"/>
      <c r="K27"/>
      <c r="L27" t="s">
        <v>435</v>
      </c>
      <c r="M27"/>
      <c r="N27"/>
      <c r="O27"/>
      <c r="P27"/>
      <c r="Q27"/>
      <c r="R27"/>
      <c r="S27"/>
      <c r="T27"/>
      <c r="U27"/>
      <c r="V27"/>
      <c r="W27"/>
      <c r="X27"/>
      <c r="Y27"/>
      <c r="Z27"/>
      <c r="AA27"/>
    </row>
    <row r="28" spans="1:27" s="140" customFormat="1" ht="14.5">
      <c r="A28" t="s">
        <v>545</v>
      </c>
      <c r="B28" s="15" t="s">
        <v>104</v>
      </c>
      <c r="C28" s="15" t="str">
        <f>HYPERLINK("02-项目级\P2-Qcubic to MySQL数据同步工具 V1.0\01-生存周期\03-项目策划\01-项目定义过程 (QCUBIC-SJTB-PLAN-PDP)V1.0-engl.xlsx", "engl")</f>
        <v>engl</v>
      </c>
      <c r="D28"/>
      <c r="E28"/>
      <c r="F28"/>
      <c r="G28"/>
      <c r="H28"/>
      <c r="I28"/>
      <c r="J28"/>
      <c r="K28" t="s">
        <v>435</v>
      </c>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7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40.6328125" style="107" customWidth="1"/>
    <col min="2" max="4" width="7.90625" style="107" customWidth="1"/>
    <col min="5" max="6" width="15.6328125" style="107" customWidth="1"/>
    <col min="7" max="17" width="15.6328125" style="108" customWidth="1"/>
    <col min="18" max="19" width="15.6328125" style="107" customWidth="1"/>
    <col min="20" max="20" width="71.08984375" style="107" customWidth="1"/>
    <col min="21" max="21" width="3.6328125" style="107" customWidth="1"/>
    <col min="22" max="22" width="30.08984375" style="107" customWidth="1"/>
    <col min="23" max="23" width="147.08984375" style="107" customWidth="1"/>
    <col min="24" max="25" width="18.6328125" style="107" customWidth="1"/>
    <col min="26" max="26" width="16.54296875" style="107" customWidth="1"/>
    <col min="27" max="16384" width="8.6328125" style="107"/>
  </cols>
  <sheetData>
    <row r="1" spans="1:27" s="110" customFormat="1" ht="18.5">
      <c r="A1" s="105" t="s">
        <v>1157</v>
      </c>
      <c r="B1" s="105"/>
      <c r="C1" s="105"/>
      <c r="D1" s="105"/>
      <c r="E1" s="106"/>
      <c r="F1" s="107"/>
      <c r="G1" s="108"/>
      <c r="H1" s="108"/>
      <c r="I1" s="108"/>
      <c r="J1" s="108"/>
      <c r="K1" s="108"/>
      <c r="L1" s="108"/>
      <c r="M1" s="108"/>
      <c r="N1" s="108"/>
      <c r="O1" s="108"/>
      <c r="P1" s="108"/>
      <c r="Q1" s="108"/>
    </row>
    <row r="2" spans="1:27" s="148" customFormat="1" ht="30" customHeight="1">
      <c r="A2" s="110" t="s">
        <v>456</v>
      </c>
      <c r="B2" s="110"/>
      <c r="C2" s="110"/>
      <c r="D2" s="110"/>
      <c r="E2" s="366" t="s">
        <v>1158</v>
      </c>
      <c r="F2" s="366"/>
      <c r="G2" s="366"/>
      <c r="H2" s="366"/>
      <c r="I2" s="366"/>
      <c r="J2" s="366"/>
      <c r="K2" s="366"/>
      <c r="L2" s="366"/>
      <c r="M2" s="366"/>
      <c r="N2" s="366"/>
      <c r="O2" s="366"/>
      <c r="P2" s="366"/>
      <c r="Q2" s="366"/>
    </row>
    <row r="3" spans="1:27" s="110" customFormat="1">
      <c r="A3" s="107" t="s">
        <v>457</v>
      </c>
      <c r="B3" s="107"/>
      <c r="C3" s="107"/>
      <c r="D3" s="107"/>
      <c r="E3" s="369" t="s">
        <v>317</v>
      </c>
      <c r="F3" s="369"/>
      <c r="G3" s="369"/>
      <c r="H3" s="369"/>
      <c r="I3" s="369"/>
      <c r="J3" s="369"/>
      <c r="K3" s="369"/>
      <c r="L3" s="369"/>
      <c r="M3" s="369"/>
      <c r="N3" s="369"/>
      <c r="O3" s="369"/>
      <c r="P3" s="369"/>
      <c r="Q3" s="369"/>
    </row>
    <row r="4" spans="1:27" s="110" customFormat="1">
      <c r="A4" s="111"/>
      <c r="B4" s="111"/>
      <c r="C4" s="111"/>
      <c r="D4" s="111"/>
      <c r="E4" s="112" t="s">
        <v>47</v>
      </c>
      <c r="F4" s="149"/>
      <c r="G4" s="113" t="s">
        <v>54</v>
      </c>
      <c r="H4" s="114"/>
      <c r="I4" s="113"/>
      <c r="J4" s="115"/>
      <c r="K4" s="115"/>
      <c r="L4" s="115"/>
      <c r="M4" s="113"/>
      <c r="N4" s="113"/>
      <c r="O4" s="116" t="s">
        <v>56</v>
      </c>
      <c r="P4" s="116"/>
      <c r="Q4" s="116"/>
      <c r="R4" s="150"/>
      <c r="S4" s="174" t="s">
        <v>57</v>
      </c>
      <c r="T4" s="118"/>
      <c r="U4" s="118"/>
      <c r="V4" s="118"/>
    </row>
    <row r="5" spans="1:27" s="110" customFormat="1">
      <c r="A5" s="118"/>
      <c r="B5" s="118"/>
      <c r="C5" s="118"/>
      <c r="D5" s="118"/>
      <c r="E5" s="119" t="s">
        <v>548</v>
      </c>
      <c r="F5" s="149"/>
      <c r="G5" s="120" t="s">
        <v>549</v>
      </c>
      <c r="H5" s="114"/>
      <c r="I5" s="120"/>
      <c r="J5" s="115"/>
      <c r="K5" s="115"/>
      <c r="L5" s="115"/>
      <c r="M5" s="239"/>
      <c r="N5" s="239"/>
      <c r="O5" s="116" t="s">
        <v>550</v>
      </c>
      <c r="P5" s="169"/>
      <c r="Q5" s="116"/>
      <c r="R5" s="150"/>
      <c r="S5" s="174" t="s">
        <v>814</v>
      </c>
      <c r="T5" s="118"/>
      <c r="U5" s="118"/>
      <c r="V5" s="118"/>
    </row>
    <row r="6" spans="1:27">
      <c r="A6" s="122"/>
      <c r="B6" s="122"/>
      <c r="C6" s="122"/>
      <c r="D6" s="122"/>
      <c r="E6" s="175" t="s">
        <v>318</v>
      </c>
      <c r="F6" s="175" t="s">
        <v>320</v>
      </c>
      <c r="G6" s="90" t="s">
        <v>322</v>
      </c>
      <c r="H6" s="90" t="s">
        <v>324</v>
      </c>
      <c r="I6" s="90" t="s">
        <v>325</v>
      </c>
      <c r="J6" s="90" t="s">
        <v>326</v>
      </c>
      <c r="K6" s="90" t="s">
        <v>327</v>
      </c>
      <c r="L6" s="90" t="s">
        <v>328</v>
      </c>
      <c r="M6" s="90" t="s">
        <v>329</v>
      </c>
      <c r="N6" s="90" t="s">
        <v>330</v>
      </c>
      <c r="O6" s="91" t="s">
        <v>331</v>
      </c>
      <c r="P6" s="91" t="s">
        <v>332</v>
      </c>
      <c r="Q6" s="91" t="s">
        <v>333</v>
      </c>
      <c r="R6" s="91" t="s">
        <v>335</v>
      </c>
      <c r="S6" s="176" t="s">
        <v>336</v>
      </c>
      <c r="T6" s="93"/>
      <c r="U6" s="93"/>
      <c r="V6" s="93"/>
      <c r="W6" s="123"/>
      <c r="X6" s="123"/>
      <c r="Y6" s="123"/>
    </row>
    <row r="7" spans="1:27" ht="137.4" customHeight="1">
      <c r="A7" s="124" t="s">
        <v>652</v>
      </c>
      <c r="B7" s="124"/>
      <c r="C7" s="124"/>
      <c r="D7" s="124"/>
      <c r="E7" s="97" t="s">
        <v>1159</v>
      </c>
      <c r="F7" s="97" t="s">
        <v>1160</v>
      </c>
      <c r="G7" s="97" t="s">
        <v>1161</v>
      </c>
      <c r="H7" s="97" t="s">
        <v>1162</v>
      </c>
      <c r="I7" s="97" t="s">
        <v>1163</v>
      </c>
      <c r="J7" s="97" t="s">
        <v>1164</v>
      </c>
      <c r="K7" s="97" t="s">
        <v>1165</v>
      </c>
      <c r="L7" s="97" t="s">
        <v>1166</v>
      </c>
      <c r="M7" s="97" t="s">
        <v>1167</v>
      </c>
      <c r="N7" s="97" t="s">
        <v>1168</v>
      </c>
      <c r="O7" s="97" t="s">
        <v>1169</v>
      </c>
      <c r="P7" s="97" t="s">
        <v>1170</v>
      </c>
      <c r="Q7" s="97" t="s">
        <v>1171</v>
      </c>
      <c r="R7" s="97" t="s">
        <v>1172</v>
      </c>
      <c r="S7" s="97" t="s">
        <v>1173</v>
      </c>
      <c r="T7" s="93"/>
      <c r="U7" s="93"/>
      <c r="V7" s="93"/>
    </row>
    <row r="8" spans="1:27" ht="111" customHeight="1">
      <c r="A8" s="122" t="s">
        <v>562</v>
      </c>
      <c r="B8" s="122"/>
      <c r="C8" s="122"/>
      <c r="D8" s="122"/>
      <c r="E8" s="98" t="s">
        <v>1174</v>
      </c>
      <c r="F8" s="125" t="s">
        <v>1175</v>
      </c>
      <c r="G8" s="98" t="s">
        <v>1176</v>
      </c>
      <c r="H8" s="98" t="s">
        <v>1177</v>
      </c>
      <c r="I8" s="98" t="s">
        <v>1178</v>
      </c>
      <c r="J8" s="98" t="s">
        <v>1179</v>
      </c>
      <c r="K8" s="98" t="s">
        <v>1180</v>
      </c>
      <c r="L8" s="98" t="s">
        <v>1181</v>
      </c>
      <c r="M8" s="98" t="s">
        <v>1182</v>
      </c>
      <c r="N8" s="98" t="s">
        <v>1183</v>
      </c>
      <c r="O8" s="98" t="s">
        <v>1184</v>
      </c>
      <c r="P8" s="98" t="s">
        <v>1185</v>
      </c>
      <c r="Q8" s="98" t="s">
        <v>1186</v>
      </c>
      <c r="R8" s="98" t="s">
        <v>1187</v>
      </c>
      <c r="S8" s="98" t="s">
        <v>1188</v>
      </c>
      <c r="T8" s="99"/>
      <c r="U8" s="99"/>
      <c r="V8" s="99"/>
    </row>
    <row r="9" spans="1:27" ht="200.15" customHeight="1">
      <c r="A9" s="122" t="s">
        <v>96</v>
      </c>
      <c r="B9" s="122"/>
      <c r="C9" s="122"/>
      <c r="D9" s="122"/>
      <c r="E9" s="98" t="s">
        <v>1189</v>
      </c>
      <c r="F9" s="125" t="s">
        <v>1190</v>
      </c>
      <c r="G9" s="98" t="s">
        <v>1191</v>
      </c>
      <c r="H9" s="98" t="s">
        <v>1192</v>
      </c>
      <c r="I9" s="98" t="s">
        <v>1193</v>
      </c>
      <c r="J9" s="98" t="s">
        <v>1194</v>
      </c>
      <c r="K9" s="98" t="s">
        <v>1195</v>
      </c>
      <c r="L9" s="98" t="s">
        <v>1196</v>
      </c>
      <c r="M9" s="98" t="s">
        <v>1197</v>
      </c>
      <c r="N9" s="98" t="s">
        <v>1198</v>
      </c>
      <c r="O9" s="98" t="s">
        <v>1199</v>
      </c>
      <c r="P9" s="98" t="s">
        <v>1200</v>
      </c>
      <c r="Q9" s="98" t="s">
        <v>1201</v>
      </c>
      <c r="R9" s="98" t="s">
        <v>1202</v>
      </c>
      <c r="S9" s="98" t="s">
        <v>1203</v>
      </c>
      <c r="T9" s="99"/>
      <c r="U9" s="99"/>
      <c r="V9" s="99"/>
    </row>
    <row r="10" spans="1:27" ht="144" customHeight="1" thickBot="1">
      <c r="A10" s="122" t="s">
        <v>583</v>
      </c>
      <c r="B10" s="296"/>
      <c r="C10" s="296"/>
      <c r="D10" s="296"/>
      <c r="E10" s="240"/>
      <c r="F10" s="240" t="s">
        <v>1204</v>
      </c>
      <c r="G10" s="241" t="s">
        <v>1205</v>
      </c>
      <c r="H10" s="241" t="s">
        <v>1206</v>
      </c>
      <c r="I10" s="241" t="s">
        <v>1207</v>
      </c>
      <c r="J10" s="241" t="s">
        <v>1208</v>
      </c>
      <c r="K10" s="241" t="s">
        <v>1209</v>
      </c>
      <c r="L10" s="241" t="s">
        <v>1210</v>
      </c>
      <c r="M10" s="241" t="s">
        <v>1211</v>
      </c>
      <c r="N10" s="241" t="s">
        <v>1212</v>
      </c>
      <c r="O10" s="241" t="s">
        <v>1213</v>
      </c>
      <c r="P10" s="241" t="s">
        <v>1214</v>
      </c>
      <c r="Q10" s="241" t="s">
        <v>1215</v>
      </c>
      <c r="R10" s="241" t="s">
        <v>1216</v>
      </c>
      <c r="S10" s="241" t="s">
        <v>1217</v>
      </c>
      <c r="T10" s="152"/>
      <c r="U10" s="152"/>
      <c r="V10" s="152"/>
    </row>
    <row r="11" spans="1:27" ht="108" customHeight="1" thickBot="1">
      <c r="A11" s="242" t="s">
        <v>85</v>
      </c>
      <c r="B11" s="242"/>
      <c r="C11" s="242"/>
      <c r="D11" s="242"/>
      <c r="E11" s="240"/>
      <c r="F11" s="240"/>
      <c r="G11" s="241"/>
      <c r="H11" s="241"/>
      <c r="I11" s="241" t="s">
        <v>1218</v>
      </c>
      <c r="J11" s="241" t="s">
        <v>1219</v>
      </c>
      <c r="K11" s="241" t="s">
        <v>1220</v>
      </c>
      <c r="L11" s="241" t="s">
        <v>1221</v>
      </c>
      <c r="M11" s="241" t="s">
        <v>1222</v>
      </c>
      <c r="N11" s="241" t="s">
        <v>1223</v>
      </c>
      <c r="O11" s="241" t="s">
        <v>1224</v>
      </c>
      <c r="P11" s="241" t="s">
        <v>1225</v>
      </c>
      <c r="Q11" s="241" t="s">
        <v>1226</v>
      </c>
      <c r="R11" s="241" t="s">
        <v>1227</v>
      </c>
      <c r="S11" s="241" t="s">
        <v>1217</v>
      </c>
      <c r="T11" s="152"/>
      <c r="U11" s="152"/>
      <c r="V11" s="152"/>
    </row>
    <row r="12" spans="1:27" ht="15" customHeight="1"/>
    <row r="13" spans="1:27" ht="15" customHeight="1"/>
    <row r="14" spans="1:27" ht="15" customHeight="1"/>
    <row r="15" spans="1:27" customFormat="1" ht="14.5">
      <c r="A15" t="s">
        <v>452</v>
      </c>
      <c r="B15" t="s">
        <v>104</v>
      </c>
      <c r="C15" t="s">
        <v>105</v>
      </c>
      <c r="D15" t="s">
        <v>451</v>
      </c>
      <c r="E15" s="14" t="s">
        <v>318</v>
      </c>
      <c r="F15" s="14" t="s">
        <v>320</v>
      </c>
      <c r="G15" s="14" t="s">
        <v>322</v>
      </c>
      <c r="H15" s="14" t="s">
        <v>324</v>
      </c>
      <c r="I15" s="14" t="s">
        <v>325</v>
      </c>
      <c r="J15" s="14" t="s">
        <v>326</v>
      </c>
      <c r="K15" s="14" t="s">
        <v>327</v>
      </c>
      <c r="L15" s="14" t="s">
        <v>328</v>
      </c>
      <c r="M15" s="14" t="s">
        <v>329</v>
      </c>
      <c r="N15" s="14" t="s">
        <v>330</v>
      </c>
      <c r="O15" s="14" t="s">
        <v>331</v>
      </c>
      <c r="P15" s="14" t="s">
        <v>332</v>
      </c>
      <c r="Q15" s="14" t="s">
        <v>333</v>
      </c>
      <c r="R15" s="14" t="s">
        <v>335</v>
      </c>
      <c r="S15" s="14" t="s">
        <v>336</v>
      </c>
      <c r="T15" s="107"/>
    </row>
    <row r="16" spans="1:27" ht="14.5">
      <c r="A16" t="s">
        <v>545</v>
      </c>
      <c r="B16" s="15" t="s">
        <v>104</v>
      </c>
      <c r="C16"/>
      <c r="D16"/>
      <c r="E16" t="s">
        <v>435</v>
      </c>
      <c r="F16" t="s">
        <v>435</v>
      </c>
      <c r="G16"/>
      <c r="H16"/>
      <c r="I16" t="s">
        <v>435</v>
      </c>
      <c r="J16" t="s">
        <v>435</v>
      </c>
      <c r="K16" t="s">
        <v>435</v>
      </c>
      <c r="L16" t="s">
        <v>435</v>
      </c>
      <c r="M16" t="s">
        <v>435</v>
      </c>
      <c r="N16"/>
      <c r="O16"/>
      <c r="P16"/>
      <c r="Q16" t="s">
        <v>435</v>
      </c>
      <c r="R16"/>
      <c r="S16"/>
      <c r="T16"/>
      <c r="U16"/>
      <c r="V16"/>
      <c r="W16"/>
      <c r="X16"/>
      <c r="Y16"/>
      <c r="Z16"/>
      <c r="AA16"/>
    </row>
    <row r="17" spans="1:27" ht="14.5">
      <c r="A17" t="s">
        <v>545</v>
      </c>
      <c r="B17" s="15" t="s">
        <v>104</v>
      </c>
      <c r="C17" s="15" t="str">
        <f>HYPERLINK("02-项目级\P2-Qcubic to MySQL数据同步工具 V1.0\01-生存周期\03-项目策划\03-项目计划书 (QCUBIC-SJTB-PLAN-Plan)V1.0-engl.docx", "engl")</f>
        <v>engl</v>
      </c>
      <c r="D17"/>
      <c r="E17"/>
      <c r="F17" t="s">
        <v>435</v>
      </c>
      <c r="G17" t="s">
        <v>435</v>
      </c>
      <c r="H17" t="s">
        <v>435</v>
      </c>
      <c r="I17"/>
      <c r="J17"/>
      <c r="K17"/>
      <c r="L17" t="s">
        <v>435</v>
      </c>
      <c r="M17" t="s">
        <v>435</v>
      </c>
      <c r="N17"/>
      <c r="O17"/>
      <c r="P17" t="s">
        <v>435</v>
      </c>
      <c r="Q17" t="s">
        <v>435</v>
      </c>
      <c r="R17" t="s">
        <v>435</v>
      </c>
      <c r="S17"/>
      <c r="T17"/>
      <c r="U17"/>
      <c r="V17"/>
      <c r="W17"/>
      <c r="X17"/>
      <c r="Y17"/>
      <c r="Z17"/>
      <c r="AA17"/>
    </row>
    <row r="18" spans="1:27" ht="14.5">
      <c r="A18" t="s">
        <v>545</v>
      </c>
      <c r="B18" s="15" t="s">
        <v>104</v>
      </c>
      <c r="C18" s="15" t="str">
        <f>HYPERLINK("02-项目级\P2-Qcubic to MySQL数据同步工具 V1.0\02-全程管理\05-评审管理\03-计划评审\05-评审报告_项目计划(QCUBIC-SJTB-PR-ReviewRpt)V1.1-engl.xlsx", "engl")</f>
        <v>engl</v>
      </c>
      <c r="D18"/>
      <c r="E18"/>
      <c r="F18"/>
      <c r="G18"/>
      <c r="H18"/>
      <c r="I18"/>
      <c r="J18"/>
      <c r="K18"/>
      <c r="L18" t="s">
        <v>435</v>
      </c>
      <c r="M18"/>
      <c r="N18" t="s">
        <v>435</v>
      </c>
      <c r="O18"/>
      <c r="P18"/>
      <c r="Q18"/>
      <c r="R18"/>
      <c r="S18"/>
      <c r="T18"/>
      <c r="U18"/>
      <c r="V18"/>
      <c r="W18"/>
      <c r="X18"/>
      <c r="Y18"/>
      <c r="Z18"/>
      <c r="AA18"/>
    </row>
    <row r="19" spans="1:27" ht="14.5">
      <c r="A19" t="s">
        <v>545</v>
      </c>
      <c r="B19" s="15" t="s">
        <v>104</v>
      </c>
      <c r="C19" s="15" t="str">
        <f>HYPERLINK("02-项目级\P2-Qcubic to MySQL数据同步工具 V1.0\01-生存周期\03-项目策划\01-项目定义过程 (QCUBIC-SJTB-PLAN-PDP)V1.0-engl.xlsx", "engl")</f>
        <v>engl</v>
      </c>
      <c r="D19"/>
      <c r="E19"/>
      <c r="F19"/>
      <c r="G19"/>
      <c r="H19"/>
      <c r="I19"/>
      <c r="J19"/>
      <c r="K19"/>
      <c r="L19"/>
      <c r="M19"/>
      <c r="N19"/>
      <c r="O19" t="s">
        <v>435</v>
      </c>
      <c r="P19" t="s">
        <v>435</v>
      </c>
      <c r="Q19"/>
      <c r="R19"/>
      <c r="S19"/>
      <c r="T19"/>
      <c r="U19"/>
      <c r="V19"/>
      <c r="W19"/>
      <c r="X19"/>
      <c r="Y19"/>
      <c r="Z19"/>
      <c r="AA19"/>
    </row>
    <row r="20" spans="1:27" ht="14.5">
      <c r="A20" t="s">
        <v>545</v>
      </c>
      <c r="B20" s="15" t="s">
        <v>104</v>
      </c>
      <c r="C20" s="15" t="str">
        <f>HYPERLINK("01-组织级\01-组织财富库\01-标准过程文件库\04-组织过程类\02-过程资产管理\裁剪指南 (QCUBIC-SPI-OPAL-Guid-Tailor)V1.2-engl.xlsx", "engl")</f>
        <v>engl</v>
      </c>
      <c r="D20"/>
      <c r="E20"/>
      <c r="F20"/>
      <c r="G20"/>
      <c r="H20"/>
      <c r="I20"/>
      <c r="J20"/>
      <c r="K20"/>
      <c r="L20"/>
      <c r="M20"/>
      <c r="N20"/>
      <c r="O20" t="s">
        <v>435</v>
      </c>
      <c r="P20"/>
      <c r="Q20"/>
      <c r="R20"/>
      <c r="S20"/>
      <c r="T20"/>
      <c r="U20"/>
      <c r="V20"/>
      <c r="W20"/>
      <c r="X20"/>
      <c r="Y20"/>
      <c r="Z20"/>
      <c r="AA20"/>
    </row>
    <row r="21" spans="1:27" ht="14.5">
      <c r="A21" t="s">
        <v>545</v>
      </c>
      <c r="B21" s="15" t="s">
        <v>104</v>
      </c>
      <c r="C21" s="15" t="str">
        <f>HYPERLINK("02-项目级\P2-Qcubic to MySQL数据同步工具 V1.0\02-全程管理\03-度量分析\02-项目度量数据表(QCUBIC-SJTB-MPM-datasheet)V1.0-engl.xlsx", "engl")</f>
        <v>engl</v>
      </c>
      <c r="D21"/>
      <c r="E21"/>
      <c r="F21"/>
      <c r="G21"/>
      <c r="H21"/>
      <c r="I21"/>
      <c r="J21"/>
      <c r="K21"/>
      <c r="L21"/>
      <c r="M21"/>
      <c r="N21"/>
      <c r="O21"/>
      <c r="P21" t="s">
        <v>435</v>
      </c>
      <c r="Q21"/>
      <c r="R21"/>
      <c r="S21"/>
      <c r="T21"/>
      <c r="U21"/>
      <c r="V21"/>
      <c r="W21"/>
      <c r="X21"/>
      <c r="Y21"/>
      <c r="Z21"/>
      <c r="AA21"/>
    </row>
    <row r="22" spans="1:27" ht="14.5">
      <c r="A22" t="s">
        <v>545</v>
      </c>
      <c r="B22" s="15" t="s">
        <v>104</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435</v>
      </c>
      <c r="R22"/>
      <c r="S22"/>
      <c r="T22"/>
      <c r="U22"/>
      <c r="V22"/>
      <c r="W22"/>
      <c r="X22"/>
      <c r="Y22"/>
      <c r="Z22"/>
      <c r="AA22"/>
    </row>
    <row r="23" spans="1:27" ht="14.5">
      <c r="A23"/>
      <c r="B23"/>
      <c r="C23"/>
      <c r="D23"/>
      <c r="E23"/>
      <c r="F23"/>
      <c r="G23"/>
      <c r="H23"/>
      <c r="I23"/>
      <c r="J23"/>
      <c r="K23"/>
      <c r="L23"/>
      <c r="M23"/>
      <c r="N23"/>
      <c r="O23"/>
      <c r="P23"/>
      <c r="Q23"/>
      <c r="R23"/>
      <c r="S23"/>
      <c r="T23"/>
      <c r="U23"/>
      <c r="V23"/>
      <c r="W23"/>
      <c r="X23"/>
      <c r="Y23"/>
      <c r="Z23"/>
      <c r="AA23"/>
    </row>
    <row r="24" spans="1:27" ht="14.5">
      <c r="A24"/>
      <c r="B24"/>
      <c r="C24"/>
      <c r="D24"/>
      <c r="E24"/>
      <c r="F24"/>
      <c r="G24"/>
      <c r="H24"/>
      <c r="I24"/>
      <c r="J24"/>
      <c r="K24"/>
      <c r="L24"/>
      <c r="M24"/>
      <c r="N24"/>
      <c r="O24"/>
      <c r="P24"/>
      <c r="Q24"/>
      <c r="R24"/>
      <c r="S24"/>
      <c r="T24"/>
      <c r="U24"/>
      <c r="V24"/>
      <c r="W24"/>
      <c r="X24"/>
      <c r="Y24"/>
      <c r="Z24"/>
      <c r="AA24"/>
    </row>
    <row r="25" spans="1:27" ht="14.5">
      <c r="A25"/>
      <c r="B25"/>
      <c r="C25"/>
      <c r="D25"/>
      <c r="E25"/>
      <c r="F25"/>
      <c r="G25"/>
      <c r="H25"/>
      <c r="I25"/>
      <c r="J25"/>
      <c r="K25"/>
      <c r="L25"/>
      <c r="M25"/>
      <c r="N25"/>
      <c r="O25"/>
      <c r="P25"/>
      <c r="Q25"/>
      <c r="R25"/>
      <c r="S25"/>
      <c r="T25"/>
      <c r="U25"/>
      <c r="V25"/>
      <c r="W25"/>
      <c r="X25"/>
      <c r="Y25"/>
      <c r="Z25"/>
      <c r="AA25"/>
    </row>
    <row r="26" spans="1:27" ht="14.5">
      <c r="A26"/>
      <c r="B26"/>
      <c r="C26"/>
      <c r="D26"/>
      <c r="E26"/>
      <c r="F26"/>
      <c r="G26"/>
      <c r="H26"/>
      <c r="I26"/>
      <c r="J26"/>
      <c r="K26"/>
      <c r="L26"/>
      <c r="M26"/>
      <c r="N26"/>
      <c r="O26"/>
      <c r="P26"/>
      <c r="Q26"/>
      <c r="R26"/>
      <c r="S26"/>
      <c r="T26"/>
      <c r="U26"/>
      <c r="V26"/>
      <c r="W26"/>
      <c r="X26"/>
      <c r="Y26"/>
      <c r="Z26"/>
      <c r="AA26"/>
    </row>
    <row r="27" spans="1:27" ht="14.5">
      <c r="A27"/>
      <c r="B27"/>
      <c r="C27"/>
      <c r="D27"/>
      <c r="E27"/>
      <c r="F27"/>
      <c r="G27"/>
      <c r="H27"/>
      <c r="I27"/>
      <c r="J27"/>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7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50.6328125" style="269" customWidth="1"/>
    <col min="2" max="4" width="7.90625" style="269" customWidth="1"/>
    <col min="5" max="6" width="20.6328125" style="254" customWidth="1"/>
    <col min="7" max="10" width="20.6328125" style="131" customWidth="1"/>
    <col min="11" max="11" width="50.6328125" style="131" customWidth="1"/>
    <col min="12" max="12" width="3.6328125" style="131" customWidth="1"/>
    <col min="13" max="13" width="24" style="131" bestFit="1" customWidth="1"/>
    <col min="14" max="14" width="108.453125" style="128" customWidth="1"/>
    <col min="15" max="16384" width="8.6328125" style="254"/>
  </cols>
  <sheetData>
    <row r="1" spans="1:27" s="245" customFormat="1" ht="18.5">
      <c r="A1" s="243" t="s">
        <v>1228</v>
      </c>
      <c r="B1" s="243"/>
      <c r="C1" s="243"/>
      <c r="D1" s="243"/>
      <c r="E1" s="244"/>
      <c r="F1" s="244"/>
      <c r="G1" s="244"/>
      <c r="H1" s="244"/>
      <c r="I1" s="244"/>
      <c r="J1" s="131"/>
      <c r="K1" s="131"/>
      <c r="L1" s="131"/>
      <c r="M1" s="131"/>
      <c r="N1" s="128"/>
    </row>
    <row r="2" spans="1:27" s="246" customFormat="1">
      <c r="A2" s="100" t="s">
        <v>1229</v>
      </c>
      <c r="B2" s="100"/>
      <c r="C2" s="100"/>
      <c r="D2" s="100"/>
      <c r="E2" s="101" t="s">
        <v>1230</v>
      </c>
      <c r="F2" s="101"/>
      <c r="G2" s="101"/>
      <c r="H2" s="101"/>
      <c r="I2" s="101"/>
      <c r="J2" s="131"/>
      <c r="K2" s="131"/>
      <c r="L2" s="131"/>
      <c r="M2" s="131"/>
      <c r="N2" s="128"/>
    </row>
    <row r="3" spans="1:27" s="247" customFormat="1">
      <c r="A3" s="100" t="s">
        <v>1231</v>
      </c>
      <c r="B3" s="100"/>
      <c r="C3" s="100"/>
      <c r="D3" s="100"/>
      <c r="E3" s="101" t="s">
        <v>1232</v>
      </c>
      <c r="F3" s="101"/>
      <c r="G3" s="101"/>
      <c r="H3" s="101"/>
      <c r="I3" s="101"/>
      <c r="J3" s="131"/>
      <c r="K3" s="131"/>
      <c r="L3" s="131"/>
      <c r="M3" s="131"/>
      <c r="N3" s="128"/>
    </row>
    <row r="4" spans="1:27">
      <c r="A4" s="248"/>
      <c r="B4" s="248"/>
      <c r="C4" s="248"/>
      <c r="D4" s="248"/>
      <c r="E4" s="249" t="s">
        <v>47</v>
      </c>
      <c r="F4" s="250" t="s">
        <v>54</v>
      </c>
      <c r="G4" s="251"/>
      <c r="H4" s="250"/>
      <c r="I4" s="252" t="s">
        <v>56</v>
      </c>
      <c r="J4" s="252"/>
      <c r="K4" s="253"/>
      <c r="L4" s="253"/>
      <c r="M4" s="253"/>
    </row>
    <row r="5" spans="1:27">
      <c r="A5" s="254"/>
      <c r="B5" s="254"/>
      <c r="C5" s="254"/>
      <c r="D5" s="254"/>
      <c r="E5" s="255" t="s">
        <v>548</v>
      </c>
      <c r="F5" s="256" t="s">
        <v>549</v>
      </c>
      <c r="G5" s="251"/>
      <c r="H5" s="256"/>
      <c r="I5" s="252" t="s">
        <v>550</v>
      </c>
      <c r="J5" s="257"/>
      <c r="K5" s="254"/>
      <c r="L5" s="254"/>
      <c r="M5" s="254"/>
    </row>
    <row r="6" spans="1:27" s="128" customFormat="1">
      <c r="A6" s="258"/>
      <c r="B6" s="258"/>
      <c r="C6" s="258"/>
      <c r="D6" s="258"/>
      <c r="E6" s="259" t="s">
        <v>295</v>
      </c>
      <c r="F6" s="260" t="s">
        <v>296</v>
      </c>
      <c r="G6" s="260" t="s">
        <v>297</v>
      </c>
      <c r="H6" s="260" t="s">
        <v>298</v>
      </c>
      <c r="I6" s="261" t="s">
        <v>299</v>
      </c>
      <c r="J6" s="261" t="s">
        <v>301</v>
      </c>
      <c r="K6" s="129"/>
      <c r="L6" s="129"/>
      <c r="M6" s="129"/>
      <c r="N6" s="131"/>
    </row>
    <row r="7" spans="1:27" s="128" customFormat="1" ht="78">
      <c r="A7" s="262" t="s">
        <v>652</v>
      </c>
      <c r="B7" s="262"/>
      <c r="C7" s="262"/>
      <c r="D7" s="262"/>
      <c r="E7" s="263" t="s">
        <v>1233</v>
      </c>
      <c r="F7" s="263" t="s">
        <v>1234</v>
      </c>
      <c r="G7" s="263" t="s">
        <v>1235</v>
      </c>
      <c r="H7" s="263" t="s">
        <v>1236</v>
      </c>
      <c r="I7" s="263" t="s">
        <v>1237</v>
      </c>
      <c r="J7" s="263" t="s">
        <v>1238</v>
      </c>
      <c r="K7" s="129"/>
      <c r="L7" s="129"/>
      <c r="M7" s="129"/>
    </row>
    <row r="8" spans="1:27" s="128" customFormat="1" ht="48">
      <c r="A8" s="258" t="s">
        <v>562</v>
      </c>
      <c r="B8" s="258"/>
      <c r="C8" s="258"/>
      <c r="D8" s="258"/>
      <c r="E8" s="264" t="s">
        <v>1239</v>
      </c>
      <c r="F8" s="264" t="s">
        <v>1240</v>
      </c>
      <c r="G8" s="264" t="s">
        <v>1241</v>
      </c>
      <c r="H8" s="264" t="s">
        <v>1242</v>
      </c>
      <c r="I8" s="264" t="s">
        <v>1243</v>
      </c>
      <c r="J8" s="264" t="s">
        <v>1244</v>
      </c>
      <c r="K8" s="265"/>
      <c r="L8" s="265"/>
      <c r="M8" s="265"/>
    </row>
    <row r="9" spans="1:27" s="128" customFormat="1" ht="87.65" customHeight="1">
      <c r="A9" s="258" t="s">
        <v>96</v>
      </c>
      <c r="B9" s="258"/>
      <c r="C9" s="258"/>
      <c r="D9" s="258"/>
      <c r="E9" s="264" t="s">
        <v>1245</v>
      </c>
      <c r="F9" s="264" t="s">
        <v>1246</v>
      </c>
      <c r="G9" s="264" t="s">
        <v>1247</v>
      </c>
      <c r="H9" s="264" t="s">
        <v>1248</v>
      </c>
      <c r="I9" s="264" t="s">
        <v>1249</v>
      </c>
      <c r="J9" s="264" t="s">
        <v>1250</v>
      </c>
      <c r="K9" s="265"/>
      <c r="L9" s="265"/>
      <c r="M9" s="265"/>
    </row>
    <row r="10" spans="1:27" s="128" customFormat="1" ht="96">
      <c r="A10" s="122" t="s">
        <v>583</v>
      </c>
      <c r="B10" s="171"/>
      <c r="C10" s="171"/>
      <c r="D10" s="171"/>
      <c r="E10" s="266" t="s">
        <v>1251</v>
      </c>
      <c r="F10" s="267" t="s">
        <v>1252</v>
      </c>
      <c r="G10" s="267" t="s">
        <v>1253</v>
      </c>
      <c r="H10" s="267" t="s">
        <v>1254</v>
      </c>
      <c r="I10" s="267" t="s">
        <v>1255</v>
      </c>
      <c r="J10" s="267" t="s">
        <v>1256</v>
      </c>
      <c r="K10" s="265"/>
      <c r="L10" s="265"/>
      <c r="M10" s="265"/>
    </row>
    <row r="11" spans="1:27" s="128" customFormat="1" ht="96">
      <c r="A11" s="268" t="s">
        <v>85</v>
      </c>
      <c r="B11" s="268"/>
      <c r="C11" s="268"/>
      <c r="D11" s="268"/>
      <c r="E11" s="266" t="s">
        <v>1257</v>
      </c>
      <c r="F11" s="267" t="s">
        <v>1258</v>
      </c>
      <c r="G11" s="267" t="s">
        <v>1259</v>
      </c>
      <c r="H11" s="267" t="s">
        <v>1260</v>
      </c>
      <c r="I11" s="267" t="s">
        <v>1261</v>
      </c>
      <c r="J11" s="267" t="s">
        <v>1262</v>
      </c>
      <c r="K11" s="265"/>
      <c r="L11" s="265"/>
      <c r="M11" s="265"/>
      <c r="N11" s="131"/>
      <c r="O11" s="131"/>
      <c r="P11" s="131"/>
    </row>
    <row r="12" spans="1:27" s="128" customFormat="1" ht="15" customHeight="1"/>
    <row r="13" spans="1:27" s="128" customFormat="1" ht="15" customHeight="1"/>
    <row r="14" spans="1:27" s="128" customFormat="1" ht="15" customHeight="1"/>
    <row r="15" spans="1:27" customFormat="1" ht="14.5">
      <c r="A15" t="s">
        <v>452</v>
      </c>
      <c r="B15" t="s">
        <v>104</v>
      </c>
      <c r="C15" t="s">
        <v>105</v>
      </c>
      <c r="D15" t="s">
        <v>451</v>
      </c>
      <c r="E15" t="s">
        <v>295</v>
      </c>
      <c r="F15" t="s">
        <v>296</v>
      </c>
      <c r="G15" t="s">
        <v>297</v>
      </c>
      <c r="H15" t="s">
        <v>298</v>
      </c>
      <c r="I15" t="s">
        <v>299</v>
      </c>
      <c r="J15" t="s">
        <v>301</v>
      </c>
    </row>
    <row r="16" spans="1:27" s="132" customFormat="1" ht="14.5">
      <c r="A16" t="s">
        <v>545</v>
      </c>
      <c r="B16" s="15" t="s">
        <v>104</v>
      </c>
      <c r="C16" s="15" t="str">
        <f>HYPERLINK("02-项目级\P2-Qcubic to MySQL数据同步工具 V1.0\01-生存周期\03-项目策划\02-估算工作书 (QCUBIC-SJTB-PLAN-Evaluate)V1.2-engl.xlsx", "engl")</f>
        <v>engl</v>
      </c>
      <c r="D16"/>
      <c r="E16" t="s">
        <v>435</v>
      </c>
      <c r="F16"/>
      <c r="G16" t="s">
        <v>435</v>
      </c>
      <c r="H16" t="s">
        <v>435</v>
      </c>
      <c r="I16"/>
      <c r="J16"/>
      <c r="K16"/>
      <c r="L16"/>
      <c r="M16"/>
      <c r="N16"/>
      <c r="O16"/>
      <c r="P16"/>
      <c r="Q16"/>
      <c r="R16"/>
      <c r="S16"/>
      <c r="T16"/>
      <c r="U16"/>
      <c r="V16"/>
      <c r="W16"/>
      <c r="X16"/>
      <c r="Y16"/>
      <c r="Z16"/>
      <c r="AA16"/>
    </row>
    <row r="17" spans="1:27" s="132" customFormat="1" ht="14.5">
      <c r="A17" t="s">
        <v>545</v>
      </c>
      <c r="B17" s="15" t="s">
        <v>104</v>
      </c>
      <c r="C17" s="15" t="str">
        <f>HYPERLINK("02-项目级\P2-Qcubic to MySQL数据同步工具 V1.0\02-全程管理\03-度量分析\02-项目度量数据表(QCUBIC-SJTB-MPM-datasheet)V1.0-engl.xlsx", "engl")</f>
        <v>engl</v>
      </c>
      <c r="D17"/>
      <c r="E17"/>
      <c r="F17" t="s">
        <v>435</v>
      </c>
      <c r="G17"/>
      <c r="H17"/>
      <c r="I17"/>
      <c r="J17"/>
      <c r="K17"/>
      <c r="L17"/>
      <c r="M17"/>
      <c r="N17"/>
      <c r="O17"/>
      <c r="P17"/>
      <c r="Q17"/>
      <c r="R17"/>
      <c r="S17"/>
      <c r="T17"/>
      <c r="U17"/>
      <c r="V17"/>
      <c r="W17"/>
      <c r="X17"/>
      <c r="Y17"/>
      <c r="Z17"/>
      <c r="AA17"/>
    </row>
    <row r="18" spans="1:27" s="132" customFormat="1" ht="14.5">
      <c r="A18" t="s">
        <v>545</v>
      </c>
      <c r="B18" s="15" t="s">
        <v>104</v>
      </c>
      <c r="C18" s="15" t="str">
        <f>HYPERLINK("02-项目级\P2-Qcubic to MySQL数据同步工具 V1.0\01-生存周期\03-项目策划\03-项目计划书 (QCUBIC-SJTB-PLAN-Plan)V1.0-engl.docx", "engl")</f>
        <v>engl</v>
      </c>
      <c r="D18"/>
      <c r="E18"/>
      <c r="F18" t="s">
        <v>435</v>
      </c>
      <c r="G18"/>
      <c r="H18"/>
      <c r="I18"/>
      <c r="J18"/>
      <c r="K18"/>
      <c r="L18"/>
      <c r="M18"/>
      <c r="N18"/>
      <c r="O18"/>
      <c r="P18"/>
      <c r="Q18"/>
      <c r="R18"/>
      <c r="S18"/>
      <c r="T18"/>
      <c r="U18"/>
      <c r="V18"/>
      <c r="W18"/>
      <c r="X18"/>
      <c r="Y18"/>
      <c r="Z18"/>
      <c r="AA18"/>
    </row>
    <row r="19" spans="1:27" s="132" customFormat="1" ht="14.5">
      <c r="A19" t="s">
        <v>545</v>
      </c>
      <c r="B19" s="15" t="s">
        <v>104</v>
      </c>
      <c r="C19" s="15" t="str">
        <f>HYPERLINK("02-项目级\P2-Qcubic to MySQL数据同步工具 V1.0\02-全程管理\01-项目监控\03-周会议纪要\01-会议记录(QCUBIC-SJTB-meetingrcd-20220107)V1.0-engl.docx", "engl")</f>
        <v>engl</v>
      </c>
      <c r="D19"/>
      <c r="E19"/>
      <c r="F19"/>
      <c r="G19"/>
      <c r="H19" t="s">
        <v>435</v>
      </c>
      <c r="I19"/>
      <c r="J19"/>
      <c r="K19"/>
      <c r="L19"/>
      <c r="M19"/>
      <c r="N19"/>
      <c r="O19"/>
      <c r="P19"/>
      <c r="Q19"/>
      <c r="R19"/>
      <c r="S19"/>
      <c r="T19"/>
      <c r="U19"/>
      <c r="V19"/>
      <c r="W19"/>
      <c r="X19"/>
      <c r="Y19"/>
      <c r="Z19"/>
      <c r="AA19"/>
    </row>
    <row r="20" spans="1:27" s="132" customFormat="1" ht="14.5">
      <c r="A20" t="s">
        <v>545</v>
      </c>
      <c r="B20" s="15" t="s">
        <v>104</v>
      </c>
      <c r="C20" s="15" t="str">
        <f>HYPERLINK("01-组织级\01-组织财富库\01-标准过程文件库\01-项目管理规范\03-项目估算\估算指南(QCUBIC-SPI-EST-Guid-Evaluate)V1.2-engl.docx", "engl")</f>
        <v>engl</v>
      </c>
      <c r="D20"/>
      <c r="E20"/>
      <c r="F20"/>
      <c r="G20"/>
      <c r="H20"/>
      <c r="I20" t="s">
        <v>435</v>
      </c>
      <c r="J20"/>
      <c r="K20"/>
      <c r="L20"/>
      <c r="M20"/>
      <c r="N20"/>
      <c r="O20"/>
      <c r="P20"/>
      <c r="Q20"/>
      <c r="R20"/>
      <c r="S20"/>
      <c r="T20"/>
      <c r="U20"/>
      <c r="V20"/>
      <c r="W20"/>
      <c r="X20"/>
      <c r="Y20"/>
      <c r="Z20"/>
      <c r="AA20"/>
    </row>
    <row r="21" spans="1:27" s="132" customFormat="1" ht="14.5">
      <c r="A21" t="s">
        <v>545</v>
      </c>
      <c r="B21" s="15" t="s">
        <v>104</v>
      </c>
      <c r="C21" s="15" t="str">
        <f>HYPERLINK("01-组织级\02-组织工作库\06-度量\组织度量表(QCUBIC-SPI-MPM-Tem-datasheet)V1.3-engl.xlsx", "engl")</f>
        <v>engl</v>
      </c>
      <c r="D21"/>
      <c r="E21"/>
      <c r="F21"/>
      <c r="G21"/>
      <c r="H21"/>
      <c r="I21"/>
      <c r="J21" t="s">
        <v>435</v>
      </c>
      <c r="K21"/>
      <c r="L21"/>
      <c r="M21"/>
      <c r="N21"/>
      <c r="O21"/>
      <c r="P21"/>
      <c r="Q21"/>
      <c r="R21"/>
      <c r="S21"/>
      <c r="T21"/>
      <c r="U21"/>
      <c r="V21"/>
      <c r="W21"/>
      <c r="X21"/>
      <c r="Y21"/>
      <c r="Z21"/>
      <c r="AA21"/>
    </row>
    <row r="22" spans="1:27" s="132" customFormat="1" ht="14.5">
      <c r="A22" t="s">
        <v>545</v>
      </c>
      <c r="B22" s="15" t="s">
        <v>104</v>
      </c>
      <c r="C22"/>
      <c r="D22"/>
      <c r="E22"/>
      <c r="F22"/>
      <c r="G22"/>
      <c r="H22"/>
      <c r="I22"/>
      <c r="J22" t="s">
        <v>435</v>
      </c>
      <c r="K22"/>
      <c r="L22"/>
      <c r="M22"/>
      <c r="N22"/>
      <c r="O22"/>
      <c r="P22"/>
      <c r="Q22"/>
      <c r="R22"/>
      <c r="S22"/>
      <c r="T22"/>
      <c r="U22"/>
      <c r="V22"/>
      <c r="W22"/>
      <c r="X22"/>
      <c r="Y22"/>
      <c r="Z22"/>
      <c r="AA22"/>
    </row>
    <row r="23" spans="1:27" s="128" customFormat="1" ht="14.5">
      <c r="A23"/>
      <c r="B23"/>
      <c r="C23"/>
      <c r="D23"/>
      <c r="E23"/>
      <c r="F23"/>
      <c r="G23"/>
      <c r="H23"/>
      <c r="I23"/>
      <c r="J23"/>
      <c r="K23"/>
      <c r="L23"/>
      <c r="M23"/>
      <c r="N23"/>
      <c r="O23"/>
      <c r="P23"/>
      <c r="Q23"/>
      <c r="R23"/>
      <c r="S23"/>
      <c r="T23"/>
      <c r="U23"/>
      <c r="V23"/>
      <c r="W23"/>
      <c r="X23"/>
      <c r="Y23"/>
      <c r="Z23"/>
      <c r="AA23"/>
    </row>
    <row r="24" spans="1:27" s="128" customFormat="1" ht="14.5">
      <c r="A24"/>
      <c r="B24"/>
      <c r="C24"/>
      <c r="D24"/>
      <c r="E24"/>
      <c r="F24"/>
      <c r="G24"/>
      <c r="H24"/>
      <c r="I24"/>
      <c r="J24"/>
      <c r="K24"/>
      <c r="L24"/>
      <c r="M24"/>
      <c r="N24"/>
      <c r="O24"/>
      <c r="P24"/>
      <c r="Q24"/>
      <c r="R24"/>
      <c r="S24"/>
      <c r="T24"/>
      <c r="U24"/>
      <c r="V24"/>
      <c r="W24"/>
      <c r="X24"/>
      <c r="Y24"/>
      <c r="Z24"/>
      <c r="AA24"/>
    </row>
    <row r="25" spans="1:27" s="128" customFormat="1" ht="14.5">
      <c r="A25"/>
      <c r="B25"/>
      <c r="C25"/>
      <c r="D25"/>
      <c r="E25"/>
      <c r="F25"/>
      <c r="G25"/>
      <c r="H25"/>
      <c r="I25"/>
      <c r="J25"/>
      <c r="K25"/>
      <c r="L25"/>
      <c r="M25"/>
      <c r="N25"/>
      <c r="O25"/>
      <c r="P25"/>
      <c r="Q25"/>
      <c r="R25"/>
      <c r="S25"/>
      <c r="T25"/>
      <c r="U25"/>
      <c r="V25"/>
      <c r="W25"/>
      <c r="X25"/>
      <c r="Y25"/>
      <c r="Z25"/>
      <c r="AA25"/>
    </row>
    <row r="26" spans="1:27" s="128" customFormat="1" ht="14.5">
      <c r="A26"/>
      <c r="B26"/>
      <c r="C26"/>
      <c r="D26"/>
      <c r="E26"/>
      <c r="F26"/>
      <c r="G26"/>
      <c r="H26"/>
      <c r="I26"/>
      <c r="J26"/>
      <c r="K26"/>
      <c r="L26"/>
      <c r="M26"/>
      <c r="N26"/>
      <c r="O26"/>
      <c r="P26"/>
      <c r="Q26"/>
      <c r="R26"/>
      <c r="S26"/>
      <c r="T26"/>
      <c r="U26"/>
      <c r="V26"/>
      <c r="W26"/>
      <c r="X26"/>
      <c r="Y26"/>
      <c r="Z26"/>
      <c r="AA26"/>
    </row>
    <row r="27" spans="1:27" s="128" customFormat="1" ht="14.5">
      <c r="A27"/>
      <c r="B27"/>
      <c r="C27"/>
      <c r="D27"/>
      <c r="E27"/>
      <c r="F27"/>
      <c r="G27"/>
      <c r="H27"/>
      <c r="I27"/>
      <c r="J27"/>
      <c r="K27"/>
      <c r="L27"/>
      <c r="M27"/>
      <c r="N27"/>
      <c r="O27"/>
      <c r="P27"/>
      <c r="Q27"/>
      <c r="R27"/>
      <c r="S27"/>
      <c r="T27"/>
      <c r="U27"/>
      <c r="V27"/>
      <c r="W27"/>
      <c r="X27"/>
      <c r="Y27"/>
      <c r="Z27"/>
      <c r="AA27"/>
    </row>
    <row r="28" spans="1:27" s="132" customFormat="1" ht="14.5">
      <c r="A28"/>
      <c r="B28"/>
      <c r="C28"/>
      <c r="D28"/>
      <c r="E28"/>
      <c r="F28"/>
      <c r="G28"/>
      <c r="H28"/>
      <c r="I28"/>
      <c r="J28"/>
      <c r="K28"/>
      <c r="L28"/>
      <c r="M28"/>
      <c r="N28"/>
      <c r="O28"/>
      <c r="P28"/>
      <c r="Q28"/>
      <c r="R28"/>
      <c r="S28"/>
      <c r="T28"/>
      <c r="U28"/>
      <c r="V28"/>
      <c r="W28"/>
      <c r="X28"/>
      <c r="Y28"/>
      <c r="Z28"/>
      <c r="AA28"/>
    </row>
    <row r="29" spans="1:27" s="132" customFormat="1" ht="14.5">
      <c r="A29"/>
      <c r="B29"/>
      <c r="C29"/>
      <c r="D29"/>
      <c r="E29"/>
      <c r="F29"/>
      <c r="G29"/>
      <c r="H29"/>
      <c r="I29"/>
      <c r="J29"/>
      <c r="K29"/>
      <c r="L29"/>
      <c r="M29"/>
      <c r="N29"/>
      <c r="O29"/>
      <c r="P29"/>
      <c r="Q29"/>
      <c r="R29"/>
      <c r="S29"/>
      <c r="T29"/>
      <c r="U29"/>
      <c r="V29"/>
      <c r="W29"/>
      <c r="X29"/>
      <c r="Y29"/>
      <c r="Z29"/>
      <c r="AA29"/>
    </row>
    <row r="30" spans="1:27" s="132" customFormat="1" ht="14.5">
      <c r="A30"/>
      <c r="B30"/>
      <c r="C30"/>
      <c r="D30"/>
      <c r="E30"/>
      <c r="F30"/>
      <c r="G30"/>
      <c r="H30"/>
      <c r="I30"/>
      <c r="J30"/>
      <c r="K30"/>
      <c r="L30"/>
      <c r="M30"/>
      <c r="N30"/>
      <c r="O30"/>
      <c r="P30"/>
      <c r="Q30"/>
      <c r="R30"/>
      <c r="S30"/>
      <c r="T30"/>
      <c r="U30"/>
      <c r="V30"/>
      <c r="W30"/>
      <c r="X30"/>
      <c r="Y30"/>
      <c r="Z30"/>
      <c r="AA30"/>
    </row>
    <row r="31" spans="1:27" s="132" customFormat="1" ht="14.5">
      <c r="A31"/>
      <c r="B31"/>
      <c r="C31"/>
      <c r="D31"/>
      <c r="E31"/>
      <c r="F31"/>
      <c r="G31"/>
      <c r="H31"/>
      <c r="I31"/>
      <c r="J31"/>
      <c r="K31"/>
      <c r="L31"/>
      <c r="M31"/>
      <c r="N31"/>
      <c r="O31"/>
      <c r="P31"/>
      <c r="Q31"/>
      <c r="R31"/>
      <c r="S31"/>
      <c r="T31"/>
      <c r="U31"/>
      <c r="V31"/>
      <c r="W31"/>
      <c r="X31"/>
      <c r="Y31"/>
      <c r="Z31"/>
      <c r="AA31"/>
    </row>
    <row r="32" spans="1:27" s="132" customFormat="1"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7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32.36328125" style="117" customWidth="1"/>
    <col min="2" max="4" width="7.90625" style="117" customWidth="1"/>
    <col min="5" max="10" width="15.6328125" style="117" customWidth="1"/>
    <col min="11" max="18" width="16.36328125" style="117" customWidth="1"/>
    <col min="19" max="19" width="16.36328125" style="106" customWidth="1"/>
    <col min="20" max="21" width="16.6328125" style="106" customWidth="1"/>
    <col min="22" max="16384" width="8.90625" style="117"/>
  </cols>
  <sheetData>
    <row r="1" spans="1:27" s="168" customFormat="1" ht="18.5">
      <c r="A1" s="105" t="s">
        <v>1263</v>
      </c>
      <c r="B1" s="105"/>
      <c r="C1" s="105"/>
      <c r="D1" s="105"/>
      <c r="E1" s="165"/>
      <c r="F1" s="165"/>
      <c r="G1" s="270"/>
      <c r="S1" s="165"/>
      <c r="T1" s="165"/>
      <c r="U1" s="165"/>
    </row>
    <row r="2" spans="1:27">
      <c r="A2" s="110" t="s">
        <v>1264</v>
      </c>
      <c r="B2" s="110"/>
      <c r="C2" s="110"/>
      <c r="D2" s="110"/>
      <c r="E2" s="107" t="s">
        <v>1265</v>
      </c>
      <c r="F2" s="107"/>
      <c r="G2" s="136"/>
    </row>
    <row r="3" spans="1:27">
      <c r="A3" s="107" t="s">
        <v>1266</v>
      </c>
      <c r="B3" s="107"/>
      <c r="C3" s="107"/>
      <c r="D3" s="107"/>
      <c r="E3" s="107" t="s">
        <v>1267</v>
      </c>
      <c r="F3" s="107"/>
      <c r="G3" s="136"/>
    </row>
    <row r="4" spans="1:27">
      <c r="A4" s="111"/>
      <c r="B4" s="111"/>
      <c r="C4" s="111"/>
      <c r="D4" s="111"/>
      <c r="E4" s="112" t="s">
        <v>47</v>
      </c>
      <c r="F4" s="113" t="s">
        <v>54</v>
      </c>
      <c r="G4" s="113"/>
      <c r="H4" s="116" t="s">
        <v>56</v>
      </c>
      <c r="I4" s="116"/>
      <c r="J4" s="150"/>
      <c r="K4" s="150"/>
      <c r="L4" s="150"/>
      <c r="M4" s="173" t="s">
        <v>57</v>
      </c>
      <c r="N4" s="271"/>
      <c r="O4" s="195" t="s">
        <v>58</v>
      </c>
      <c r="S4" s="107"/>
      <c r="T4" s="107"/>
      <c r="U4" s="110"/>
    </row>
    <row r="5" spans="1:27">
      <c r="A5" s="118"/>
      <c r="B5" s="118"/>
      <c r="C5" s="118"/>
      <c r="D5" s="118"/>
      <c r="E5" s="119" t="s">
        <v>548</v>
      </c>
      <c r="F5" s="120" t="s">
        <v>549</v>
      </c>
      <c r="G5" s="120"/>
      <c r="H5" s="116" t="s">
        <v>550</v>
      </c>
      <c r="I5" s="169"/>
      <c r="J5" s="150"/>
      <c r="K5" s="150"/>
      <c r="L5" s="150"/>
      <c r="M5" s="174" t="s">
        <v>814</v>
      </c>
      <c r="N5" s="272"/>
      <c r="O5" s="198" t="s">
        <v>921</v>
      </c>
      <c r="P5" s="118"/>
      <c r="Q5" s="118"/>
      <c r="R5" s="118"/>
      <c r="S5" s="107"/>
      <c r="T5" s="107"/>
      <c r="U5" s="110"/>
      <c r="V5" s="118"/>
    </row>
    <row r="6" spans="1:27">
      <c r="A6" s="122"/>
      <c r="B6" s="122"/>
      <c r="C6" s="122"/>
      <c r="D6" s="122"/>
      <c r="E6" s="3" t="s">
        <v>338</v>
      </c>
      <c r="F6" s="90" t="s">
        <v>340</v>
      </c>
      <c r="G6" s="90" t="s">
        <v>341</v>
      </c>
      <c r="H6" s="91" t="s">
        <v>342</v>
      </c>
      <c r="I6" s="91" t="s">
        <v>343</v>
      </c>
      <c r="J6" s="91" t="s">
        <v>344</v>
      </c>
      <c r="K6" s="91" t="s">
        <v>345</v>
      </c>
      <c r="L6" s="91" t="s">
        <v>346</v>
      </c>
      <c r="M6" s="176" t="s">
        <v>347</v>
      </c>
      <c r="N6" s="201" t="s">
        <v>349</v>
      </c>
      <c r="O6" s="273" t="s">
        <v>350</v>
      </c>
      <c r="P6" s="93"/>
      <c r="Q6" s="93"/>
      <c r="R6" s="93"/>
    </row>
    <row r="7" spans="1:27" ht="130">
      <c r="A7" s="124" t="s">
        <v>652</v>
      </c>
      <c r="B7" s="124"/>
      <c r="C7" s="124"/>
      <c r="D7" s="124"/>
      <c r="E7" s="97" t="s">
        <v>1268</v>
      </c>
      <c r="F7" s="97" t="s">
        <v>1269</v>
      </c>
      <c r="G7" s="97" t="s">
        <v>1270</v>
      </c>
      <c r="H7" s="97" t="s">
        <v>1271</v>
      </c>
      <c r="I7" s="97" t="s">
        <v>1272</v>
      </c>
      <c r="J7" s="97" t="s">
        <v>1273</v>
      </c>
      <c r="K7" s="97" t="s">
        <v>1274</v>
      </c>
      <c r="L7" s="97" t="s">
        <v>1275</v>
      </c>
      <c r="M7" s="204" t="s">
        <v>1276</v>
      </c>
      <c r="N7" s="97" t="s">
        <v>1277</v>
      </c>
      <c r="O7" s="274" t="s">
        <v>1278</v>
      </c>
      <c r="P7" s="93"/>
      <c r="Q7" s="93"/>
      <c r="R7" s="275"/>
      <c r="S7" s="276"/>
      <c r="T7" s="276"/>
      <c r="U7" s="276"/>
    </row>
    <row r="8" spans="1:27" ht="96">
      <c r="A8" s="122" t="s">
        <v>562</v>
      </c>
      <c r="B8" s="122"/>
      <c r="C8" s="122"/>
      <c r="D8" s="122"/>
      <c r="E8" s="98" t="s">
        <v>1279</v>
      </c>
      <c r="F8" s="98" t="s">
        <v>1280</v>
      </c>
      <c r="G8" s="98" t="s">
        <v>1281</v>
      </c>
      <c r="H8" s="98" t="s">
        <v>1282</v>
      </c>
      <c r="I8" s="98" t="s">
        <v>1283</v>
      </c>
      <c r="J8" s="98" t="s">
        <v>1284</v>
      </c>
      <c r="K8" s="98" t="s">
        <v>1285</v>
      </c>
      <c r="L8" s="98" t="s">
        <v>1286</v>
      </c>
      <c r="M8" s="207" t="s">
        <v>1287</v>
      </c>
      <c r="N8" s="98" t="s">
        <v>1288</v>
      </c>
      <c r="O8" s="208" t="s">
        <v>1289</v>
      </c>
      <c r="P8" s="99"/>
      <c r="Q8" s="99"/>
      <c r="R8" s="99"/>
    </row>
    <row r="9" spans="1:27" ht="168">
      <c r="A9" s="122" t="s">
        <v>96</v>
      </c>
      <c r="B9" s="122"/>
      <c r="C9" s="122"/>
      <c r="D9" s="122"/>
      <c r="E9" s="125" t="s">
        <v>1290</v>
      </c>
      <c r="F9" s="98" t="s">
        <v>1291</v>
      </c>
      <c r="G9" s="98" t="s">
        <v>1292</v>
      </c>
      <c r="H9" s="98" t="s">
        <v>1293</v>
      </c>
      <c r="I9" s="98" t="s">
        <v>1294</v>
      </c>
      <c r="J9" s="98" t="s">
        <v>1295</v>
      </c>
      <c r="K9" s="98" t="s">
        <v>1296</v>
      </c>
      <c r="L9" s="98" t="s">
        <v>1297</v>
      </c>
      <c r="M9" s="207" t="s">
        <v>1298</v>
      </c>
      <c r="N9" s="98" t="s">
        <v>1299</v>
      </c>
      <c r="O9" s="208" t="s">
        <v>1300</v>
      </c>
      <c r="P9" s="99"/>
      <c r="Q9" s="99"/>
      <c r="R9" s="99"/>
    </row>
    <row r="10" spans="1:27" ht="156">
      <c r="A10" s="122" t="s">
        <v>583</v>
      </c>
      <c r="B10" s="122"/>
      <c r="C10" s="122"/>
      <c r="D10" s="122"/>
      <c r="E10" s="102" t="s">
        <v>1301</v>
      </c>
      <c r="F10" s="102" t="s">
        <v>1302</v>
      </c>
      <c r="G10" s="102" t="s">
        <v>1303</v>
      </c>
      <c r="H10" s="102" t="s">
        <v>1304</v>
      </c>
      <c r="I10" s="102" t="s">
        <v>1305</v>
      </c>
      <c r="J10" s="102" t="s">
        <v>521</v>
      </c>
      <c r="K10" s="102" t="s">
        <v>1306</v>
      </c>
      <c r="L10" s="102" t="s">
        <v>1307</v>
      </c>
      <c r="M10" s="209" t="s">
        <v>1308</v>
      </c>
      <c r="N10" s="102" t="s">
        <v>1309</v>
      </c>
      <c r="O10" s="277" t="s">
        <v>1310</v>
      </c>
      <c r="P10" s="152"/>
      <c r="Q10" s="152"/>
      <c r="R10" s="152"/>
    </row>
    <row r="11" spans="1:27" ht="87.65" customHeight="1">
      <c r="A11" s="135" t="s">
        <v>85</v>
      </c>
      <c r="B11" s="135"/>
      <c r="C11" s="135"/>
      <c r="D11" s="135"/>
      <c r="E11" s="102" t="s">
        <v>1311</v>
      </c>
      <c r="F11" s="102" t="s">
        <v>1312</v>
      </c>
      <c r="G11" s="102" t="s">
        <v>1313</v>
      </c>
      <c r="H11" s="102" t="s">
        <v>1314</v>
      </c>
      <c r="I11" s="102" t="s">
        <v>1315</v>
      </c>
      <c r="J11" s="102" t="s">
        <v>1316</v>
      </c>
      <c r="K11" s="102" t="s">
        <v>1317</v>
      </c>
      <c r="L11" s="102" t="s">
        <v>1318</v>
      </c>
      <c r="M11" s="209" t="s">
        <v>1308</v>
      </c>
      <c r="N11" s="102" t="s">
        <v>1309</v>
      </c>
      <c r="O11" s="277" t="s">
        <v>1310</v>
      </c>
      <c r="P11" s="152"/>
      <c r="Q11" s="152"/>
      <c r="R11" s="152"/>
    </row>
    <row r="13" spans="1:27">
      <c r="M13" s="278"/>
      <c r="N13" s="278"/>
      <c r="O13" s="278"/>
      <c r="P13" s="278"/>
      <c r="Q13" s="278"/>
      <c r="R13" s="278"/>
    </row>
    <row r="14" spans="1:27">
      <c r="M14" s="154"/>
      <c r="N14" s="154"/>
      <c r="O14" s="155"/>
    </row>
    <row r="15" spans="1:27" customFormat="1">
      <c r="A15" t="s">
        <v>452</v>
      </c>
      <c r="B15" t="s">
        <v>104</v>
      </c>
      <c r="C15" s="295" t="s">
        <v>105</v>
      </c>
      <c r="D15" s="295" t="s">
        <v>451</v>
      </c>
      <c r="E15" s="14" t="s">
        <v>338</v>
      </c>
      <c r="F15" s="14" t="s">
        <v>340</v>
      </c>
      <c r="G15" s="14" t="s">
        <v>341</v>
      </c>
      <c r="H15" s="14" t="s">
        <v>342</v>
      </c>
      <c r="I15" s="14" t="s">
        <v>343</v>
      </c>
      <c r="J15" s="14" t="s">
        <v>344</v>
      </c>
      <c r="K15" s="14" t="s">
        <v>345</v>
      </c>
      <c r="L15" s="14" t="s">
        <v>346</v>
      </c>
      <c r="M15" s="14" t="s">
        <v>347</v>
      </c>
      <c r="N15" s="14" t="s">
        <v>349</v>
      </c>
      <c r="O15" s="297" t="s">
        <v>350</v>
      </c>
      <c r="P15" s="117"/>
      <c r="Q15" s="297"/>
      <c r="R15" s="297"/>
      <c r="S15" s="106"/>
    </row>
    <row r="16" spans="1:27">
      <c r="A16" t="s">
        <v>545</v>
      </c>
      <c r="B16" s="15" t="s">
        <v>104</v>
      </c>
      <c r="C16" s="15" t="str">
        <f>HYPERLINK("01-组织级\02-组织工作库\06-度量\原因分析和解决方案报告(QCUBIC-SPI-CAR_Data quality analysis)V1.0-engl.xlsx", "engl")</f>
        <v>engl</v>
      </c>
      <c r="D16"/>
      <c r="E16" t="s">
        <v>435</v>
      </c>
      <c r="F16" t="s">
        <v>435</v>
      </c>
      <c r="G16" t="s">
        <v>435</v>
      </c>
      <c r="H16" t="s">
        <v>435</v>
      </c>
      <c r="I16" t="s">
        <v>435</v>
      </c>
      <c r="J16" t="s">
        <v>435</v>
      </c>
      <c r="K16" t="s">
        <v>435</v>
      </c>
      <c r="L16" t="s">
        <v>435</v>
      </c>
      <c r="M16"/>
      <c r="N16"/>
      <c r="O16"/>
      <c r="P16"/>
      <c r="Q16"/>
      <c r="R16"/>
      <c r="S16"/>
      <c r="T16"/>
      <c r="U16"/>
      <c r="V16"/>
      <c r="W16"/>
      <c r="X16"/>
      <c r="Y16"/>
      <c r="Z16"/>
      <c r="AA16"/>
    </row>
    <row r="17" spans="1:27">
      <c r="A17" t="s">
        <v>545</v>
      </c>
      <c r="B17" s="15" t="s">
        <v>104</v>
      </c>
      <c r="C17" s="15" t="str">
        <f>HYPERLINK("01-组织级\01-组织财富库\01-标准过程文件库\03-支持类\07-原因分析和解决过程\原因分析和解决过程(QCUBIC-SPI-CAR_Pro)V1.2-engl.docx", "engl")</f>
        <v>engl</v>
      </c>
      <c r="D17"/>
      <c r="E17" t="s">
        <v>435</v>
      </c>
      <c r="F17" t="s">
        <v>435</v>
      </c>
      <c r="G17" t="s">
        <v>435</v>
      </c>
      <c r="H17" t="s">
        <v>435</v>
      </c>
      <c r="I17" t="s">
        <v>435</v>
      </c>
      <c r="J17" t="s">
        <v>435</v>
      </c>
      <c r="K17" t="s">
        <v>435</v>
      </c>
      <c r="L17" t="s">
        <v>435</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51.453125" style="118" customWidth="1"/>
    <col min="2" max="4" width="7.90625" style="118" customWidth="1"/>
    <col min="5" max="6" width="15.6328125" style="118" customWidth="1"/>
    <col min="7" max="12" width="15.6328125" style="136" customWidth="1"/>
    <col min="13" max="13" width="81.6328125" style="136" bestFit="1" customWidth="1"/>
    <col min="14" max="14" width="3.6328125" style="136" customWidth="1"/>
    <col min="15" max="15" width="35.08984375" style="136" bestFit="1" customWidth="1"/>
    <col min="16" max="16" width="78.453125" style="118" customWidth="1"/>
    <col min="17" max="17" width="25.36328125" style="118" customWidth="1"/>
    <col min="18" max="16384" width="8.6328125" style="118"/>
  </cols>
  <sheetData>
    <row r="1" spans="1:27" s="137" customFormat="1" ht="18.5">
      <c r="A1" s="105" t="s">
        <v>1319</v>
      </c>
      <c r="B1" s="105"/>
      <c r="C1" s="105"/>
      <c r="D1" s="105"/>
      <c r="E1" s="106"/>
      <c r="F1" s="107"/>
      <c r="G1" s="136"/>
      <c r="H1" s="136"/>
      <c r="I1" s="136"/>
      <c r="J1" s="136"/>
      <c r="K1" s="136"/>
      <c r="L1" s="136"/>
      <c r="M1" s="136"/>
      <c r="N1" s="136"/>
      <c r="O1" s="136"/>
    </row>
    <row r="2" spans="1:27" s="138" customFormat="1">
      <c r="A2" s="110" t="s">
        <v>1264</v>
      </c>
      <c r="B2" s="110"/>
      <c r="C2" s="110"/>
      <c r="D2" s="110"/>
      <c r="E2" s="107" t="s">
        <v>1320</v>
      </c>
      <c r="F2" s="107"/>
      <c r="G2" s="136"/>
      <c r="H2" s="136"/>
      <c r="I2" s="136"/>
      <c r="J2" s="136"/>
      <c r="K2" s="136"/>
      <c r="L2" s="136"/>
      <c r="M2" s="136"/>
      <c r="N2" s="136"/>
      <c r="O2" s="136"/>
    </row>
    <row r="3" spans="1:27" s="139" customFormat="1">
      <c r="A3" s="107" t="s">
        <v>1266</v>
      </c>
      <c r="B3" s="107"/>
      <c r="C3" s="107"/>
      <c r="D3" s="107"/>
      <c r="E3" s="107" t="s">
        <v>1321</v>
      </c>
      <c r="F3" s="107"/>
      <c r="G3" s="136"/>
      <c r="H3" s="136"/>
      <c r="I3" s="136"/>
      <c r="J3" s="136"/>
      <c r="K3" s="136"/>
      <c r="L3" s="136"/>
      <c r="M3" s="136"/>
      <c r="N3" s="136"/>
      <c r="O3" s="136"/>
    </row>
    <row r="4" spans="1:27" s="138" customFormat="1" ht="14.5">
      <c r="A4" s="111"/>
      <c r="B4" s="111"/>
      <c r="C4" s="111"/>
      <c r="D4" s="111"/>
      <c r="E4" s="112" t="s">
        <v>47</v>
      </c>
      <c r="F4" s="149"/>
      <c r="G4" s="113" t="s">
        <v>54</v>
      </c>
      <c r="H4" s="114"/>
      <c r="I4" s="113"/>
      <c r="J4" s="115"/>
      <c r="K4" s="115"/>
      <c r="L4" s="279" t="s">
        <v>56</v>
      </c>
      <c r="M4" s="107"/>
      <c r="N4" s="107"/>
      <c r="O4" s="107"/>
      <c r="P4" s="117"/>
      <c r="Q4" s="117"/>
    </row>
    <row r="5" spans="1:27" s="130" customFormat="1" ht="14.5">
      <c r="A5" s="118"/>
      <c r="B5" s="118"/>
      <c r="C5" s="118"/>
      <c r="D5" s="118"/>
      <c r="E5" s="119" t="s">
        <v>548</v>
      </c>
      <c r="F5" s="149"/>
      <c r="G5" s="120" t="s">
        <v>549</v>
      </c>
      <c r="H5" s="114"/>
      <c r="I5" s="120"/>
      <c r="J5" s="115"/>
      <c r="K5" s="115"/>
      <c r="L5" s="279" t="s">
        <v>550</v>
      </c>
      <c r="M5" s="107"/>
      <c r="N5" s="107"/>
      <c r="O5" s="107"/>
      <c r="P5" s="118"/>
      <c r="Q5" s="117"/>
    </row>
    <row r="6" spans="1:27" s="130" customFormat="1">
      <c r="A6" s="122"/>
      <c r="B6" s="122"/>
      <c r="C6" s="122"/>
      <c r="D6" s="122"/>
      <c r="E6" s="3" t="s">
        <v>362</v>
      </c>
      <c r="F6" s="3" t="s">
        <v>363</v>
      </c>
      <c r="G6" s="90" t="s">
        <v>364</v>
      </c>
      <c r="H6" s="90" t="s">
        <v>365</v>
      </c>
      <c r="I6" s="90" t="s">
        <v>366</v>
      </c>
      <c r="J6" s="90" t="s">
        <v>367</v>
      </c>
      <c r="K6" s="90" t="s">
        <v>368</v>
      </c>
      <c r="L6" s="91" t="s">
        <v>369</v>
      </c>
      <c r="M6" s="93"/>
      <c r="N6" s="93"/>
      <c r="O6" s="93"/>
      <c r="P6" s="136"/>
    </row>
    <row r="7" spans="1:27" s="130" customFormat="1" ht="91">
      <c r="A7" s="124" t="s">
        <v>551</v>
      </c>
      <c r="B7" s="124"/>
      <c r="C7" s="124"/>
      <c r="D7" s="124"/>
      <c r="E7" s="97" t="s">
        <v>1322</v>
      </c>
      <c r="F7" s="97" t="s">
        <v>1323</v>
      </c>
      <c r="G7" s="97" t="s">
        <v>1324</v>
      </c>
      <c r="H7" s="97" t="s">
        <v>1325</v>
      </c>
      <c r="I7" s="97" t="s">
        <v>1326</v>
      </c>
      <c r="J7" s="97" t="s">
        <v>1327</v>
      </c>
      <c r="K7" s="97" t="s">
        <v>1328</v>
      </c>
      <c r="L7" s="97" t="s">
        <v>1329</v>
      </c>
      <c r="M7" s="93"/>
      <c r="N7" s="93"/>
      <c r="O7" s="93"/>
    </row>
    <row r="8" spans="1:27" s="130" customFormat="1" ht="109.4" customHeight="1">
      <c r="A8" s="122" t="s">
        <v>562</v>
      </c>
      <c r="B8" s="122"/>
      <c r="C8" s="122"/>
      <c r="D8" s="122"/>
      <c r="E8" s="125" t="s">
        <v>1330</v>
      </c>
      <c r="F8" s="125" t="s">
        <v>1331</v>
      </c>
      <c r="G8" s="98" t="s">
        <v>1332</v>
      </c>
      <c r="H8" s="98" t="s">
        <v>1333</v>
      </c>
      <c r="I8" s="98" t="s">
        <v>1334</v>
      </c>
      <c r="J8" s="125" t="s">
        <v>1335</v>
      </c>
      <c r="K8" s="125" t="s">
        <v>1336</v>
      </c>
      <c r="L8" s="98" t="s">
        <v>1337</v>
      </c>
      <c r="M8" s="99"/>
      <c r="N8" s="99"/>
      <c r="O8" s="99"/>
    </row>
    <row r="9" spans="1:27" s="130" customFormat="1" ht="152.4" customHeight="1">
      <c r="A9" s="122" t="s">
        <v>96</v>
      </c>
      <c r="B9" s="122"/>
      <c r="C9" s="122"/>
      <c r="D9" s="122"/>
      <c r="E9" s="98" t="s">
        <v>1338</v>
      </c>
      <c r="F9" s="125" t="s">
        <v>1339</v>
      </c>
      <c r="G9" s="98" t="s">
        <v>1340</v>
      </c>
      <c r="H9" s="125" t="s">
        <v>1341</v>
      </c>
      <c r="I9" s="98" t="s">
        <v>1342</v>
      </c>
      <c r="J9" s="98" t="s">
        <v>1343</v>
      </c>
      <c r="K9" s="98" t="s">
        <v>1344</v>
      </c>
      <c r="L9" s="125" t="s">
        <v>1345</v>
      </c>
      <c r="M9" s="127"/>
      <c r="N9" s="127"/>
      <c r="O9" s="127"/>
    </row>
    <row r="10" spans="1:27" s="130" customFormat="1" ht="150" customHeight="1">
      <c r="A10" s="122" t="s">
        <v>583</v>
      </c>
      <c r="B10" s="122"/>
      <c r="C10" s="122"/>
      <c r="D10" s="122"/>
      <c r="E10" s="102" t="s">
        <v>1346</v>
      </c>
      <c r="F10" s="102" t="s">
        <v>1347</v>
      </c>
      <c r="G10" s="102" t="s">
        <v>1348</v>
      </c>
      <c r="H10" s="102" t="s">
        <v>1349</v>
      </c>
      <c r="I10" s="102" t="s">
        <v>1350</v>
      </c>
      <c r="J10" s="102" t="s">
        <v>1351</v>
      </c>
      <c r="K10" s="102" t="s">
        <v>1352</v>
      </c>
      <c r="L10" s="102" t="s">
        <v>1353</v>
      </c>
      <c r="M10" s="152"/>
      <c r="N10" s="152"/>
      <c r="O10" s="152"/>
    </row>
    <row r="11" spans="1:27" s="130" customFormat="1" ht="74.400000000000006" customHeight="1">
      <c r="A11" s="135" t="s">
        <v>85</v>
      </c>
      <c r="B11" s="135"/>
      <c r="C11" s="135"/>
      <c r="D11" s="135"/>
      <c r="E11" s="102" t="s">
        <v>1354</v>
      </c>
      <c r="F11" s="102" t="s">
        <v>1355</v>
      </c>
      <c r="G11" s="102" t="s">
        <v>1356</v>
      </c>
      <c r="H11" s="102" t="s">
        <v>1357</v>
      </c>
      <c r="I11" s="102" t="s">
        <v>1358</v>
      </c>
      <c r="J11" s="102" t="s">
        <v>1359</v>
      </c>
      <c r="K11" s="102" t="s">
        <v>1360</v>
      </c>
      <c r="L11" s="102" t="s">
        <v>1361</v>
      </c>
      <c r="M11" s="152"/>
      <c r="N11" s="152"/>
      <c r="O11" s="152"/>
    </row>
    <row r="12" spans="1:27" s="130" customFormat="1"/>
    <row r="13" spans="1:27" s="130" customFormat="1"/>
    <row r="14" spans="1:27" s="130" customFormat="1"/>
    <row r="15" spans="1:27" customFormat="1" ht="14.5">
      <c r="A15" t="s">
        <v>452</v>
      </c>
      <c r="B15" t="s">
        <v>104</v>
      </c>
      <c r="C15" t="s">
        <v>105</v>
      </c>
      <c r="D15" s="295" t="s">
        <v>451</v>
      </c>
      <c r="E15" s="14" t="s">
        <v>362</v>
      </c>
      <c r="F15" s="14" t="s">
        <v>363</v>
      </c>
      <c r="G15" s="14" t="s">
        <v>364</v>
      </c>
      <c r="H15" s="14" t="s">
        <v>365</v>
      </c>
      <c r="I15" s="14" t="s">
        <v>366</v>
      </c>
      <c r="J15" s="14" t="s">
        <v>367</v>
      </c>
      <c r="K15" s="14" t="s">
        <v>368</v>
      </c>
      <c r="L15" s="14" t="s">
        <v>369</v>
      </c>
    </row>
    <row r="16" spans="1:27" ht="14.5">
      <c r="A16" t="s">
        <v>545</v>
      </c>
      <c r="B16" s="15" t="s">
        <v>104</v>
      </c>
      <c r="C16" s="15" t="str">
        <f>HYPERLINK("01-组织级\02-组织工作库\02-EPG活动库\08-决策分析\01-决策分析报告（QCUBIC-SPI-dar-evaluaterpt)V1.0-engl.xlsx", "engl")</f>
        <v>engl</v>
      </c>
      <c r="D16"/>
      <c r="E16" t="s">
        <v>435</v>
      </c>
      <c r="F16" t="s">
        <v>435</v>
      </c>
      <c r="G16" t="s">
        <v>435</v>
      </c>
      <c r="H16" t="s">
        <v>435</v>
      </c>
      <c r="I16" t="s">
        <v>435</v>
      </c>
      <c r="J16" t="s">
        <v>435</v>
      </c>
      <c r="K16" t="s">
        <v>435</v>
      </c>
      <c r="L16" t="s">
        <v>435</v>
      </c>
      <c r="M16"/>
      <c r="N16"/>
      <c r="O16"/>
      <c r="P16"/>
      <c r="Q16"/>
      <c r="R16"/>
      <c r="S16"/>
      <c r="T16"/>
      <c r="U16"/>
      <c r="V16"/>
      <c r="W16"/>
      <c r="X16"/>
      <c r="Y16"/>
      <c r="Z16"/>
      <c r="AA16"/>
    </row>
    <row r="17" spans="1:27" ht="14.5">
      <c r="A17" t="s">
        <v>545</v>
      </c>
      <c r="B17" s="15" t="s">
        <v>104</v>
      </c>
      <c r="C17" s="15" t="str">
        <f>HYPERLINK("01-组织级\01-组织财富库\01-标准过程文件库\03-支持类\04-决策分析\决策分析和解决方案(QCUBIC-SPI-OPAL-Tem-Proc)V1.2-engl.docx", "engl")</f>
        <v>engl</v>
      </c>
      <c r="D17"/>
      <c r="E17"/>
      <c r="F17"/>
      <c r="G17" t="s">
        <v>435</v>
      </c>
      <c r="H17" t="s">
        <v>435</v>
      </c>
      <c r="I17"/>
      <c r="J17"/>
      <c r="K17"/>
      <c r="L17" t="s">
        <v>435</v>
      </c>
      <c r="M17"/>
      <c r="N17"/>
      <c r="O17"/>
      <c r="P17"/>
      <c r="Q17"/>
      <c r="R17"/>
      <c r="S17"/>
      <c r="T17"/>
      <c r="U17"/>
      <c r="V17"/>
      <c r="W17"/>
      <c r="X17"/>
      <c r="Y17"/>
      <c r="Z17"/>
      <c r="AA17"/>
    </row>
    <row r="18" spans="1:27" ht="14.5">
      <c r="A18"/>
      <c r="B18"/>
      <c r="C18"/>
      <c r="D18"/>
      <c r="E18"/>
      <c r="F18"/>
      <c r="G18"/>
      <c r="H18"/>
      <c r="I18"/>
      <c r="J18"/>
      <c r="K18"/>
      <c r="L18"/>
      <c r="M18"/>
      <c r="N18"/>
      <c r="O18"/>
      <c r="P18"/>
      <c r="Q18"/>
      <c r="R18"/>
      <c r="S18"/>
      <c r="T18"/>
      <c r="U18"/>
      <c r="V18"/>
      <c r="W18"/>
      <c r="X18"/>
      <c r="Y18"/>
      <c r="Z18"/>
      <c r="AA18"/>
    </row>
    <row r="19" spans="1:27" ht="14.5">
      <c r="A19"/>
      <c r="B19"/>
      <c r="C19"/>
      <c r="D19"/>
      <c r="E19"/>
      <c r="F19"/>
      <c r="G19"/>
      <c r="H19"/>
      <c r="I19"/>
      <c r="J19"/>
      <c r="K19"/>
      <c r="L19"/>
      <c r="M19"/>
      <c r="N19"/>
      <c r="O19"/>
      <c r="P19"/>
      <c r="Q19"/>
      <c r="R19"/>
      <c r="S19"/>
      <c r="T19"/>
      <c r="U19"/>
      <c r="V19"/>
      <c r="W19"/>
      <c r="X19"/>
      <c r="Y19"/>
      <c r="Z19"/>
      <c r="AA19"/>
    </row>
    <row r="20" spans="1:27" ht="14.5">
      <c r="A20"/>
      <c r="B20"/>
      <c r="C20"/>
      <c r="D20"/>
      <c r="E20"/>
      <c r="F20"/>
      <c r="G20"/>
      <c r="H20"/>
      <c r="I20"/>
      <c r="J20"/>
      <c r="K20"/>
      <c r="L20"/>
      <c r="M20"/>
      <c r="N20"/>
      <c r="O20"/>
      <c r="P20"/>
      <c r="Q20"/>
      <c r="R20"/>
      <c r="S20"/>
      <c r="T20"/>
      <c r="U20"/>
      <c r="V20"/>
      <c r="W20"/>
      <c r="X20"/>
      <c r="Y20"/>
      <c r="Z20"/>
      <c r="AA20"/>
    </row>
    <row r="21" spans="1:27" ht="14.5">
      <c r="A21"/>
      <c r="B21"/>
      <c r="C21"/>
      <c r="D21"/>
      <c r="E21"/>
      <c r="F21"/>
      <c r="G21"/>
      <c r="H21"/>
      <c r="I21"/>
      <c r="J21"/>
      <c r="K21"/>
      <c r="L21"/>
      <c r="M21"/>
      <c r="N21"/>
      <c r="O21"/>
      <c r="P21"/>
      <c r="Q21"/>
      <c r="R21"/>
      <c r="S21"/>
      <c r="T21"/>
      <c r="U21"/>
      <c r="V21"/>
      <c r="W21"/>
      <c r="X21"/>
      <c r="Y21"/>
      <c r="Z21"/>
      <c r="AA21"/>
    </row>
    <row r="22" spans="1:27" ht="14.5">
      <c r="A22"/>
      <c r="B22"/>
      <c r="C22"/>
      <c r="D22"/>
      <c r="E22"/>
      <c r="F22"/>
      <c r="G22"/>
      <c r="H22"/>
      <c r="I22"/>
      <c r="J22"/>
      <c r="K22"/>
      <c r="L22"/>
      <c r="M22"/>
      <c r="N22"/>
      <c r="O22"/>
      <c r="P22"/>
      <c r="Q22"/>
      <c r="R22"/>
      <c r="S22"/>
      <c r="T22"/>
      <c r="U22"/>
      <c r="V22"/>
      <c r="W22"/>
      <c r="X22"/>
      <c r="Y22"/>
      <c r="Z22"/>
      <c r="AA22"/>
    </row>
    <row r="23" spans="1:27" ht="14.5">
      <c r="A23"/>
      <c r="B23"/>
      <c r="C23"/>
      <c r="D23"/>
      <c r="E23"/>
      <c r="F23"/>
      <c r="G23"/>
      <c r="H23"/>
      <c r="I23"/>
      <c r="J23"/>
      <c r="K23"/>
      <c r="L23"/>
      <c r="M23"/>
      <c r="N23"/>
      <c r="O23"/>
      <c r="P23"/>
      <c r="Q23"/>
      <c r="R23"/>
      <c r="S23"/>
      <c r="T23"/>
      <c r="U23"/>
      <c r="V23"/>
      <c r="W23"/>
      <c r="X23"/>
      <c r="Y23"/>
      <c r="Z23"/>
      <c r="AA23"/>
    </row>
    <row r="24" spans="1:27" ht="14.5">
      <c r="A24"/>
      <c r="B24"/>
      <c r="C24"/>
      <c r="D24"/>
      <c r="E24"/>
      <c r="F24"/>
      <c r="G24"/>
      <c r="H24"/>
      <c r="I24"/>
      <c r="J24"/>
      <c r="K24"/>
      <c r="L24"/>
      <c r="M24"/>
      <c r="N24"/>
      <c r="O24"/>
      <c r="P24"/>
      <c r="Q24"/>
      <c r="R24"/>
      <c r="S24"/>
      <c r="T24"/>
      <c r="U24"/>
      <c r="V24"/>
      <c r="W24"/>
      <c r="X24"/>
      <c r="Y24"/>
      <c r="Z24"/>
      <c r="AA24"/>
    </row>
    <row r="25" spans="1:27" ht="14.5">
      <c r="A25"/>
      <c r="B25"/>
      <c r="C25"/>
      <c r="D25"/>
      <c r="E25"/>
      <c r="F25"/>
      <c r="G25"/>
      <c r="H25"/>
      <c r="I25"/>
      <c r="J25"/>
      <c r="K25"/>
      <c r="L25"/>
      <c r="M25"/>
      <c r="N25"/>
      <c r="O25"/>
      <c r="P25"/>
      <c r="Q25"/>
      <c r="R25"/>
      <c r="S25"/>
      <c r="T25"/>
      <c r="U25"/>
      <c r="V25"/>
      <c r="W25"/>
      <c r="X25"/>
      <c r="Y25"/>
      <c r="Z25"/>
      <c r="AA25"/>
    </row>
    <row r="26" spans="1:27" ht="14.5">
      <c r="A26"/>
      <c r="B26"/>
      <c r="C26"/>
      <c r="D26"/>
      <c r="E26"/>
      <c r="F26"/>
      <c r="G26"/>
      <c r="H26"/>
      <c r="I26"/>
      <c r="J26"/>
      <c r="K26"/>
      <c r="L26"/>
      <c r="M26"/>
      <c r="N26"/>
      <c r="O26"/>
      <c r="P26"/>
      <c r="Q26"/>
      <c r="R26"/>
      <c r="S26"/>
      <c r="T26"/>
      <c r="U26"/>
      <c r="V26"/>
      <c r="W26"/>
      <c r="X26"/>
      <c r="Y26"/>
      <c r="Z26"/>
      <c r="AA26"/>
    </row>
    <row r="27" spans="1:27" ht="14.5">
      <c r="A27"/>
      <c r="B27"/>
      <c r="C27"/>
      <c r="D27"/>
      <c r="E27"/>
      <c r="F27"/>
      <c r="G27"/>
      <c r="H27"/>
      <c r="I27"/>
      <c r="J27"/>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34.453125" style="109" customWidth="1"/>
    <col min="2" max="4" width="7.90625" style="109" customWidth="1"/>
    <col min="5" max="11" width="20.6328125" style="109" customWidth="1"/>
    <col min="12" max="12" width="66.08984375" style="109" customWidth="1"/>
    <col min="13" max="13" width="3.6328125" style="109" customWidth="1"/>
    <col min="14" max="14" width="54.54296875" style="109" bestFit="1" customWidth="1"/>
    <col min="15" max="15" width="57.36328125" style="109" customWidth="1"/>
    <col min="16" max="16384" width="8.90625" style="109"/>
  </cols>
  <sheetData>
    <row r="1" spans="1:27" ht="18.5">
      <c r="A1" s="105" t="s">
        <v>1362</v>
      </c>
      <c r="B1" s="105"/>
      <c r="C1" s="105"/>
      <c r="D1" s="105"/>
      <c r="E1" s="106"/>
      <c r="F1" s="107"/>
      <c r="G1" s="108"/>
    </row>
    <row r="2" spans="1:27">
      <c r="A2" s="110" t="s">
        <v>456</v>
      </c>
      <c r="B2" s="110"/>
      <c r="C2" s="110"/>
      <c r="D2" s="110"/>
      <c r="E2" s="107" t="s">
        <v>441</v>
      </c>
      <c r="F2" s="107"/>
      <c r="G2" s="108"/>
    </row>
    <row r="3" spans="1:27">
      <c r="A3" s="107" t="s">
        <v>457</v>
      </c>
      <c r="B3" s="107"/>
      <c r="C3" s="107"/>
      <c r="D3" s="107"/>
      <c r="E3" s="107" t="s">
        <v>455</v>
      </c>
      <c r="F3" s="107"/>
      <c r="G3" s="108"/>
    </row>
    <row r="4" spans="1:27">
      <c r="A4" s="111"/>
      <c r="B4" s="111"/>
      <c r="C4" s="111"/>
      <c r="D4" s="111"/>
      <c r="E4" s="112" t="s">
        <v>47</v>
      </c>
      <c r="F4" s="113" t="s">
        <v>54</v>
      </c>
      <c r="G4" s="113"/>
      <c r="H4" s="114"/>
      <c r="I4" s="113"/>
      <c r="J4" s="115"/>
      <c r="K4" s="115"/>
      <c r="L4" s="110"/>
      <c r="M4" s="110"/>
      <c r="N4" s="110"/>
    </row>
    <row r="5" spans="1:27">
      <c r="A5" s="118"/>
      <c r="B5" s="118"/>
      <c r="C5" s="118"/>
      <c r="D5" s="118"/>
      <c r="E5" s="119" t="s">
        <v>548</v>
      </c>
      <c r="F5" s="120" t="s">
        <v>549</v>
      </c>
      <c r="G5" s="120"/>
      <c r="H5" s="114"/>
      <c r="I5" s="120"/>
      <c r="J5" s="115"/>
      <c r="K5" s="115"/>
      <c r="L5" s="110"/>
      <c r="M5" s="110"/>
      <c r="N5" s="110"/>
    </row>
    <row r="6" spans="1:27">
      <c r="A6" s="135"/>
      <c r="B6" s="135"/>
      <c r="C6" s="135"/>
      <c r="D6" s="135"/>
      <c r="E6" s="3" t="s">
        <v>352</v>
      </c>
      <c r="F6" s="90" t="s">
        <v>354</v>
      </c>
      <c r="G6" s="90" t="s">
        <v>356</v>
      </c>
      <c r="H6" s="90" t="s">
        <v>357</v>
      </c>
      <c r="I6" s="90" t="s">
        <v>358</v>
      </c>
      <c r="J6" s="90" t="s">
        <v>359</v>
      </c>
      <c r="K6" s="199" t="s">
        <v>360</v>
      </c>
      <c r="L6" s="93"/>
      <c r="M6" s="93"/>
      <c r="N6" s="93"/>
    </row>
    <row r="7" spans="1:27" ht="91">
      <c r="A7" s="124" t="s">
        <v>652</v>
      </c>
      <c r="B7" s="124"/>
      <c r="C7" s="124"/>
      <c r="D7" s="124"/>
      <c r="E7" s="97" t="s">
        <v>1363</v>
      </c>
      <c r="F7" s="97" t="s">
        <v>1364</v>
      </c>
      <c r="G7" s="97" t="s">
        <v>1365</v>
      </c>
      <c r="H7" s="97" t="s">
        <v>1366</v>
      </c>
      <c r="I7" s="97" t="s">
        <v>1367</v>
      </c>
      <c r="J7" s="97" t="s">
        <v>1368</v>
      </c>
      <c r="K7" s="97" t="s">
        <v>1369</v>
      </c>
      <c r="L7" s="93"/>
      <c r="M7" s="93"/>
      <c r="N7" s="93"/>
    </row>
    <row r="8" spans="1:27" ht="108">
      <c r="A8" s="135" t="s">
        <v>562</v>
      </c>
      <c r="B8" s="135"/>
      <c r="C8" s="135"/>
      <c r="D8" s="135"/>
      <c r="E8" s="98" t="s">
        <v>1370</v>
      </c>
      <c r="F8" s="98" t="s">
        <v>1371</v>
      </c>
      <c r="G8" s="98" t="s">
        <v>1372</v>
      </c>
      <c r="H8" s="98" t="s">
        <v>1373</v>
      </c>
      <c r="I8" s="98" t="s">
        <v>1374</v>
      </c>
      <c r="J8" s="98" t="s">
        <v>1375</v>
      </c>
      <c r="K8" s="98" t="s">
        <v>1376</v>
      </c>
      <c r="L8" s="99"/>
      <c r="M8" s="99"/>
      <c r="N8" s="99"/>
    </row>
    <row r="9" spans="1:27" ht="168">
      <c r="A9" s="135" t="s">
        <v>96</v>
      </c>
      <c r="B9" s="135"/>
      <c r="C9" s="135"/>
      <c r="D9" s="135"/>
      <c r="E9" s="98" t="s">
        <v>1377</v>
      </c>
      <c r="F9" s="98" t="s">
        <v>1378</v>
      </c>
      <c r="G9" s="98" t="s">
        <v>1379</v>
      </c>
      <c r="H9" s="98" t="s">
        <v>1380</v>
      </c>
      <c r="I9" s="98" t="s">
        <v>1381</v>
      </c>
      <c r="J9" s="98" t="s">
        <v>1382</v>
      </c>
      <c r="K9" s="98" t="s">
        <v>1383</v>
      </c>
      <c r="L9" s="99"/>
      <c r="M9" s="99"/>
      <c r="N9" s="99"/>
    </row>
    <row r="10" spans="1:27" ht="156">
      <c r="A10" s="122" t="s">
        <v>583</v>
      </c>
      <c r="B10" s="122"/>
      <c r="C10" s="122"/>
      <c r="D10" s="122"/>
      <c r="E10" s="98" t="s">
        <v>1384</v>
      </c>
      <c r="F10" s="98" t="s">
        <v>1385</v>
      </c>
      <c r="G10" s="98" t="s">
        <v>1386</v>
      </c>
      <c r="H10" s="98" t="s">
        <v>1387</v>
      </c>
      <c r="I10" s="98" t="s">
        <v>1388</v>
      </c>
      <c r="J10" s="98" t="s">
        <v>1389</v>
      </c>
      <c r="K10" s="98" t="s">
        <v>1390</v>
      </c>
      <c r="L10" s="99"/>
      <c r="M10" s="99"/>
      <c r="N10" s="99"/>
    </row>
    <row r="11" spans="1:27" ht="61.5">
      <c r="A11" s="161" t="s">
        <v>85</v>
      </c>
      <c r="B11" s="161"/>
      <c r="C11" s="161"/>
      <c r="D11" s="161"/>
      <c r="E11" s="98"/>
      <c r="F11" s="280" t="s">
        <v>1391</v>
      </c>
      <c r="G11" s="281" t="s">
        <v>1392</v>
      </c>
      <c r="H11" s="280" t="s">
        <v>1393</v>
      </c>
      <c r="I11" s="282" t="s">
        <v>1394</v>
      </c>
      <c r="J11" s="282" t="s">
        <v>1395</v>
      </c>
      <c r="K11" s="280" t="s">
        <v>1396</v>
      </c>
      <c r="L11" s="283"/>
      <c r="M11" s="283"/>
      <c r="N11" s="283"/>
    </row>
    <row r="12" spans="1:27" s="117" customFormat="1">
      <c r="A12" s="109"/>
      <c r="B12" s="109"/>
      <c r="C12" s="109"/>
      <c r="D12" s="109"/>
      <c r="E12" s="109"/>
      <c r="F12" s="109"/>
      <c r="G12" s="109"/>
      <c r="H12" s="109"/>
      <c r="I12" s="109"/>
      <c r="J12" s="109"/>
      <c r="K12" s="109"/>
      <c r="L12" s="109"/>
      <c r="M12" s="109"/>
      <c r="N12" s="109"/>
    </row>
    <row r="13" spans="1:27" s="117" customFormat="1" ht="14.4" customHeight="1">
      <c r="A13" s="109"/>
      <c r="B13" s="109"/>
      <c r="C13" s="109"/>
      <c r="D13" s="109"/>
      <c r="E13" s="109"/>
      <c r="F13" s="109"/>
      <c r="G13" s="109"/>
      <c r="H13" s="109"/>
      <c r="I13" s="109"/>
      <c r="J13" s="109"/>
      <c r="K13" s="109"/>
      <c r="L13" s="109"/>
      <c r="M13" s="109"/>
      <c r="N13" s="109"/>
    </row>
    <row r="14" spans="1:27" s="117" customFormat="1" ht="14.4" customHeight="1">
      <c r="A14" s="109"/>
      <c r="B14" s="109"/>
      <c r="C14" s="109"/>
      <c r="D14" s="109"/>
      <c r="E14" s="109"/>
      <c r="F14" s="109"/>
      <c r="G14" s="109"/>
      <c r="H14" s="109"/>
      <c r="I14" s="109"/>
      <c r="J14" s="109"/>
      <c r="K14" s="109"/>
      <c r="L14" s="109"/>
      <c r="M14" s="109"/>
      <c r="N14" s="109"/>
    </row>
    <row r="15" spans="1:27" customFormat="1">
      <c r="A15" t="s">
        <v>452</v>
      </c>
      <c r="B15" t="s">
        <v>104</v>
      </c>
      <c r="C15" t="s">
        <v>105</v>
      </c>
      <c r="D15" s="295" t="s">
        <v>451</v>
      </c>
      <c r="E15" t="s">
        <v>352</v>
      </c>
      <c r="F15" t="s">
        <v>354</v>
      </c>
      <c r="G15" t="s">
        <v>356</v>
      </c>
      <c r="H15" t="s">
        <v>357</v>
      </c>
      <c r="I15" t="s">
        <v>358</v>
      </c>
      <c r="J15" t="s">
        <v>359</v>
      </c>
      <c r="K15" t="s">
        <v>360</v>
      </c>
    </row>
    <row r="16" spans="1:27" s="117" customFormat="1" ht="14.4" customHeight="1">
      <c r="A16" t="s">
        <v>545</v>
      </c>
      <c r="B16" s="15" t="s">
        <v>104</v>
      </c>
      <c r="C16" s="15" t="str">
        <f>HYPERLINK("01-组织级\02-组织工作库\04-CM活动库\组织级配置管理计划(QCUBIC-SPI-CM-OCMPlan)V1.2-engl.xlsx", "engl")</f>
        <v>engl</v>
      </c>
      <c r="D16"/>
      <c r="E16" t="s">
        <v>435</v>
      </c>
      <c r="F16" t="s">
        <v>435</v>
      </c>
      <c r="G16" t="s">
        <v>435</v>
      </c>
      <c r="H16"/>
      <c r="I16" t="s">
        <v>435</v>
      </c>
      <c r="J16" t="s">
        <v>435</v>
      </c>
      <c r="K16"/>
      <c r="L16"/>
      <c r="M16"/>
      <c r="N16"/>
      <c r="O16"/>
      <c r="P16"/>
      <c r="Q16"/>
      <c r="R16"/>
      <c r="S16"/>
      <c r="T16"/>
      <c r="U16"/>
      <c r="V16"/>
      <c r="W16"/>
      <c r="X16"/>
      <c r="Y16"/>
      <c r="Z16"/>
      <c r="AA16"/>
    </row>
    <row r="17" spans="1:27" s="117" customFormat="1" ht="14.4" customHeight="1">
      <c r="A17" t="s">
        <v>545</v>
      </c>
      <c r="B17" s="15" t="s">
        <v>104</v>
      </c>
      <c r="C17" s="15" t="str">
        <f>HYPERLINK("01-组织级\02-组织工作库\04-CM活动库\组织配置库内容列表(ORG_-CM-TEM-PALList)V1.2-engl.xlsx", "engl")</f>
        <v>engl</v>
      </c>
      <c r="D17"/>
      <c r="E17" t="s">
        <v>435</v>
      </c>
      <c r="F17"/>
      <c r="G17"/>
      <c r="H17"/>
      <c r="I17"/>
      <c r="J17" t="s">
        <v>435</v>
      </c>
      <c r="K17"/>
      <c r="L17"/>
      <c r="M17"/>
      <c r="N17"/>
      <c r="O17"/>
      <c r="P17"/>
      <c r="Q17"/>
      <c r="R17"/>
      <c r="S17"/>
      <c r="T17"/>
      <c r="U17"/>
      <c r="V17"/>
      <c r="W17"/>
      <c r="X17"/>
      <c r="Y17"/>
      <c r="Z17"/>
      <c r="AA17"/>
    </row>
    <row r="18" spans="1:27" s="117" customFormat="1" ht="14.4" customHeight="1">
      <c r="A18" t="s">
        <v>545</v>
      </c>
      <c r="B18" s="15" t="s">
        <v>104</v>
      </c>
      <c r="C18" s="15" t="str">
        <f>HYPERLINK("01-组织级\01-组织财富库\01-标准过程文件库\03-支持类\02-配置管理\配置管理过程文件(QCUBIC-SPI-CM-Proc-Doc)V1.2-engl.docx", "engl")</f>
        <v>engl</v>
      </c>
      <c r="D18"/>
      <c r="E18"/>
      <c r="F18"/>
      <c r="G18" t="s">
        <v>435</v>
      </c>
      <c r="H18"/>
      <c r="I18" t="s">
        <v>435</v>
      </c>
      <c r="J18"/>
      <c r="K18"/>
      <c r="L18"/>
      <c r="M18"/>
      <c r="N18"/>
      <c r="O18"/>
      <c r="P18"/>
      <c r="Q18"/>
      <c r="R18"/>
      <c r="S18"/>
      <c r="T18"/>
      <c r="U18"/>
      <c r="V18"/>
      <c r="W18"/>
      <c r="X18"/>
      <c r="Y18"/>
      <c r="Z18"/>
      <c r="AA18"/>
    </row>
    <row r="19" spans="1:27" s="117" customFormat="1" ht="14.4" customHeight="1">
      <c r="A19" t="s">
        <v>545</v>
      </c>
      <c r="B19" s="15" t="s">
        <v>104</v>
      </c>
      <c r="C19" s="15" t="str">
        <f>HYPERLINK("01-组织级\02-组织工作库\04-CM活动库\基线发布报告 (QCUBIC-spi-cm-release)V1.1-engl.xlsx", "engl")</f>
        <v>engl</v>
      </c>
      <c r="D19"/>
      <c r="E19"/>
      <c r="F19"/>
      <c r="G19"/>
      <c r="H19" t="s">
        <v>435</v>
      </c>
      <c r="I19"/>
      <c r="J19"/>
      <c r="K19"/>
      <c r="L19"/>
      <c r="M19"/>
      <c r="N19"/>
      <c r="O19"/>
      <c r="P19"/>
      <c r="Q19"/>
      <c r="R19"/>
      <c r="S19"/>
      <c r="T19"/>
      <c r="U19"/>
      <c r="V19"/>
      <c r="W19"/>
      <c r="X19"/>
      <c r="Y19"/>
      <c r="Z19"/>
      <c r="AA19"/>
    </row>
    <row r="20" spans="1:27">
      <c r="A20" t="s">
        <v>545</v>
      </c>
      <c r="B20" s="15" t="s">
        <v>104</v>
      </c>
      <c r="C20" s="15" t="str">
        <f>HYPERLINK("01-组织级\02-组织工作库\04-CM活动库\组织级配置审计报告(QCUBIC-SPI-CM-Organization-level configuration audit report)V1.3-engl.xlsx", "engl")</f>
        <v>engl</v>
      </c>
      <c r="D20"/>
      <c r="E20"/>
      <c r="F20"/>
      <c r="G20"/>
      <c r="H20"/>
      <c r="I20"/>
      <c r="J20"/>
      <c r="K20" t="s">
        <v>435</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44.36328125" style="109" customWidth="1"/>
    <col min="2" max="4" width="7.90625" style="109" customWidth="1"/>
    <col min="5" max="5" width="20.6328125" style="109" customWidth="1"/>
    <col min="6" max="6" width="20.6328125" style="286" customWidth="1"/>
    <col min="7" max="10" width="20.6328125" style="109" customWidth="1"/>
    <col min="11" max="11" width="50.6328125" style="109" customWidth="1"/>
    <col min="12" max="12" width="3.6328125" style="109" customWidth="1"/>
    <col min="13" max="13" width="32.36328125" style="109" bestFit="1" customWidth="1"/>
    <col min="14" max="14" width="60.90625" style="109" customWidth="1"/>
    <col min="15" max="16384" width="8.90625" style="109"/>
  </cols>
  <sheetData>
    <row r="1" spans="1:27" ht="18.5">
      <c r="A1" s="105" t="s">
        <v>1397</v>
      </c>
      <c r="B1" s="105"/>
      <c r="C1" s="105"/>
      <c r="D1" s="105"/>
      <c r="E1" s="106"/>
      <c r="F1" s="110"/>
      <c r="G1" s="108"/>
      <c r="H1" s="108"/>
      <c r="I1" s="108"/>
      <c r="J1" s="108"/>
      <c r="K1" s="108"/>
      <c r="L1" s="108"/>
      <c r="M1" s="108"/>
    </row>
    <row r="2" spans="1:27">
      <c r="A2" s="110" t="s">
        <v>1264</v>
      </c>
      <c r="B2" s="110"/>
      <c r="C2" s="110"/>
      <c r="D2" s="110"/>
      <c r="E2" s="107" t="s">
        <v>1398</v>
      </c>
      <c r="F2" s="110"/>
      <c r="G2" s="108"/>
      <c r="H2" s="108"/>
      <c r="I2" s="108"/>
      <c r="J2" s="108"/>
      <c r="K2" s="108"/>
      <c r="L2" s="108"/>
      <c r="M2" s="108"/>
    </row>
    <row r="3" spans="1:27">
      <c r="A3" s="107" t="s">
        <v>1266</v>
      </c>
      <c r="B3" s="107"/>
      <c r="C3" s="107"/>
      <c r="D3" s="107"/>
      <c r="E3" s="107" t="s">
        <v>1399</v>
      </c>
      <c r="F3" s="110"/>
      <c r="G3" s="108"/>
      <c r="H3" s="108"/>
      <c r="I3" s="108"/>
      <c r="J3" s="108"/>
      <c r="K3" s="108"/>
      <c r="L3" s="108"/>
      <c r="M3" s="108"/>
    </row>
    <row r="4" spans="1:27">
      <c r="A4" s="111"/>
      <c r="B4" s="111"/>
      <c r="C4" s="111"/>
      <c r="D4" s="111"/>
      <c r="E4" s="112" t="s">
        <v>47</v>
      </c>
      <c r="F4" s="113" t="s">
        <v>54</v>
      </c>
      <c r="G4" s="113"/>
      <c r="H4" s="116" t="s">
        <v>56</v>
      </c>
      <c r="I4" s="116"/>
      <c r="J4" s="150"/>
      <c r="K4" s="110"/>
      <c r="L4" s="110"/>
      <c r="M4" s="110"/>
      <c r="N4" s="107"/>
      <c r="O4" s="110"/>
      <c r="P4" s="117"/>
      <c r="Q4" s="117"/>
    </row>
    <row r="5" spans="1:27">
      <c r="A5" s="118"/>
      <c r="B5" s="118"/>
      <c r="C5" s="118"/>
      <c r="D5" s="118"/>
      <c r="E5" s="119" t="s">
        <v>548</v>
      </c>
      <c r="F5" s="120" t="s">
        <v>549</v>
      </c>
      <c r="G5" s="120"/>
      <c r="H5" s="116" t="s">
        <v>550</v>
      </c>
      <c r="I5" s="169"/>
      <c r="J5" s="150"/>
      <c r="K5" s="110"/>
      <c r="L5" s="110"/>
      <c r="M5" s="110"/>
      <c r="N5" s="107"/>
      <c r="O5" s="110"/>
      <c r="P5" s="118"/>
      <c r="Q5" s="117"/>
    </row>
    <row r="6" spans="1:27">
      <c r="A6" s="284"/>
      <c r="B6" s="284"/>
      <c r="C6" s="284"/>
      <c r="D6" s="284"/>
      <c r="E6" s="3" t="s">
        <v>371</v>
      </c>
      <c r="F6" s="90" t="s">
        <v>373</v>
      </c>
      <c r="G6" s="90" t="s">
        <v>375</v>
      </c>
      <c r="H6" s="91" t="s">
        <v>376</v>
      </c>
      <c r="I6" s="91" t="s">
        <v>377</v>
      </c>
      <c r="J6" s="92" t="s">
        <v>379</v>
      </c>
      <c r="K6" s="93"/>
      <c r="L6" s="93"/>
      <c r="M6" s="93"/>
    </row>
    <row r="7" spans="1:27" ht="65">
      <c r="A7" s="285" t="s">
        <v>652</v>
      </c>
      <c r="B7" s="285"/>
      <c r="C7" s="285"/>
      <c r="D7" s="285"/>
      <c r="E7" s="97" t="s">
        <v>1400</v>
      </c>
      <c r="F7" s="97" t="s">
        <v>1401</v>
      </c>
      <c r="G7" s="97" t="s">
        <v>1402</v>
      </c>
      <c r="H7" s="97" t="s">
        <v>1403</v>
      </c>
      <c r="I7" s="97" t="s">
        <v>1404</v>
      </c>
      <c r="J7" s="97" t="s">
        <v>1405</v>
      </c>
      <c r="K7" s="93"/>
      <c r="L7" s="93"/>
      <c r="M7" s="93"/>
    </row>
    <row r="8" spans="1:27" ht="60">
      <c r="A8" s="284" t="s">
        <v>562</v>
      </c>
      <c r="B8" s="284"/>
      <c r="C8" s="284"/>
      <c r="D8" s="284"/>
      <c r="E8" s="125" t="s">
        <v>1406</v>
      </c>
      <c r="F8" s="98" t="s">
        <v>1407</v>
      </c>
      <c r="G8" s="98" t="s">
        <v>1408</v>
      </c>
      <c r="H8" s="98" t="s">
        <v>1409</v>
      </c>
      <c r="I8" s="98" t="s">
        <v>1410</v>
      </c>
      <c r="J8" s="98" t="s">
        <v>1411</v>
      </c>
      <c r="K8" s="99"/>
      <c r="L8" s="99"/>
      <c r="M8" s="99"/>
    </row>
    <row r="9" spans="1:27" ht="120">
      <c r="A9" s="284" t="s">
        <v>96</v>
      </c>
      <c r="B9" s="284"/>
      <c r="C9" s="284"/>
      <c r="D9" s="284"/>
      <c r="E9" s="125" t="s">
        <v>1412</v>
      </c>
      <c r="F9" s="98" t="s">
        <v>1413</v>
      </c>
      <c r="G9" s="98" t="s">
        <v>1414</v>
      </c>
      <c r="H9" s="98" t="s">
        <v>1415</v>
      </c>
      <c r="I9" s="98" t="s">
        <v>1416</v>
      </c>
      <c r="J9" s="98" t="s">
        <v>1417</v>
      </c>
      <c r="K9" s="99"/>
      <c r="L9" s="99"/>
      <c r="M9" s="99"/>
    </row>
    <row r="10" spans="1:27" ht="204">
      <c r="A10" s="122" t="s">
        <v>583</v>
      </c>
      <c r="B10" s="122"/>
      <c r="C10" s="122"/>
      <c r="D10" s="122"/>
      <c r="E10" s="98" t="s">
        <v>1418</v>
      </c>
      <c r="F10" s="98" t="s">
        <v>1419</v>
      </c>
      <c r="G10" s="98" t="s">
        <v>1420</v>
      </c>
      <c r="H10" s="98" t="s">
        <v>1421</v>
      </c>
      <c r="I10" s="98" t="s">
        <v>1422</v>
      </c>
      <c r="J10" s="98" t="s">
        <v>1423</v>
      </c>
      <c r="K10" s="99"/>
      <c r="L10" s="99"/>
      <c r="M10" s="99"/>
    </row>
    <row r="11" spans="1:27" ht="120">
      <c r="A11" s="287" t="s">
        <v>85</v>
      </c>
      <c r="B11" s="287"/>
      <c r="C11" s="287"/>
      <c r="D11" s="287"/>
      <c r="E11" s="98"/>
      <c r="F11" s="98" t="s">
        <v>1424</v>
      </c>
      <c r="G11" s="98" t="s">
        <v>1425</v>
      </c>
      <c r="H11" s="98" t="s">
        <v>1426</v>
      </c>
      <c r="I11" s="98" t="s">
        <v>1427</v>
      </c>
      <c r="J11" s="98" t="s">
        <v>1428</v>
      </c>
      <c r="K11" s="99"/>
      <c r="L11" s="99"/>
      <c r="M11" s="99"/>
    </row>
    <row r="12" spans="1:27" ht="36">
      <c r="F12" s="288" t="s">
        <v>1429</v>
      </c>
      <c r="G12" s="289"/>
      <c r="H12" s="288" t="s">
        <v>1430</v>
      </c>
      <c r="I12" s="289"/>
      <c r="J12" s="288" t="s">
        <v>1431</v>
      </c>
      <c r="K12" s="288"/>
      <c r="L12" s="288"/>
      <c r="M12" s="288"/>
    </row>
    <row r="13" spans="1:27" ht="36">
      <c r="F13" s="288" t="s">
        <v>1432</v>
      </c>
      <c r="G13" s="289"/>
      <c r="H13" s="289"/>
      <c r="I13" s="289"/>
      <c r="J13" s="289"/>
      <c r="K13" s="289"/>
      <c r="L13" s="289"/>
      <c r="M13" s="289"/>
    </row>
    <row r="15" spans="1:27" customFormat="1">
      <c r="A15" t="s">
        <v>452</v>
      </c>
      <c r="B15" t="s">
        <v>104</v>
      </c>
      <c r="C15" t="s">
        <v>105</v>
      </c>
      <c r="D15" s="295" t="s">
        <v>451</v>
      </c>
      <c r="E15" s="14" t="s">
        <v>371</v>
      </c>
      <c r="F15" s="14" t="s">
        <v>373</v>
      </c>
      <c r="G15" s="14" t="s">
        <v>375</v>
      </c>
      <c r="H15" s="14" t="s">
        <v>376</v>
      </c>
      <c r="I15" s="14" t="s">
        <v>377</v>
      </c>
      <c r="J15" s="14" t="s">
        <v>379</v>
      </c>
    </row>
    <row r="16" spans="1:27">
      <c r="A16" t="s">
        <v>545</v>
      </c>
      <c r="B16" s="15" t="s">
        <v>104</v>
      </c>
      <c r="C16"/>
      <c r="D16"/>
      <c r="E16" t="s">
        <v>435</v>
      </c>
      <c r="F16"/>
      <c r="G16" t="s">
        <v>435</v>
      </c>
      <c r="H16" t="s">
        <v>435</v>
      </c>
      <c r="I16"/>
      <c r="J16" t="s">
        <v>435</v>
      </c>
      <c r="K16"/>
      <c r="L16"/>
      <c r="M16"/>
      <c r="N16"/>
      <c r="O16"/>
      <c r="P16"/>
      <c r="Q16"/>
      <c r="R16"/>
      <c r="S16"/>
      <c r="T16"/>
      <c r="U16"/>
      <c r="V16"/>
      <c r="W16"/>
      <c r="X16"/>
      <c r="Y16"/>
      <c r="Z16"/>
      <c r="AA16"/>
    </row>
    <row r="17" spans="1:27">
      <c r="A17" t="s">
        <v>545</v>
      </c>
      <c r="B17" s="15" t="s">
        <v>104</v>
      </c>
      <c r="C17" s="15" t="str">
        <f>HYPERLINK("02-项目级\P3-主从数据库复制及性能提升项目\01-生存周期\03-项目策划\03-项目计划书 (QCUBIC-XNTS-PLAN-Plan)V1.1-engl.docx", "engl")</f>
        <v>engl</v>
      </c>
      <c r="D17"/>
      <c r="E17" t="s">
        <v>435</v>
      </c>
      <c r="F17" t="s">
        <v>435</v>
      </c>
      <c r="G17"/>
      <c r="H17"/>
      <c r="I17"/>
      <c r="J17"/>
      <c r="K17"/>
      <c r="L17"/>
      <c r="M17"/>
      <c r="N17"/>
      <c r="O17"/>
      <c r="P17"/>
      <c r="Q17"/>
      <c r="R17"/>
      <c r="S17"/>
      <c r="T17"/>
      <c r="U17"/>
      <c r="V17"/>
      <c r="W17"/>
      <c r="X17"/>
      <c r="Y17"/>
      <c r="Z17"/>
      <c r="AA17"/>
    </row>
    <row r="18" spans="1:27">
      <c r="A18" t="s">
        <v>545</v>
      </c>
      <c r="B18" s="15" t="s">
        <v>104</v>
      </c>
      <c r="C18" s="15" t="str">
        <f>HYPERLINK("02-项目级\P1-Qcubic数据库管理工具 V1.0\01-生存周期\03-项目策划\03-项目计划书 (QCUBIC-SJKGL-PLAN-Plan)V1.1-engl.docx", "engl")</f>
        <v>engl</v>
      </c>
      <c r="D18"/>
      <c r="E18" t="s">
        <v>435</v>
      </c>
      <c r="F18" t="s">
        <v>435</v>
      </c>
      <c r="G18"/>
      <c r="H18"/>
      <c r="I18"/>
      <c r="J18"/>
      <c r="K18"/>
      <c r="L18"/>
      <c r="M18"/>
      <c r="N18"/>
      <c r="O18"/>
      <c r="P18"/>
      <c r="Q18"/>
      <c r="R18"/>
      <c r="S18"/>
      <c r="T18"/>
      <c r="U18"/>
      <c r="V18"/>
      <c r="W18"/>
      <c r="X18"/>
      <c r="Y18"/>
      <c r="Z18"/>
      <c r="AA18"/>
    </row>
    <row r="19" spans="1:27">
      <c r="A19" t="s">
        <v>545</v>
      </c>
      <c r="B19" s="15" t="s">
        <v>104</v>
      </c>
      <c r="C19" s="15" t="str">
        <f>HYPERLINK("02-项目级\P2-Qcubic to MySQL数据同步工具 V1.0\01-生存周期\03-项目策划\03-项目计划书 (QCUBIC-SJTB-PLAN-Plan)V1.0-engl.docx", "engl")</f>
        <v>engl</v>
      </c>
      <c r="D19"/>
      <c r="E19" t="s">
        <v>435</v>
      </c>
      <c r="F19" t="s">
        <v>435</v>
      </c>
      <c r="G19"/>
      <c r="H19"/>
      <c r="I19"/>
      <c r="J19"/>
      <c r="K19"/>
      <c r="L19"/>
      <c r="M19"/>
      <c r="N19"/>
      <c r="O19"/>
      <c r="P19"/>
      <c r="Q19"/>
      <c r="R19"/>
      <c r="S19"/>
      <c r="T19"/>
      <c r="U19"/>
      <c r="V19"/>
      <c r="W19"/>
      <c r="X19"/>
      <c r="Y19"/>
      <c r="Z19"/>
      <c r="AA19"/>
    </row>
    <row r="20" spans="1:27">
      <c r="A20" t="s">
        <v>545</v>
      </c>
      <c r="B20" s="15" t="s">
        <v>104</v>
      </c>
      <c r="C20" s="15" t="str">
        <f>HYPERLINK("01-组织级\02-组织工作库\02-EPG活动库\03-过程改进计划\过程改进计划(QCUBIC-SPI-PIM-PIPlan)V1.2-engl.docx", "engl")</f>
        <v>engl</v>
      </c>
      <c r="D20"/>
      <c r="E20"/>
      <c r="F20" t="s">
        <v>435</v>
      </c>
      <c r="G20"/>
      <c r="H20"/>
      <c r="I20"/>
      <c r="J20"/>
      <c r="K20"/>
      <c r="L20"/>
      <c r="M20"/>
      <c r="N20"/>
      <c r="O20"/>
      <c r="P20"/>
      <c r="Q20"/>
      <c r="R20"/>
      <c r="S20"/>
      <c r="T20"/>
      <c r="U20"/>
      <c r="V20"/>
      <c r="W20"/>
      <c r="X20"/>
      <c r="Y20"/>
      <c r="Z20"/>
      <c r="AA20"/>
    </row>
    <row r="21" spans="1:27">
      <c r="A21" t="s">
        <v>545</v>
      </c>
      <c r="B21" s="15" t="s">
        <v>104</v>
      </c>
      <c r="C21" s="15" t="str">
        <f>HYPERLINK("01-组织级\02-组织工作库\03-PQA活动库\组织级不符合项管理表(QCUBIC-SPI-PQA-NCList)V1.2-engl.xlsx", "engl")</f>
        <v>engl</v>
      </c>
      <c r="D21"/>
      <c r="E21"/>
      <c r="F21"/>
      <c r="G21" t="s">
        <v>435</v>
      </c>
      <c r="H21"/>
      <c r="I21" t="s">
        <v>435</v>
      </c>
      <c r="J21"/>
      <c r="K21"/>
      <c r="L21"/>
      <c r="M21"/>
      <c r="N21"/>
      <c r="O21"/>
      <c r="P21"/>
      <c r="Q21"/>
      <c r="R21"/>
      <c r="S21"/>
      <c r="T21"/>
      <c r="U21"/>
      <c r="V21"/>
      <c r="W21"/>
      <c r="X21"/>
      <c r="Y21"/>
      <c r="Z21"/>
      <c r="AA21"/>
    </row>
    <row r="22" spans="1:27">
      <c r="A22" t="s">
        <v>545</v>
      </c>
      <c r="B22" s="15" t="s">
        <v>104</v>
      </c>
      <c r="C22" s="15" t="str">
        <f>HYPERLINK("01-组织级\02-组织工作库\06-度量\组织度量表(QCUBIC-SPI-MPM-Tem-datasheet)V1.3-engl.xlsx", "engl")</f>
        <v>engl</v>
      </c>
      <c r="D22"/>
      <c r="E22"/>
      <c r="F22"/>
      <c r="G22"/>
      <c r="H22"/>
      <c r="I22" t="s">
        <v>435</v>
      </c>
      <c r="J22"/>
      <c r="K22"/>
      <c r="L22"/>
      <c r="M22"/>
      <c r="N22"/>
      <c r="O22"/>
      <c r="P22"/>
      <c r="Q22"/>
      <c r="R22"/>
      <c r="S22"/>
      <c r="T22"/>
      <c r="U22"/>
      <c r="V22"/>
      <c r="W22"/>
      <c r="X22"/>
      <c r="Y22"/>
      <c r="Z22"/>
      <c r="AA22"/>
    </row>
    <row r="23" spans="1:27">
      <c r="A23" t="s">
        <v>545</v>
      </c>
      <c r="B23" s="15" t="s">
        <v>104</v>
      </c>
      <c r="C23" s="15" t="str">
        <f>HYPERLINK("01-组织级\02-组织工作库\02-EPG活动库\过程改进总结报告-engl.pptx", "engl")</f>
        <v>engl</v>
      </c>
      <c r="D23"/>
      <c r="E23"/>
      <c r="F23"/>
      <c r="G23"/>
      <c r="H23"/>
      <c r="I23" t="s">
        <v>435</v>
      </c>
      <c r="J23"/>
      <c r="K23"/>
      <c r="L23"/>
      <c r="M23"/>
      <c r="N23"/>
      <c r="O23"/>
      <c r="P23"/>
      <c r="Q23"/>
      <c r="R23"/>
      <c r="S23"/>
      <c r="T23"/>
      <c r="U23"/>
      <c r="V23"/>
      <c r="W23"/>
      <c r="X23"/>
      <c r="Y23"/>
      <c r="Z23"/>
      <c r="AA23"/>
    </row>
    <row r="24" spans="1:27">
      <c r="A24" t="s">
        <v>545</v>
      </c>
      <c r="B24" s="15" t="s">
        <v>104</v>
      </c>
      <c r="C24" s="15" t="str">
        <f>HYPERLINK("01-组织级\02-组织工作库\02-EPG活动库\07-EPG跟踪\05-过程改进建议表\过程改进建议表(QCUBIC-SPI-PIM-SPIAdvic)V1.2-engl.xlsx", "engl")</f>
        <v>engl</v>
      </c>
      <c r="D24"/>
      <c r="E24"/>
      <c r="F24"/>
      <c r="G24"/>
      <c r="H24"/>
      <c r="I24"/>
      <c r="J24" t="s">
        <v>435</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2.6328125" style="123" customWidth="1"/>
    <col min="2" max="4" width="7.90625" style="123" customWidth="1"/>
    <col min="5" max="6" width="27.6328125" style="123" customWidth="1"/>
    <col min="7" max="12" width="27.6328125" style="108" customWidth="1"/>
    <col min="13" max="13" width="17.54296875" style="108" customWidth="1"/>
    <col min="14" max="14" width="3.6328125" style="108" customWidth="1"/>
    <col min="15" max="15" width="34.90625" style="108" bestFit="1" customWidth="1"/>
    <col min="16" max="16" width="98.08984375" style="107" customWidth="1"/>
    <col min="17" max="17" width="18.6328125" style="123" customWidth="1"/>
    <col min="18" max="16384" width="8.6328125" style="123"/>
  </cols>
  <sheetData>
    <row r="1" spans="1:27" s="107" customFormat="1" ht="18.5">
      <c r="A1" s="105" t="s">
        <v>413</v>
      </c>
      <c r="B1" s="105"/>
      <c r="C1" s="105"/>
      <c r="D1" s="105"/>
      <c r="E1" s="106"/>
      <c r="G1" s="108"/>
      <c r="H1" s="108"/>
      <c r="I1" s="108"/>
      <c r="J1" s="108"/>
      <c r="K1" s="108"/>
      <c r="L1" s="108"/>
      <c r="M1" s="108"/>
      <c r="N1" s="108"/>
      <c r="O1" s="108"/>
    </row>
    <row r="2" spans="1:27" s="107" customFormat="1">
      <c r="A2" s="110" t="s">
        <v>1433</v>
      </c>
      <c r="B2" s="110"/>
      <c r="C2" s="110"/>
      <c r="D2" s="110"/>
      <c r="E2" s="107" t="s">
        <v>1434</v>
      </c>
      <c r="G2" s="108"/>
      <c r="H2" s="108"/>
      <c r="I2" s="108"/>
      <c r="J2" s="108"/>
      <c r="K2" s="108"/>
      <c r="L2" s="108"/>
      <c r="M2" s="108"/>
      <c r="N2" s="108"/>
      <c r="O2" s="108"/>
    </row>
    <row r="3" spans="1:27" s="107" customFormat="1">
      <c r="A3" s="107" t="s">
        <v>1435</v>
      </c>
      <c r="E3" s="107" t="s">
        <v>1436</v>
      </c>
      <c r="G3" s="108"/>
      <c r="H3" s="108"/>
      <c r="I3" s="108"/>
      <c r="J3" s="108"/>
      <c r="K3" s="108"/>
      <c r="L3" s="108"/>
      <c r="M3" s="108"/>
      <c r="N3" s="108"/>
      <c r="O3" s="108"/>
    </row>
    <row r="4" spans="1:27" s="107" customFormat="1" ht="14.5">
      <c r="A4" s="111"/>
      <c r="B4" s="111"/>
      <c r="C4" s="111"/>
      <c r="D4" s="111"/>
      <c r="E4" s="112" t="s">
        <v>47</v>
      </c>
      <c r="F4" s="113" t="s">
        <v>54</v>
      </c>
      <c r="G4" s="113"/>
      <c r="H4" s="114"/>
      <c r="I4" s="113"/>
      <c r="J4" s="116" t="s">
        <v>56</v>
      </c>
      <c r="K4" s="150"/>
      <c r="L4" s="173" t="s">
        <v>57</v>
      </c>
      <c r="M4" s="117"/>
      <c r="N4" s="117"/>
      <c r="O4" s="117"/>
      <c r="R4" s="110"/>
      <c r="S4" s="117"/>
      <c r="T4" s="117"/>
    </row>
    <row r="5" spans="1:27" s="107" customFormat="1" ht="14.5">
      <c r="A5" s="118"/>
      <c r="B5" s="118"/>
      <c r="C5" s="118"/>
      <c r="D5" s="118"/>
      <c r="E5" s="119" t="s">
        <v>548</v>
      </c>
      <c r="F5" s="120" t="s">
        <v>549</v>
      </c>
      <c r="G5" s="120"/>
      <c r="H5" s="114"/>
      <c r="I5" s="120"/>
      <c r="J5" s="116" t="s">
        <v>550</v>
      </c>
      <c r="K5" s="150"/>
      <c r="L5" s="174" t="s">
        <v>814</v>
      </c>
      <c r="M5" s="118"/>
      <c r="N5" s="118"/>
      <c r="O5" s="118"/>
      <c r="R5" s="110"/>
      <c r="S5" s="118"/>
      <c r="T5" s="117"/>
    </row>
    <row r="6" spans="1:27" s="107" customFormat="1">
      <c r="A6" s="284"/>
      <c r="B6" s="284"/>
      <c r="C6" s="284"/>
      <c r="D6" s="284"/>
      <c r="E6" s="3" t="s">
        <v>94</v>
      </c>
      <c r="F6" s="90" t="s">
        <v>381</v>
      </c>
      <c r="G6" s="90" t="s">
        <v>383</v>
      </c>
      <c r="H6" s="90" t="s">
        <v>384</v>
      </c>
      <c r="I6" s="90" t="s">
        <v>386</v>
      </c>
      <c r="J6" s="91" t="s">
        <v>388</v>
      </c>
      <c r="K6" s="91" t="s">
        <v>389</v>
      </c>
      <c r="L6" s="176" t="s">
        <v>390</v>
      </c>
      <c r="M6" s="93"/>
      <c r="N6" s="93"/>
      <c r="O6" s="93"/>
      <c r="Q6" s="123"/>
    </row>
    <row r="7" spans="1:27" s="107" customFormat="1" ht="118.4" customHeight="1">
      <c r="A7" s="285" t="s">
        <v>652</v>
      </c>
      <c r="B7" s="285"/>
      <c r="C7" s="285"/>
      <c r="D7" s="285"/>
      <c r="E7" s="97" t="s">
        <v>1437</v>
      </c>
      <c r="F7" s="97" t="s">
        <v>1438</v>
      </c>
      <c r="G7" s="97" t="s">
        <v>1439</v>
      </c>
      <c r="H7" s="97" t="s">
        <v>1440</v>
      </c>
      <c r="I7" s="97" t="s">
        <v>1441</v>
      </c>
      <c r="J7" s="97" t="s">
        <v>1442</v>
      </c>
      <c r="K7" s="97" t="s">
        <v>1443</v>
      </c>
      <c r="L7" s="97" t="s">
        <v>1444</v>
      </c>
      <c r="M7" s="93"/>
      <c r="N7" s="93"/>
      <c r="O7" s="93"/>
    </row>
    <row r="8" spans="1:27" s="107" customFormat="1" ht="78">
      <c r="A8" s="284" t="s">
        <v>562</v>
      </c>
      <c r="B8" s="284"/>
      <c r="C8" s="284"/>
      <c r="D8" s="284"/>
      <c r="E8" s="102" t="s">
        <v>1445</v>
      </c>
      <c r="F8" s="102" t="s">
        <v>1446</v>
      </c>
      <c r="G8" s="102" t="s">
        <v>1447</v>
      </c>
      <c r="H8" s="102" t="s">
        <v>1448</v>
      </c>
      <c r="I8" s="102" t="s">
        <v>1449</v>
      </c>
      <c r="J8" s="102" t="s">
        <v>1450</v>
      </c>
      <c r="K8" s="103" t="s">
        <v>1451</v>
      </c>
      <c r="L8" s="125" t="s">
        <v>1452</v>
      </c>
      <c r="M8" s="127"/>
      <c r="N8" s="127"/>
      <c r="O8" s="127"/>
    </row>
    <row r="9" spans="1:27" s="107" customFormat="1" ht="180">
      <c r="A9" s="284" t="s">
        <v>96</v>
      </c>
      <c r="B9" s="284"/>
      <c r="C9" s="284"/>
      <c r="D9" s="284"/>
      <c r="E9" s="98" t="s">
        <v>1453</v>
      </c>
      <c r="F9" s="98" t="s">
        <v>1454</v>
      </c>
      <c r="G9" s="98" t="s">
        <v>1455</v>
      </c>
      <c r="H9" s="98" t="s">
        <v>1456</v>
      </c>
      <c r="I9" s="98" t="s">
        <v>1457</v>
      </c>
      <c r="J9" s="98" t="s">
        <v>1458</v>
      </c>
      <c r="K9" s="98" t="s">
        <v>1459</v>
      </c>
      <c r="L9" s="98" t="s">
        <v>1460</v>
      </c>
      <c r="M9" s="99"/>
      <c r="N9" s="99"/>
      <c r="O9" s="99"/>
    </row>
    <row r="10" spans="1:27" s="107" customFormat="1" ht="286">
      <c r="A10" s="122" t="s">
        <v>583</v>
      </c>
      <c r="B10" s="171"/>
      <c r="C10" s="171"/>
      <c r="D10" s="171"/>
      <c r="E10" s="290" t="s">
        <v>1461</v>
      </c>
      <c r="F10" s="290" t="s">
        <v>1462</v>
      </c>
      <c r="G10" s="290" t="s">
        <v>1463</v>
      </c>
      <c r="H10" s="291" t="s">
        <v>1464</v>
      </c>
      <c r="I10" s="290" t="s">
        <v>1465</v>
      </c>
      <c r="J10" s="291" t="s">
        <v>1466</v>
      </c>
      <c r="K10" s="291" t="s">
        <v>1467</v>
      </c>
      <c r="L10" s="292" t="s">
        <v>1468</v>
      </c>
      <c r="M10" s="293"/>
      <c r="N10" s="293"/>
      <c r="O10" s="294"/>
    </row>
    <row r="11" spans="1:27" s="107" customFormat="1" ht="286">
      <c r="A11" s="287" t="s">
        <v>85</v>
      </c>
      <c r="B11" s="287"/>
      <c r="C11" s="287"/>
      <c r="D11" s="287"/>
      <c r="E11" s="102" t="s">
        <v>1469</v>
      </c>
      <c r="F11" s="292" t="s">
        <v>1470</v>
      </c>
      <c r="G11" s="292" t="s">
        <v>1471</v>
      </c>
      <c r="H11" s="292" t="s">
        <v>1472</v>
      </c>
      <c r="I11" s="292" t="s">
        <v>1473</v>
      </c>
      <c r="J11" s="292" t="s">
        <v>1474</v>
      </c>
      <c r="K11" s="292" t="s">
        <v>1475</v>
      </c>
      <c r="L11" s="292" t="s">
        <v>1476</v>
      </c>
      <c r="M11" s="293"/>
      <c r="N11" s="293"/>
      <c r="O11" s="294"/>
      <c r="P11" s="108"/>
      <c r="Q11" s="108"/>
    </row>
    <row r="12" spans="1:27" s="117" customFormat="1" ht="14.5">
      <c r="A12" s="123"/>
      <c r="B12" s="123"/>
      <c r="C12" s="123"/>
      <c r="D12" s="123"/>
      <c r="E12" s="123"/>
      <c r="F12" s="123"/>
      <c r="G12" s="108"/>
      <c r="H12" s="108"/>
      <c r="I12" s="108"/>
      <c r="J12" s="108"/>
      <c r="K12" s="108"/>
      <c r="L12" s="108"/>
      <c r="M12" s="108"/>
      <c r="N12" s="108"/>
      <c r="O12" s="108"/>
      <c r="P12" s="107"/>
      <c r="Q12" s="123"/>
    </row>
    <row r="13" spans="1:27" s="117" customFormat="1" ht="14.5">
      <c r="A13" s="123"/>
      <c r="B13" s="123"/>
      <c r="C13" s="123"/>
      <c r="D13" s="123"/>
      <c r="E13" s="123"/>
      <c r="F13" s="123"/>
      <c r="G13" s="108"/>
      <c r="H13" s="108"/>
      <c r="I13" s="108"/>
      <c r="J13" s="108"/>
      <c r="K13" s="108"/>
      <c r="L13" s="108"/>
      <c r="M13" s="108"/>
      <c r="N13" s="108"/>
      <c r="O13" s="108"/>
      <c r="P13" s="107"/>
      <c r="Q13" s="123"/>
    </row>
    <row r="14" spans="1:27" s="117" customFormat="1" ht="14.5">
      <c r="A14" s="123"/>
      <c r="B14" s="123"/>
      <c r="C14" s="123"/>
      <c r="D14" s="123"/>
      <c r="E14" s="123"/>
      <c r="F14" s="123"/>
      <c r="G14" s="108"/>
      <c r="H14" s="108"/>
      <c r="I14" s="108"/>
      <c r="J14" s="108"/>
      <c r="K14" s="108"/>
      <c r="L14" s="108"/>
      <c r="M14" s="108"/>
      <c r="N14" s="108"/>
      <c r="O14" s="108"/>
      <c r="P14" s="107"/>
      <c r="Q14" s="123"/>
    </row>
    <row r="15" spans="1:27" customFormat="1" ht="14.5">
      <c r="A15" t="s">
        <v>452</v>
      </c>
      <c r="B15" t="s">
        <v>104</v>
      </c>
      <c r="C15" t="s">
        <v>105</v>
      </c>
      <c r="D15" s="295" t="s">
        <v>451</v>
      </c>
      <c r="E15" s="14" t="s">
        <v>94</v>
      </c>
      <c r="F15" s="14" t="s">
        <v>381</v>
      </c>
      <c r="G15" s="14" t="s">
        <v>383</v>
      </c>
      <c r="H15" s="14" t="s">
        <v>384</v>
      </c>
      <c r="I15" s="14" t="s">
        <v>386</v>
      </c>
      <c r="J15" s="14" t="s">
        <v>388</v>
      </c>
      <c r="K15" s="14" t="s">
        <v>389</v>
      </c>
      <c r="L15" s="14" t="s">
        <v>390</v>
      </c>
      <c r="M15" s="14"/>
    </row>
    <row r="16" spans="1:27" s="117" customFormat="1" ht="14.5">
      <c r="A16" t="s">
        <v>545</v>
      </c>
      <c r="B16" s="15" t="s">
        <v>104</v>
      </c>
      <c r="C16" s="15" t="str">
        <f>HYPERLINK("01-组织级\01-组织财富库\01-标准过程文件库\04-组织过程类\02-过程资产管理\组织方针 (QCUBIC-SPI-OPAL-Ply-Doc)V1.2-engl.docx", "engl")</f>
        <v>engl</v>
      </c>
      <c r="D16"/>
      <c r="E16" t="s">
        <v>435</v>
      </c>
      <c r="F16" t="s">
        <v>435</v>
      </c>
      <c r="G16"/>
      <c r="H16"/>
      <c r="I16"/>
      <c r="J16"/>
      <c r="K16"/>
      <c r="L16"/>
      <c r="M16"/>
      <c r="N16"/>
      <c r="O16"/>
      <c r="P16"/>
      <c r="Q16"/>
      <c r="R16"/>
      <c r="S16"/>
      <c r="T16"/>
      <c r="U16"/>
      <c r="V16"/>
      <c r="W16"/>
      <c r="X16"/>
      <c r="Y16"/>
      <c r="Z16"/>
      <c r="AA16"/>
    </row>
    <row r="17" spans="1:27" s="117" customFormat="1" ht="14.5">
      <c r="A17" t="s">
        <v>545</v>
      </c>
      <c r="B17" s="15" t="s">
        <v>104</v>
      </c>
      <c r="C17" s="15" t="str">
        <f>HYPERLINK("01-组织级\02-组织工作库\02-EPG活动库\03-过程改进计划\过程改进计划(QCUBIC-SPI-PIM-PIPlan)V1.2-engl.docx", "engl")</f>
        <v>engl</v>
      </c>
      <c r="D17"/>
      <c r="E17"/>
      <c r="F17"/>
      <c r="G17" t="s">
        <v>435</v>
      </c>
      <c r="H17"/>
      <c r="I17"/>
      <c r="J17"/>
      <c r="K17"/>
      <c r="L17"/>
      <c r="M17"/>
      <c r="N17"/>
      <c r="O17"/>
      <c r="P17"/>
      <c r="Q17"/>
      <c r="R17"/>
      <c r="S17"/>
      <c r="T17"/>
      <c r="U17"/>
      <c r="V17"/>
      <c r="W17"/>
      <c r="X17"/>
      <c r="Y17"/>
      <c r="Z17"/>
      <c r="AA17"/>
    </row>
    <row r="18" spans="1:27" s="117" customFormat="1" ht="14.5">
      <c r="A18" t="s">
        <v>545</v>
      </c>
      <c r="B18" s="15" t="s">
        <v>104</v>
      </c>
      <c r="C18" s="15" t="str">
        <f>HYPERLINK("01-组织级\02-组织工作库\05-OT培训库\01_公司级培训\03_2022年培训计划\02_年度培训计划\2022培训课程表(ORG_OT_TraininCNSchedule)V1.0-engl.xlsx", "engl")</f>
        <v>engl</v>
      </c>
      <c r="D18"/>
      <c r="E18"/>
      <c r="F18"/>
      <c r="G18" t="s">
        <v>435</v>
      </c>
      <c r="H18"/>
      <c r="I18"/>
      <c r="J18"/>
      <c r="K18"/>
      <c r="L18"/>
      <c r="M18"/>
      <c r="N18"/>
      <c r="O18"/>
      <c r="P18"/>
      <c r="Q18"/>
      <c r="R18"/>
      <c r="S18"/>
      <c r="T18"/>
      <c r="U18"/>
      <c r="V18"/>
      <c r="W18"/>
      <c r="X18"/>
      <c r="Y18"/>
      <c r="Z18"/>
      <c r="AA18"/>
    </row>
    <row r="19" spans="1:27" s="117" customFormat="1" ht="14.5">
      <c r="A19" t="s">
        <v>545</v>
      </c>
      <c r="B19" s="15" t="s">
        <v>104</v>
      </c>
      <c r="C19"/>
      <c r="D19"/>
      <c r="E19"/>
      <c r="F19"/>
      <c r="G19" t="s">
        <v>435</v>
      </c>
      <c r="H19"/>
      <c r="I19"/>
      <c r="J19"/>
      <c r="K19"/>
      <c r="L19"/>
      <c r="M19"/>
      <c r="N19"/>
      <c r="O19"/>
      <c r="P19"/>
      <c r="Q19"/>
      <c r="R19"/>
      <c r="S19"/>
      <c r="T19"/>
      <c r="U19"/>
      <c r="V19"/>
      <c r="W19"/>
      <c r="X19"/>
      <c r="Y19"/>
      <c r="Z19"/>
      <c r="AA19"/>
    </row>
    <row r="20" spans="1:27" s="117" customFormat="1" ht="14.5">
      <c r="A20" t="s">
        <v>545</v>
      </c>
      <c r="B20" s="15" t="s">
        <v>104</v>
      </c>
      <c r="C20"/>
      <c r="D20"/>
      <c r="E20"/>
      <c r="F20"/>
      <c r="G20" t="s">
        <v>435</v>
      </c>
      <c r="H20"/>
      <c r="I20"/>
      <c r="J20"/>
      <c r="K20"/>
      <c r="L20"/>
      <c r="M20"/>
      <c r="N20"/>
      <c r="O20"/>
      <c r="P20"/>
      <c r="Q20"/>
      <c r="R20"/>
      <c r="S20"/>
      <c r="T20"/>
      <c r="U20"/>
      <c r="V20"/>
      <c r="W20"/>
      <c r="X20"/>
      <c r="Y20"/>
      <c r="Z20"/>
      <c r="AA20"/>
    </row>
    <row r="21" spans="1:27" s="117" customFormat="1" ht="14.5">
      <c r="A21" t="s">
        <v>545</v>
      </c>
      <c r="B21" s="15" t="s">
        <v>104</v>
      </c>
      <c r="C21"/>
      <c r="D21"/>
      <c r="E21"/>
      <c r="F21"/>
      <c r="G21"/>
      <c r="H21" t="s">
        <v>435</v>
      </c>
      <c r="I21" t="s">
        <v>435</v>
      </c>
      <c r="J21"/>
      <c r="K21"/>
      <c r="L21"/>
      <c r="M21"/>
      <c r="N21"/>
      <c r="O21"/>
      <c r="P21"/>
      <c r="Q21"/>
      <c r="R21"/>
      <c r="S21"/>
      <c r="T21"/>
      <c r="U21"/>
      <c r="V21"/>
      <c r="W21"/>
      <c r="X21"/>
      <c r="Y21"/>
      <c r="Z21"/>
      <c r="AA21"/>
    </row>
    <row r="22" spans="1:27" s="117" customFormat="1" ht="14.5">
      <c r="A22" t="s">
        <v>545</v>
      </c>
      <c r="B22" s="15" t="s">
        <v>104</v>
      </c>
      <c r="C22" s="15" t="str">
        <f>HYPERLINK("01-组织级\02-组织工作库\02-EPG活动库\过程改进总结报告-engl.pptx", "engl")</f>
        <v>engl</v>
      </c>
      <c r="D22"/>
      <c r="E22"/>
      <c r="F22"/>
      <c r="G22"/>
      <c r="H22" t="s">
        <v>435</v>
      </c>
      <c r="I22" t="s">
        <v>435</v>
      </c>
      <c r="J22"/>
      <c r="K22" t="s">
        <v>435</v>
      </c>
      <c r="L22"/>
      <c r="M22"/>
      <c r="N22"/>
      <c r="O22"/>
      <c r="P22"/>
      <c r="Q22"/>
      <c r="R22"/>
      <c r="S22"/>
      <c r="T22"/>
      <c r="U22"/>
      <c r="V22"/>
      <c r="W22"/>
      <c r="X22"/>
      <c r="Y22"/>
      <c r="Z22"/>
      <c r="AA22"/>
    </row>
    <row r="23" spans="1:27" s="117" customFormat="1" ht="14.5">
      <c r="A23" t="s">
        <v>545</v>
      </c>
      <c r="B23" s="15" t="s">
        <v>104</v>
      </c>
      <c r="C23" s="15" t="str">
        <f>HYPERLINK("01-组织级\02-组织工作库\02-EPG活动库\07-EPG跟踪\06-过程改进里程碑\过程改进里程碑报告(ORG_PCM_Milestone_20220628)V1.0-engl.docx", "engl")</f>
        <v>engl</v>
      </c>
      <c r="D23"/>
      <c r="E23"/>
      <c r="F23"/>
      <c r="G23"/>
      <c r="H23" t="s">
        <v>435</v>
      </c>
      <c r="I23" t="s">
        <v>435</v>
      </c>
      <c r="J23"/>
      <c r="K23"/>
      <c r="L23"/>
      <c r="M23"/>
      <c r="N23"/>
      <c r="O23"/>
      <c r="P23"/>
      <c r="Q23"/>
      <c r="R23"/>
      <c r="S23"/>
      <c r="T23"/>
      <c r="U23"/>
      <c r="V23"/>
      <c r="W23"/>
      <c r="X23"/>
      <c r="Y23"/>
      <c r="Z23"/>
      <c r="AA23"/>
    </row>
    <row r="24" spans="1:27" s="117" customFormat="1" ht="14.5">
      <c r="A24" t="s">
        <v>545</v>
      </c>
      <c r="B24" s="15" t="s">
        <v>104</v>
      </c>
      <c r="C24" s="15" t="str">
        <f>HYPERLINK("01-组织级\02-组织工作库\06-度量\组织度量表(QCUBIC-SPI-MPM-Tem-datasheet)V1.3-engl.xlsx", "engl")</f>
        <v>engl</v>
      </c>
      <c r="D24"/>
      <c r="E24"/>
      <c r="F24"/>
      <c r="G24"/>
      <c r="H24" t="s">
        <v>435</v>
      </c>
      <c r="I24" t="s">
        <v>435</v>
      </c>
      <c r="J24" t="s">
        <v>435</v>
      </c>
      <c r="K24" t="s">
        <v>435</v>
      </c>
      <c r="L24"/>
      <c r="M24"/>
      <c r="N24"/>
      <c r="O24"/>
      <c r="P24"/>
      <c r="Q24"/>
      <c r="R24"/>
      <c r="S24"/>
      <c r="T24"/>
      <c r="U24"/>
      <c r="V24"/>
      <c r="W24"/>
      <c r="X24"/>
      <c r="Y24"/>
      <c r="Z24"/>
      <c r="AA24"/>
    </row>
    <row r="25" spans="1:27" s="117" customFormat="1" ht="14.5">
      <c r="A25" t="s">
        <v>545</v>
      </c>
      <c r="B25" s="15" t="s">
        <v>104</v>
      </c>
      <c r="C25" s="15" t="str">
        <f>HYPERLINK("01-组织级\02-组织工作库\06-度量\组织度量计划(QCUBIC-SPI-MPM-Plan)V1.3-engl.xlsx", "engl")</f>
        <v>engl</v>
      </c>
      <c r="D25"/>
      <c r="E25"/>
      <c r="F25"/>
      <c r="G25"/>
      <c r="H25" t="s">
        <v>435</v>
      </c>
      <c r="I25" t="s">
        <v>435</v>
      </c>
      <c r="J25" t="s">
        <v>435</v>
      </c>
      <c r="K25" t="s">
        <v>435</v>
      </c>
      <c r="L25"/>
      <c r="M25"/>
      <c r="N25"/>
      <c r="O25"/>
      <c r="P25"/>
      <c r="Q25"/>
      <c r="R25"/>
      <c r="S25"/>
      <c r="T25"/>
      <c r="U25"/>
      <c r="V25"/>
      <c r="W25"/>
      <c r="X25"/>
      <c r="Y25"/>
      <c r="Z25"/>
      <c r="AA25"/>
    </row>
    <row r="26" spans="1:27" s="117" customFormat="1" ht="14.5">
      <c r="A26" t="s">
        <v>545</v>
      </c>
      <c r="B26" s="15" t="s">
        <v>104</v>
      </c>
      <c r="C26" s="15" t="str">
        <f>HYPERLINK("01-组织级\02-组织工作库\03-PQA活动库\组织级的质量保证计划(QCUBIC-SPI-PQA-OQAPlan)V1.4-engl.xlsx", "engl")</f>
        <v>engl</v>
      </c>
      <c r="D26"/>
      <c r="E26"/>
      <c r="F26"/>
      <c r="G26"/>
      <c r="H26"/>
      <c r="I26" t="s">
        <v>435</v>
      </c>
      <c r="J26"/>
      <c r="K26"/>
      <c r="L26"/>
      <c r="M26"/>
      <c r="N26"/>
      <c r="O26"/>
      <c r="P26"/>
      <c r="Q26"/>
      <c r="R26"/>
      <c r="S26"/>
      <c r="T26"/>
      <c r="U26"/>
      <c r="V26"/>
      <c r="W26"/>
      <c r="X26"/>
      <c r="Y26"/>
      <c r="Z26"/>
      <c r="AA26"/>
    </row>
    <row r="27" spans="1:27" s="117" customFormat="1" ht="14.5">
      <c r="A27"/>
      <c r="B27"/>
      <c r="C27"/>
      <c r="D27"/>
      <c r="E27"/>
      <c r="F27"/>
      <c r="G27"/>
      <c r="H27"/>
      <c r="I27"/>
      <c r="J27"/>
      <c r="K27"/>
      <c r="L27"/>
      <c r="M27"/>
      <c r="N27"/>
      <c r="O27"/>
      <c r="P27"/>
      <c r="Q27"/>
      <c r="R27"/>
      <c r="S27"/>
      <c r="T27"/>
      <c r="U27"/>
      <c r="V27"/>
      <c r="W27"/>
      <c r="X27"/>
      <c r="Y27"/>
      <c r="Z27"/>
      <c r="AA27"/>
    </row>
    <row r="28" spans="1:27" s="117" customFormat="1" ht="14.5">
      <c r="A28"/>
      <c r="B28"/>
      <c r="C28"/>
      <c r="D28"/>
      <c r="E28"/>
      <c r="F28"/>
      <c r="G28"/>
      <c r="H28"/>
      <c r="I28"/>
      <c r="J28"/>
      <c r="K28"/>
      <c r="L28"/>
      <c r="M28"/>
      <c r="N28"/>
      <c r="O28"/>
      <c r="P28"/>
      <c r="Q28"/>
      <c r="R28"/>
      <c r="S28"/>
      <c r="T28"/>
      <c r="U28"/>
      <c r="V28"/>
      <c r="W28"/>
      <c r="X28"/>
      <c r="Y28"/>
      <c r="Z28"/>
      <c r="AA28"/>
    </row>
    <row r="29" spans="1:27" s="130" customFormat="1" ht="14.5">
      <c r="A29"/>
      <c r="B29"/>
      <c r="C29"/>
      <c r="D29"/>
      <c r="E29"/>
      <c r="F29"/>
      <c r="G29"/>
      <c r="H29"/>
      <c r="I29"/>
      <c r="J29"/>
      <c r="K29"/>
      <c r="L29"/>
      <c r="M29"/>
      <c r="N29"/>
      <c r="O29"/>
      <c r="P29"/>
      <c r="Q29"/>
      <c r="R29"/>
      <c r="S29"/>
      <c r="T29"/>
      <c r="U29"/>
      <c r="V29"/>
      <c r="W29"/>
      <c r="X29"/>
      <c r="Y29"/>
      <c r="Z29"/>
      <c r="AA29"/>
    </row>
    <row r="30" spans="1:27" s="130" customFormat="1" ht="17.149999999999999" customHeight="1">
      <c r="A30"/>
      <c r="B30"/>
      <c r="C30"/>
      <c r="D30"/>
      <c r="E30"/>
      <c r="F30"/>
      <c r="G30"/>
      <c r="H30"/>
      <c r="I30"/>
      <c r="J30"/>
      <c r="K30"/>
      <c r="L30"/>
      <c r="M30"/>
      <c r="N30"/>
      <c r="O30"/>
      <c r="P30"/>
      <c r="Q30"/>
      <c r="R30"/>
      <c r="S30"/>
      <c r="T30"/>
      <c r="U30"/>
      <c r="V30"/>
      <c r="W30"/>
      <c r="X30"/>
      <c r="Y30"/>
      <c r="Z30"/>
      <c r="AA30"/>
    </row>
    <row r="31" spans="1:27" s="107" customFormat="1"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328125" defaultRowHeight="14.5"/>
  <cols>
    <col min="1" max="1" width="5.6328125" style="71" customWidth="1"/>
    <col min="2" max="3" width="14.6328125" style="71"/>
    <col min="4" max="4" width="6.36328125" style="71" customWidth="1"/>
    <col min="5" max="5" width="6" style="71" customWidth="1"/>
    <col min="6" max="7" width="14.6328125" style="71"/>
    <col min="8" max="8" width="6.54296875" style="71" customWidth="1"/>
    <col min="9" max="9" width="5.6328125" style="71" customWidth="1"/>
    <col min="10" max="16384" width="14.6328125" style="71"/>
  </cols>
  <sheetData>
    <row r="2" spans="1:1004">
      <c r="B2" s="71" t="s">
        <v>55</v>
      </c>
      <c r="C2" s="71" t="s">
        <v>109</v>
      </c>
      <c r="E2" s="71" t="s">
        <v>401</v>
      </c>
    </row>
    <row r="3" spans="1:1004">
      <c r="B3" s="71" t="s">
        <v>53</v>
      </c>
      <c r="C3" s="71" t="s">
        <v>110</v>
      </c>
      <c r="E3" s="71" t="s">
        <v>111</v>
      </c>
    </row>
    <row r="4" spans="1:1004">
      <c r="B4" s="71" t="s">
        <v>52</v>
      </c>
      <c r="C4" s="71" t="s">
        <v>402</v>
      </c>
      <c r="E4" s="71" t="s">
        <v>112</v>
      </c>
    </row>
    <row r="5" spans="1:1004">
      <c r="B5" s="71" t="s">
        <v>51</v>
      </c>
      <c r="C5" s="71" t="s">
        <v>113</v>
      </c>
      <c r="E5" s="71" t="s">
        <v>114</v>
      </c>
    </row>
    <row r="6" spans="1:1004">
      <c r="B6" s="71" t="s">
        <v>115</v>
      </c>
      <c r="C6" s="71" t="s">
        <v>116</v>
      </c>
      <c r="E6" s="71" t="s">
        <v>117</v>
      </c>
    </row>
    <row r="9" spans="1:1004">
      <c r="B9" s="71" t="s">
        <v>118</v>
      </c>
      <c r="C9" s="71" t="s">
        <v>119</v>
      </c>
    </row>
    <row r="10" spans="1:1004">
      <c r="B10" s="71" t="s">
        <v>120</v>
      </c>
      <c r="C10" s="71" t="s">
        <v>121</v>
      </c>
    </row>
    <row r="11" spans="1:1004">
      <c r="B11" s="71" t="s">
        <v>122</v>
      </c>
    </row>
    <row r="13" spans="1:1004">
      <c r="A13" s="312"/>
      <c r="B13" s="312"/>
    </row>
    <row r="16" spans="1:1004">
      <c r="A16">
        <v>1</v>
      </c>
      <c r="B16" t="s">
        <v>1527</v>
      </c>
      <c r="C16"/>
      <c r="D16" t="str">
        <f t="shared" ref="D16:D37" si="0">_xlfn.CONCAT(A16, ". ", B16)</f>
        <v>1. None</v>
      </c>
      <c r="E16">
        <v>1</v>
      </c>
      <c r="F16" t="s">
        <v>1527</v>
      </c>
      <c r="G16"/>
      <c r="H16" t="str">
        <f t="shared" ref="H16:H25" si="1">_xlfn.CONCAT(E16, ". ", F16)</f>
        <v>1. None</v>
      </c>
      <c r="I16">
        <v>1</v>
      </c>
      <c r="J16" t="s">
        <v>1527</v>
      </c>
      <c r="K16"/>
      <c r="L16" t="str">
        <f t="shared" ref="L16:L25" si="2">_xlfn.CONCAT(I16, ". ", J16)</f>
        <v>1. None</v>
      </c>
      <c r="M16">
        <v>1</v>
      </c>
      <c r="N16" t="s">
        <v>1527</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1531</v>
      </c>
      <c r="C17"/>
      <c r="D17" t="str">
        <f t="shared" si="0"/>
        <v>2. Pieter van Zyl</v>
      </c>
      <c r="E17">
        <v>2</v>
      </c>
      <c r="F17" t="s">
        <v>1493</v>
      </c>
      <c r="G17"/>
      <c r="H17" t="str">
        <f t="shared" si="1"/>
        <v>2. ATL</v>
      </c>
      <c r="I17">
        <v>2</v>
      </c>
      <c r="J17" t="s">
        <v>1498</v>
      </c>
      <c r="K17"/>
      <c r="L17" t="str">
        <f t="shared" si="2"/>
        <v>2. 30p</v>
      </c>
      <c r="M17">
        <v>2</v>
      </c>
      <c r="N17" t="s">
        <v>1505</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1532</v>
      </c>
      <c r="C18"/>
      <c r="D18" t="str">
        <f t="shared" si="0"/>
        <v>3. Joan van Zyl</v>
      </c>
      <c r="E18">
        <v>3</v>
      </c>
      <c r="F18" t="s">
        <v>1494</v>
      </c>
      <c r="G18"/>
      <c r="H18" t="str">
        <f t="shared" si="1"/>
        <v>3. ATL Coordinator</v>
      </c>
      <c r="I18">
        <v>3</v>
      </c>
      <c r="J18" t="s">
        <v>1499</v>
      </c>
      <c r="K18"/>
      <c r="L18" t="str">
        <f t="shared" si="2"/>
        <v>3. 50p</v>
      </c>
      <c r="M18">
        <v>3</v>
      </c>
      <c r="N18" t="s">
        <v>1556</v>
      </c>
      <c r="O18"/>
      <c r="P18" t="str">
        <f>_xlfn.CONCAT(M18, ". ", N18)</f>
        <v>3. WIP</v>
      </c>
    </row>
    <row r="19" spans="1:1004">
      <c r="A19">
        <v>4</v>
      </c>
      <c r="B19" t="s">
        <v>1491</v>
      </c>
      <c r="C19"/>
      <c r="D19" t="str">
        <f t="shared" si="0"/>
        <v>4. Jared Twigg</v>
      </c>
      <c r="E19">
        <v>4</v>
      </c>
      <c r="F19" t="s">
        <v>1495</v>
      </c>
      <c r="G19"/>
      <c r="H19" t="str">
        <f t="shared" si="1"/>
        <v>4. Sponsor</v>
      </c>
      <c r="I19">
        <v>4</v>
      </c>
      <c r="J19" t="s">
        <v>1500</v>
      </c>
      <c r="K19"/>
      <c r="L19" t="str">
        <f t="shared" si="2"/>
        <v>4. 90p</v>
      </c>
      <c r="M19">
        <v>4</v>
      </c>
      <c r="N19" t="s">
        <v>1504</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1534</v>
      </c>
      <c r="C20"/>
      <c r="D20" t="str">
        <f t="shared" si="0"/>
        <v>5. Marike Matthee</v>
      </c>
      <c r="E20">
        <v>5</v>
      </c>
      <c r="F20" t="s">
        <v>1496</v>
      </c>
      <c r="G20"/>
      <c r="H20" t="str">
        <f t="shared" si="1"/>
        <v>5. Scheduler</v>
      </c>
      <c r="I20">
        <v>5</v>
      </c>
      <c r="J20" t="s">
        <v>1501</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1492</v>
      </c>
      <c r="C21"/>
      <c r="D21" t="str">
        <f t="shared" si="0"/>
        <v>6. Melanie van Zyl</v>
      </c>
      <c r="E21">
        <v>6</v>
      </c>
      <c r="F21" t="s">
        <v>1497</v>
      </c>
      <c r="G21"/>
      <c r="H21" t="str">
        <f t="shared" si="1"/>
        <v>6. BPOC</v>
      </c>
      <c r="I21">
        <v>6</v>
      </c>
      <c r="J21" t="s">
        <v>1502</v>
      </c>
      <c r="K21"/>
      <c r="L21" t="str">
        <f t="shared" si="2"/>
        <v>6. 60d b4 p2</v>
      </c>
      <c r="M21"/>
      <c r="N21"/>
      <c r="O21"/>
      <c r="P21"/>
    </row>
    <row r="22" spans="1:1004">
      <c r="A22">
        <v>7</v>
      </c>
      <c r="B22" t="s">
        <v>1533</v>
      </c>
      <c r="C22"/>
      <c r="D22" t="str">
        <f t="shared" si="0"/>
        <v>7. Bianca Coetzee</v>
      </c>
      <c r="E22">
        <v>7</v>
      </c>
      <c r="F22" t="s">
        <v>1550</v>
      </c>
      <c r="G22"/>
      <c r="H22" t="str">
        <f t="shared" si="1"/>
        <v>7. Translator</v>
      </c>
      <c r="I22">
        <v>7</v>
      </c>
      <c r="J22" t="s">
        <v>1503</v>
      </c>
      <c r="K22"/>
      <c r="L22" t="str">
        <f t="shared" si="2"/>
        <v>7. 40d b4 p2</v>
      </c>
      <c r="M22"/>
      <c r="N22"/>
      <c r="O22"/>
      <c r="P22"/>
    </row>
    <row r="23" spans="1:1004">
      <c r="A23">
        <v>9</v>
      </c>
      <c r="B23" t="s">
        <v>1535</v>
      </c>
      <c r="C23"/>
      <c r="D23" t="str">
        <f t="shared" si="0"/>
        <v>9. Francois van Niekerk</v>
      </c>
      <c r="E23">
        <v>8</v>
      </c>
      <c r="F23" t="s">
        <v>429</v>
      </c>
      <c r="G23"/>
      <c r="H23" t="str">
        <f t="shared" si="1"/>
        <v>8. ATM</v>
      </c>
      <c r="I23">
        <v>8</v>
      </c>
      <c r="J23" t="s">
        <v>1553</v>
      </c>
      <c r="K23"/>
      <c r="L23" t="str">
        <f t="shared" si="2"/>
        <v>8. Scope approval</v>
      </c>
      <c r="M23"/>
      <c r="N23"/>
      <c r="O23"/>
      <c r="P23"/>
    </row>
    <row r="24" spans="1:1004">
      <c r="A24">
        <v>11</v>
      </c>
      <c r="B24" t="s">
        <v>1536</v>
      </c>
      <c r="C24"/>
      <c r="D24" t="str">
        <f t="shared" si="0"/>
        <v>11. Andries vd Walt</v>
      </c>
      <c r="E24">
        <v>9</v>
      </c>
      <c r="F24" t="s">
        <v>1551</v>
      </c>
      <c r="G24"/>
      <c r="H24" t="str">
        <f t="shared" si="1"/>
        <v>9. IPOC</v>
      </c>
      <c r="I24">
        <v>9</v>
      </c>
      <c r="J24" t="s">
        <v>1554</v>
      </c>
      <c r="K24"/>
      <c r="L24" t="str">
        <f t="shared" si="2"/>
        <v>9. Tech Test</v>
      </c>
      <c r="M24"/>
      <c r="N24"/>
      <c r="O24"/>
      <c r="P24"/>
    </row>
    <row r="25" spans="1:1004">
      <c r="A25">
        <v>12</v>
      </c>
      <c r="B25" t="s">
        <v>1537</v>
      </c>
      <c r="C25"/>
      <c r="D25" t="str">
        <f t="shared" si="0"/>
        <v>12. Francina Botha</v>
      </c>
      <c r="E25">
        <v>10</v>
      </c>
      <c r="F25" t="s">
        <v>1552</v>
      </c>
      <c r="G25"/>
      <c r="H25" t="str">
        <f t="shared" si="1"/>
        <v>10. ATLC Leader</v>
      </c>
      <c r="I25">
        <v>10</v>
      </c>
      <c r="J25" t="s">
        <v>1555</v>
      </c>
      <c r="K25"/>
      <c r="L25" t="str">
        <f t="shared" si="2"/>
        <v>10. Final RR</v>
      </c>
      <c r="M25"/>
      <c r="N25"/>
      <c r="O25"/>
      <c r="P25"/>
    </row>
    <row r="26" spans="1:1004">
      <c r="A26">
        <v>14</v>
      </c>
      <c r="B26" t="s">
        <v>1538</v>
      </c>
      <c r="C26"/>
      <c r="D26" t="str">
        <f t="shared" si="0"/>
        <v>14. Tony Gardiner</v>
      </c>
      <c r="E26"/>
      <c r="F26"/>
      <c r="G26"/>
      <c r="H26"/>
      <c r="I26"/>
      <c r="J26"/>
      <c r="K26"/>
      <c r="L26"/>
      <c r="M26"/>
      <c r="N26"/>
      <c r="O26"/>
      <c r="P26"/>
    </row>
    <row r="27" spans="1:1004">
      <c r="A27">
        <v>15</v>
      </c>
      <c r="B27" t="s">
        <v>1539</v>
      </c>
      <c r="C27"/>
      <c r="D27" t="str">
        <f t="shared" si="0"/>
        <v>15. Elmo Scheffer</v>
      </c>
      <c r="E27"/>
      <c r="F27"/>
      <c r="G27"/>
      <c r="H27"/>
      <c r="I27"/>
      <c r="J27"/>
      <c r="K27"/>
      <c r="L27"/>
      <c r="M27"/>
      <c r="N27"/>
      <c r="O27"/>
      <c r="P27"/>
    </row>
    <row r="28" spans="1:1004">
      <c r="A28">
        <v>16</v>
      </c>
      <c r="B28" t="s">
        <v>1540</v>
      </c>
      <c r="C28"/>
      <c r="D28" t="str">
        <f t="shared" si="0"/>
        <v>16. Pieter Roos</v>
      </c>
      <c r="E28"/>
      <c r="F28"/>
      <c r="G28"/>
      <c r="H28"/>
      <c r="I28"/>
      <c r="J28"/>
      <c r="K28"/>
      <c r="L28"/>
      <c r="M28"/>
      <c r="N28"/>
      <c r="O28"/>
      <c r="P28"/>
    </row>
    <row r="29" spans="1:1004">
      <c r="A29">
        <v>17</v>
      </c>
      <c r="B29" t="s">
        <v>1541</v>
      </c>
      <c r="C29"/>
      <c r="D29" t="str">
        <f t="shared" si="0"/>
        <v>17. Barry Headland</v>
      </c>
      <c r="E29"/>
      <c r="F29"/>
      <c r="G29"/>
      <c r="H29"/>
      <c r="I29"/>
      <c r="J29"/>
      <c r="K29"/>
      <c r="L29"/>
      <c r="M29"/>
      <c r="N29"/>
      <c r="O29"/>
      <c r="P29"/>
    </row>
    <row r="30" spans="1:1004">
      <c r="A30">
        <v>18</v>
      </c>
      <c r="B30" t="s">
        <v>1542</v>
      </c>
      <c r="C30"/>
      <c r="D30" t="str">
        <f t="shared" si="0"/>
        <v>18. Nigel Owen</v>
      </c>
      <c r="E30"/>
      <c r="F30"/>
      <c r="G30"/>
      <c r="H30"/>
      <c r="I30"/>
      <c r="J30"/>
      <c r="K30"/>
      <c r="L30"/>
      <c r="M30"/>
      <c r="N30"/>
      <c r="O30"/>
      <c r="P30"/>
    </row>
    <row r="31" spans="1:1004">
      <c r="A31">
        <v>19</v>
      </c>
      <c r="B31" t="s">
        <v>1543</v>
      </c>
      <c r="C31"/>
      <c r="D31" t="str">
        <f t="shared" si="0"/>
        <v>19. Ria Fouche</v>
      </c>
      <c r="E31"/>
      <c r="F31"/>
      <c r="G31"/>
      <c r="H31"/>
      <c r="I31"/>
      <c r="J31"/>
      <c r="K31"/>
      <c r="L31"/>
      <c r="M31"/>
      <c r="N31"/>
      <c r="O31"/>
      <c r="P31"/>
    </row>
    <row r="32" spans="1:1004">
      <c r="A32">
        <v>20</v>
      </c>
      <c r="B32" t="s">
        <v>1544</v>
      </c>
      <c r="C32"/>
      <c r="D32" t="str">
        <f t="shared" si="0"/>
        <v>20. Elsabie Koster</v>
      </c>
      <c r="E32"/>
      <c r="F32"/>
      <c r="G32"/>
      <c r="H32"/>
      <c r="I32"/>
      <c r="J32"/>
      <c r="K32"/>
      <c r="L32"/>
      <c r="M32"/>
      <c r="N32"/>
      <c r="O32"/>
      <c r="P32"/>
    </row>
    <row r="33" spans="1:16">
      <c r="A33">
        <v>21</v>
      </c>
      <c r="B33" t="s">
        <v>1545</v>
      </c>
      <c r="C33"/>
      <c r="D33" t="str">
        <f t="shared" si="0"/>
        <v>21. Lizwin Jacobs</v>
      </c>
      <c r="E33"/>
      <c r="F33"/>
      <c r="G33"/>
      <c r="H33"/>
      <c r="I33"/>
      <c r="J33"/>
      <c r="K33"/>
      <c r="L33"/>
      <c r="M33"/>
      <c r="N33"/>
      <c r="O33"/>
      <c r="P33"/>
    </row>
    <row r="34" spans="1:16">
      <c r="A34">
        <v>22</v>
      </c>
      <c r="B34" t="s">
        <v>1546</v>
      </c>
      <c r="C34"/>
      <c r="D34" t="str">
        <f t="shared" si="0"/>
        <v>22. Michael</v>
      </c>
      <c r="E34"/>
      <c r="F34"/>
      <c r="G34"/>
      <c r="H34"/>
      <c r="I34"/>
      <c r="J34"/>
      <c r="K34"/>
      <c r="L34"/>
      <c r="M34"/>
      <c r="N34"/>
      <c r="O34"/>
      <c r="P34"/>
    </row>
    <row r="35" spans="1:16">
      <c r="A35">
        <v>23</v>
      </c>
      <c r="B35" t="s">
        <v>1547</v>
      </c>
      <c r="C35"/>
      <c r="D35" t="str">
        <f t="shared" si="0"/>
        <v>23. Alice Erasmus</v>
      </c>
      <c r="E35"/>
      <c r="F35"/>
      <c r="G35"/>
      <c r="H35"/>
      <c r="I35"/>
      <c r="J35"/>
      <c r="K35"/>
      <c r="L35"/>
      <c r="M35"/>
      <c r="N35"/>
      <c r="O35"/>
      <c r="P35"/>
    </row>
    <row r="36" spans="1:16">
      <c r="A36">
        <v>24</v>
      </c>
      <c r="B36" t="s">
        <v>1548</v>
      </c>
      <c r="C36"/>
      <c r="D36" t="str">
        <f t="shared" si="0"/>
        <v>24. Sasha</v>
      </c>
      <c r="E36"/>
      <c r="F36"/>
      <c r="G36"/>
      <c r="H36"/>
      <c r="I36"/>
      <c r="J36"/>
      <c r="K36"/>
      <c r="L36"/>
      <c r="M36"/>
      <c r="N36"/>
      <c r="O36"/>
      <c r="P36"/>
    </row>
    <row r="37" spans="1:16">
      <c r="A37">
        <v>25</v>
      </c>
      <c r="B37" t="s">
        <v>1549</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7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12700</xdr:colOff>
                    <xdr:row>11</xdr:row>
                    <xdr:rowOff>69850</xdr:rowOff>
                  </from>
                  <to>
                    <xdr:col>1</xdr:col>
                    <xdr:colOff>965200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44450</xdr:colOff>
                    <xdr:row>11</xdr:row>
                    <xdr:rowOff>76200</xdr:rowOff>
                  </from>
                  <to>
                    <xdr:col>2</xdr:col>
                    <xdr:colOff>996950</xdr:colOff>
                    <xdr:row>13</xdr:row>
                    <xdr:rowOff>146050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31750</xdr:colOff>
                    <xdr:row>11</xdr:row>
                    <xdr:rowOff>69850</xdr:rowOff>
                  </from>
                  <to>
                    <xdr:col>5</xdr:col>
                    <xdr:colOff>984250</xdr:colOff>
                    <xdr:row>13</xdr:row>
                    <xdr:rowOff>139700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50800</xdr:colOff>
                    <xdr:row>11</xdr:row>
                    <xdr:rowOff>82550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107950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107950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25400</xdr:colOff>
                    <xdr:row>11</xdr:row>
                    <xdr:rowOff>12700</xdr:rowOff>
                  </from>
                  <to>
                    <xdr:col>13</xdr:col>
                    <xdr:colOff>977900</xdr:colOff>
                    <xdr:row>13</xdr:row>
                    <xdr:rowOff>82550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44450</xdr:colOff>
                    <xdr:row>11</xdr:row>
                    <xdr:rowOff>6350</xdr:rowOff>
                  </from>
                  <to>
                    <xdr:col>14</xdr:col>
                    <xdr:colOff>996950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101600</xdr:colOff>
                    <xdr:row>11</xdr:row>
                    <xdr:rowOff>69850</xdr:rowOff>
                  </from>
                  <to>
                    <xdr:col>17</xdr:col>
                    <xdr:colOff>876300</xdr:colOff>
                    <xdr:row>13</xdr:row>
                    <xdr:rowOff>82550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5"/>
  <cols>
    <col min="1" max="1" width="8.453125" customWidth="1"/>
    <col min="2" max="2" width="13" customWidth="1"/>
    <col min="3" max="3" width="15.90625" customWidth="1"/>
    <col min="4" max="4" width="34.81640625" customWidth="1"/>
    <col min="5" max="7" width="15.08984375" customWidth="1"/>
    <col min="8" max="8" width="13.54296875" customWidth="1"/>
    <col min="9" max="9" width="13.54296875" style="314" customWidth="1"/>
    <col min="10" max="10" width="15.08984375" style="314" customWidth="1"/>
    <col min="11" max="12" width="12" customWidth="1"/>
    <col min="13" max="18" width="9.1796875" customWidth="1"/>
  </cols>
  <sheetData>
    <row r="4" spans="1:18" ht="15" thickBot="1"/>
    <row r="5" spans="1:18" ht="15" thickBot="1">
      <c r="F5" t="s">
        <v>1506</v>
      </c>
      <c r="H5" s="316"/>
      <c r="I5" s="316"/>
      <c r="J5" s="316"/>
    </row>
    <row r="6" spans="1:18" ht="15" thickBot="1">
      <c r="B6" s="315"/>
      <c r="C6" s="315" t="s">
        <v>1523</v>
      </c>
      <c r="E6" s="315" t="s">
        <v>1524</v>
      </c>
      <c r="F6" s="315" t="s">
        <v>1525</v>
      </c>
      <c r="G6" s="315" t="s">
        <v>1526</v>
      </c>
      <c r="H6" s="316"/>
      <c r="I6" s="316"/>
      <c r="J6" s="316"/>
    </row>
    <row r="7" spans="1:18" s="313" customFormat="1" ht="29">
      <c r="A7" s="313" t="s">
        <v>1516</v>
      </c>
      <c r="B7" s="313" t="s">
        <v>1528</v>
      </c>
      <c r="C7" s="319" t="s">
        <v>1515</v>
      </c>
      <c r="D7" s="313" t="s">
        <v>1507</v>
      </c>
      <c r="E7" s="313" t="s">
        <v>1514</v>
      </c>
      <c r="F7" s="313" t="s">
        <v>1512</v>
      </c>
      <c r="G7" s="313" t="s">
        <v>1513</v>
      </c>
      <c r="H7" t="s">
        <v>1509</v>
      </c>
      <c r="I7" s="313" t="s">
        <v>1511</v>
      </c>
      <c r="J7" s="313" t="s">
        <v>1510</v>
      </c>
      <c r="K7" s="318" t="s">
        <v>1508</v>
      </c>
      <c r="M7" s="313" t="s">
        <v>1517</v>
      </c>
      <c r="N7" s="313" t="s">
        <v>1518</v>
      </c>
      <c r="O7" s="313" t="s">
        <v>1519</v>
      </c>
      <c r="P7" s="313" t="s">
        <v>1520</v>
      </c>
      <c r="Q7" s="313" t="s">
        <v>1521</v>
      </c>
      <c r="R7" s="313" t="s">
        <v>1522</v>
      </c>
    </row>
    <row r="8" spans="1:18">
      <c r="A8">
        <v>1</v>
      </c>
      <c r="B8" t="s">
        <v>1530</v>
      </c>
      <c r="C8" t="str">
        <f>VLOOKUP(N8,tbl_TaskCodeX,4,FALSE)</f>
        <v>3. 50p</v>
      </c>
      <c r="D8" t="s">
        <v>1558</v>
      </c>
      <c r="E8" t="str">
        <f>VLOOKUP(O8,tbl_TaskStatusX,4,FALSE)</f>
        <v>3. WIP</v>
      </c>
      <c r="F8" t="str">
        <f>VLOOKUP(P8,tbl_StaffX,4,FALSE)</f>
        <v>3. Joan van Zyl</v>
      </c>
      <c r="G8" t="str">
        <f>VLOOKUP(Q8,tbl_StaffRoleX,4,FALSE)</f>
        <v>2. ATL</v>
      </c>
      <c r="H8" s="317">
        <v>44768</v>
      </c>
      <c r="I8" s="317">
        <v>44782</v>
      </c>
      <c r="J8" s="317">
        <v>44796</v>
      </c>
      <c r="N8">
        <v>3</v>
      </c>
      <c r="O8">
        <v>3</v>
      </c>
      <c r="P8">
        <v>3</v>
      </c>
      <c r="Q8">
        <v>2</v>
      </c>
    </row>
    <row r="9" spans="1:18">
      <c r="A9">
        <v>2</v>
      </c>
      <c r="B9" t="s">
        <v>1529</v>
      </c>
      <c r="C9" t="str">
        <f>VLOOKUP(N9,tbl_TaskCodeX,4,FALSE)</f>
        <v>2. 30p</v>
      </c>
      <c r="D9" t="s">
        <v>1559</v>
      </c>
      <c r="E9" t="str">
        <f>VLOOKUP(O9,tbl_TaskStatusX,4,FALSE)</f>
        <v>3. WIP</v>
      </c>
      <c r="F9" t="str">
        <f>VLOOKUP(P9,tbl_StaffX,4,FALSE)</f>
        <v>2. Pieter van Zyl</v>
      </c>
      <c r="G9" t="str">
        <f>VLOOKUP(Q9,tbl_StaffRoleX,4,FALSE)</f>
        <v>1. None</v>
      </c>
      <c r="H9" s="317">
        <v>44775</v>
      </c>
      <c r="I9" s="317">
        <v>44775</v>
      </c>
      <c r="J9" s="317">
        <v>44775</v>
      </c>
      <c r="N9">
        <v>2</v>
      </c>
      <c r="O9">
        <v>3</v>
      </c>
      <c r="P9">
        <v>2</v>
      </c>
      <c r="Q9">
        <v>1</v>
      </c>
    </row>
    <row r="10" spans="1:18">
      <c r="A10">
        <v>3</v>
      </c>
      <c r="B10" t="s">
        <v>1529</v>
      </c>
      <c r="C10" t="str">
        <f>VLOOKUP(N10,tbl_TaskCodeX,4,FALSE)</f>
        <v>2. 30p</v>
      </c>
      <c r="D10" t="s">
        <v>1560</v>
      </c>
      <c r="E10" t="str">
        <f>VLOOKUP(O10,tbl_TaskStatusX,4,FALSE)</f>
        <v>3. WIP</v>
      </c>
      <c r="F10" t="str">
        <f>VLOOKUP(P10,tbl_StaffX,4,FALSE)</f>
        <v>2. Pieter van Zyl</v>
      </c>
      <c r="G10" t="str">
        <f>VLOOKUP(Q10,tbl_StaffRoleX,4,FALSE)</f>
        <v>1. None</v>
      </c>
      <c r="H10" s="317">
        <v>44775</v>
      </c>
      <c r="I10" s="317">
        <v>44775</v>
      </c>
      <c r="J10"/>
      <c r="N10">
        <v>2</v>
      </c>
      <c r="O10">
        <v>3</v>
      </c>
      <c r="P10">
        <v>2</v>
      </c>
      <c r="Q10">
        <v>1</v>
      </c>
    </row>
    <row r="11" spans="1:18">
      <c r="A11">
        <v>4</v>
      </c>
      <c r="B11" t="s">
        <v>1557</v>
      </c>
      <c r="C11" t="str">
        <f>VLOOKUP(N11,tbl_TaskCodeX,4,FALSE)</f>
        <v>2. 30p</v>
      </c>
      <c r="D11" t="s">
        <v>1561</v>
      </c>
      <c r="E11" t="str">
        <f>VLOOKUP(O11,tbl_TaskStatusX,4,FALSE)</f>
        <v>2. Not started</v>
      </c>
      <c r="F11" t="str">
        <f>VLOOKUP(P11,tbl_StaffX,4,FALSE)</f>
        <v>2. Pieter van Zyl</v>
      </c>
      <c r="G11" t="str">
        <f>VLOOKUP(Q11,tbl_StaffRoleX,4,FALSE)</f>
        <v>2. ATL</v>
      </c>
      <c r="H11" s="317">
        <v>44775</v>
      </c>
      <c r="I11" s="31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127000</xdr:colOff>
                    <xdr:row>1</xdr:row>
                    <xdr:rowOff>12700</xdr:rowOff>
                  </from>
                  <to>
                    <xdr:col>2</xdr:col>
                    <xdr:colOff>146050</xdr:colOff>
                    <xdr:row>3</xdr:row>
                    <xdr:rowOff>101600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501650</xdr:colOff>
                    <xdr:row>1</xdr:row>
                    <xdr:rowOff>0</xdr:rowOff>
                  </from>
                  <to>
                    <xdr:col>3</xdr:col>
                    <xdr:colOff>234950</xdr:colOff>
                    <xdr:row>3</xdr:row>
                    <xdr:rowOff>69850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90625" defaultRowHeight="14.5"/>
  <cols>
    <col min="1" max="1" width="8.90625" style="14"/>
    <col min="2" max="2" width="12.6328125" style="14" customWidth="1"/>
    <col min="3" max="3" width="20.453125" style="14" customWidth="1"/>
    <col min="4" max="4" width="85.6328125" style="14" customWidth="1"/>
    <col min="5" max="5" width="57.6328125" style="14" customWidth="1"/>
    <col min="6" max="6" width="14.453125" style="14" customWidth="1"/>
    <col min="7" max="7" width="18.54296875" style="14" customWidth="1"/>
    <col min="8" max="16384" width="8.90625" style="18"/>
  </cols>
  <sheetData>
    <row r="2" spans="1:7">
      <c r="D2" s="69" t="s">
        <v>428</v>
      </c>
      <c r="E2" s="70"/>
    </row>
    <row r="4" spans="1:7">
      <c r="A4" s="14" t="s">
        <v>393</v>
      </c>
      <c r="B4" s="14" t="s">
        <v>394</v>
      </c>
      <c r="C4" s="14" t="s">
        <v>397</v>
      </c>
      <c r="D4" s="14" t="s">
        <v>399</v>
      </c>
      <c r="E4" s="14" t="s">
        <v>395</v>
      </c>
      <c r="F4" s="14" t="s">
        <v>396</v>
      </c>
      <c r="G4" s="14" t="s">
        <v>398</v>
      </c>
    </row>
  </sheetData>
  <autoFilter ref="A4:G1675" xr:uid="{40A19692-D842-4C28-989E-F405CE04BE98}"/>
  <sortState xmlns:xlrd2="http://schemas.microsoft.com/office/spreadsheetml/2017/richdata2" ref="A5:H2010">
    <sortCondition ref="D5:D2010"/>
  </sortState>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107950</xdr:rowOff>
                  </from>
                  <to>
                    <xdr:col>3</xdr:col>
                    <xdr:colOff>2552700</xdr:colOff>
                    <xdr:row>2</xdr:row>
                    <xdr:rowOff>44450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184150</xdr:colOff>
                    <xdr:row>0</xdr:row>
                    <xdr:rowOff>146050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90625" defaultRowHeight="14.5"/>
  <cols>
    <col min="1" max="1" width="8.90625" style="14"/>
    <col min="2" max="4" width="8.08984375" style="14" customWidth="1"/>
    <col min="5" max="7" width="46" style="14" customWidth="1"/>
    <col min="8" max="8" width="14.90625" style="14" customWidth="1"/>
    <col min="9" max="9" width="23.54296875" style="14" customWidth="1"/>
    <col min="10" max="16384" width="8.90625" style="18"/>
  </cols>
  <sheetData>
    <row r="2" spans="1:9">
      <c r="F2" s="69" t="s">
        <v>428</v>
      </c>
      <c r="G2" s="70"/>
    </row>
    <row r="4" spans="1:9" ht="29">
      <c r="A4" s="14" t="s">
        <v>393</v>
      </c>
      <c r="B4" s="14" t="s">
        <v>394</v>
      </c>
      <c r="C4" s="14" t="s">
        <v>442</v>
      </c>
      <c r="D4" s="14" t="s">
        <v>443</v>
      </c>
      <c r="E4" s="14" t="s">
        <v>444</v>
      </c>
      <c r="F4" s="14" t="s">
        <v>445</v>
      </c>
      <c r="G4" s="14" t="s">
        <v>446</v>
      </c>
      <c r="H4" s="14" t="s">
        <v>396</v>
      </c>
      <c r="I4" s="14" t="s">
        <v>398</v>
      </c>
    </row>
  </sheetData>
  <autoFilter ref="A4:I10" xr:uid="{47DA7E70-79D5-4AF1-BEE4-5F8747C66CC6}"/>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107950</xdr:rowOff>
                  </from>
                  <to>
                    <xdr:col>5</xdr:col>
                    <xdr:colOff>1416050</xdr:colOff>
                    <xdr:row>2</xdr:row>
                    <xdr:rowOff>44450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146050</xdr:colOff>
                    <xdr:row>0</xdr:row>
                    <xdr:rowOff>120650</xdr:rowOff>
                  </from>
                  <to>
                    <xdr:col>4</xdr:col>
                    <xdr:colOff>571500</xdr:colOff>
                    <xdr:row>2</xdr:row>
                    <xdr:rowOff>31750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5"/>
  <sheetData>
    <row r="50" spans="4:4">
      <c r="D50" s="301"/>
    </row>
  </sheetData>
  <sortState xmlns:xlrd2="http://schemas.microsoft.com/office/spreadsheetml/2017/richdata2" ref="C1:C19">
    <sortCondition ref="C1:C19"/>
  </sortState>
  <phoneticPr fontId="7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topLeftCell="A10" workbookViewId="0">
      <selection activeCell="A26" sqref="A26:XFD26"/>
    </sheetView>
  </sheetViews>
  <sheetFormatPr defaultColWidth="8.6328125" defaultRowHeight="15.5"/>
  <cols>
    <col min="1" max="16384" width="8.6328125" style="23"/>
  </cols>
  <sheetData>
    <row r="2" spans="2:3">
      <c r="B2" s="23" t="s">
        <v>0</v>
      </c>
    </row>
    <row r="3" spans="2:3">
      <c r="C3" s="23" t="s">
        <v>1</v>
      </c>
    </row>
    <row r="4" spans="2:3">
      <c r="C4" s="23" t="s">
        <v>2</v>
      </c>
    </row>
    <row r="5" spans="2:3">
      <c r="C5" s="23" t="s">
        <v>403</v>
      </c>
    </row>
    <row r="6" spans="2:3">
      <c r="C6" s="23" t="s">
        <v>3</v>
      </c>
    </row>
    <row r="7" spans="2:3">
      <c r="C7" s="23" t="s">
        <v>4</v>
      </c>
    </row>
    <row r="8" spans="2:3">
      <c r="C8" s="23" t="s">
        <v>5</v>
      </c>
    </row>
    <row r="9" spans="2:3">
      <c r="C9" s="23" t="s">
        <v>6</v>
      </c>
    </row>
    <row r="10" spans="2:3">
      <c r="C10" s="23" t="s">
        <v>7</v>
      </c>
    </row>
    <row r="11" spans="2:3">
      <c r="C11" s="23" t="s">
        <v>8</v>
      </c>
    </row>
    <row r="13" spans="2:3">
      <c r="B13" s="23" t="s">
        <v>9</v>
      </c>
    </row>
    <row r="14" spans="2:3">
      <c r="C14" s="23" t="s">
        <v>10</v>
      </c>
    </row>
    <row r="15" spans="2:3">
      <c r="C15" s="24" t="s">
        <v>404</v>
      </c>
    </row>
    <row r="16" spans="2:3">
      <c r="C16" s="24" t="s">
        <v>405</v>
      </c>
    </row>
    <row r="17" spans="2:3">
      <c r="C17" s="23" t="s">
        <v>406</v>
      </c>
    </row>
    <row r="18" spans="2:3">
      <c r="C18" s="24" t="s">
        <v>11</v>
      </c>
    </row>
    <row r="19" spans="2:3">
      <c r="C19" s="24" t="s">
        <v>12</v>
      </c>
    </row>
    <row r="20" spans="2:3">
      <c r="C20" s="23" t="s">
        <v>13</v>
      </c>
    </row>
    <row r="21" spans="2:3">
      <c r="C21" s="23" t="s">
        <v>14</v>
      </c>
    </row>
    <row r="22" spans="2:3">
      <c r="C22" s="23" t="s">
        <v>15</v>
      </c>
    </row>
    <row r="25" spans="2:3">
      <c r="B25" s="23" t="s">
        <v>407</v>
      </c>
    </row>
    <row r="26" spans="2:3">
      <c r="C26" s="25" t="s">
        <v>408</v>
      </c>
    </row>
    <row r="27" spans="2:3">
      <c r="C27" s="15" t="s">
        <v>2047</v>
      </c>
    </row>
  </sheetData>
  <phoneticPr fontId="7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workbookViewId="0"/>
  </sheetViews>
  <sheetFormatPr defaultColWidth="8.6328125" defaultRowHeight="14.5"/>
  <cols>
    <col min="1" max="21" width="8.6328125" style="29"/>
    <col min="22" max="22" width="8.6328125" style="29" hidden="1" customWidth="1"/>
    <col min="23" max="16384" width="8.6328125" style="29"/>
  </cols>
  <sheetData>
    <row r="2" spans="1:22" ht="93">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5">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5">
      <c r="A4" s="370" t="s">
        <v>409</v>
      </c>
      <c r="B4" s="32" t="s">
        <v>47</v>
      </c>
      <c r="C4" s="33" t="s">
        <v>48</v>
      </c>
      <c r="D4" s="33" t="s">
        <v>48</v>
      </c>
      <c r="E4" s="33" t="s">
        <v>48</v>
      </c>
      <c r="F4" s="33" t="s">
        <v>48</v>
      </c>
      <c r="G4" s="33" t="s">
        <v>48</v>
      </c>
      <c r="H4" s="33" t="s">
        <v>48</v>
      </c>
      <c r="I4" s="33" t="s">
        <v>48</v>
      </c>
      <c r="J4" s="33" t="s">
        <v>48</v>
      </c>
      <c r="K4" s="33" t="s">
        <v>48</v>
      </c>
      <c r="L4" s="33" t="s">
        <v>48</v>
      </c>
      <c r="M4" s="33" t="s">
        <v>48</v>
      </c>
      <c r="N4" s="33" t="s">
        <v>48</v>
      </c>
      <c r="O4" s="33" t="s">
        <v>48</v>
      </c>
      <c r="P4" s="33" t="s">
        <v>48</v>
      </c>
      <c r="Q4" s="33" t="s">
        <v>48</v>
      </c>
      <c r="R4" s="33" t="s">
        <v>48</v>
      </c>
      <c r="S4" s="33" t="s">
        <v>48</v>
      </c>
      <c r="T4" s="33" t="s">
        <v>48</v>
      </c>
      <c r="U4" s="33" t="s">
        <v>48</v>
      </c>
      <c r="V4" s="34" t="s">
        <v>49</v>
      </c>
    </row>
    <row r="5" spans="1:22" ht="15.5">
      <c r="A5" s="370"/>
      <c r="B5" s="31">
        <v>1.1000000000000001</v>
      </c>
      <c r="C5" s="35" t="s">
        <v>50</v>
      </c>
      <c r="D5" s="35" t="s">
        <v>50</v>
      </c>
      <c r="E5" s="35" t="s">
        <v>50</v>
      </c>
      <c r="F5" s="35" t="s">
        <v>50</v>
      </c>
      <c r="G5" s="35" t="s">
        <v>50</v>
      </c>
      <c r="H5" s="35" t="s">
        <v>50</v>
      </c>
      <c r="I5" s="35" t="s">
        <v>50</v>
      </c>
      <c r="J5" s="35" t="s">
        <v>50</v>
      </c>
      <c r="K5" s="35" t="s">
        <v>50</v>
      </c>
      <c r="L5" s="35" t="s">
        <v>50</v>
      </c>
      <c r="M5" s="35" t="s">
        <v>50</v>
      </c>
      <c r="N5" s="35" t="s">
        <v>50</v>
      </c>
      <c r="O5" s="35" t="s">
        <v>50</v>
      </c>
      <c r="P5" s="35" t="s">
        <v>50</v>
      </c>
      <c r="Q5" s="35" t="s">
        <v>50</v>
      </c>
      <c r="R5" s="35" t="s">
        <v>50</v>
      </c>
      <c r="S5" s="35" t="s">
        <v>50</v>
      </c>
      <c r="T5" s="35" t="s">
        <v>50</v>
      </c>
      <c r="U5" s="35" t="s">
        <v>50</v>
      </c>
      <c r="V5" s="34" t="s">
        <v>51</v>
      </c>
    </row>
    <row r="6" spans="1:22" ht="15.5">
      <c r="A6" s="370"/>
      <c r="B6" s="31">
        <v>1.2</v>
      </c>
      <c r="C6" s="35"/>
      <c r="D6" s="35"/>
      <c r="E6" s="35"/>
      <c r="F6" s="35"/>
      <c r="G6" s="35"/>
      <c r="H6" s="35" t="s">
        <v>50</v>
      </c>
      <c r="I6" s="35"/>
      <c r="J6" s="35"/>
      <c r="K6" s="35" t="s">
        <v>50</v>
      </c>
      <c r="L6" s="35"/>
      <c r="M6" s="35" t="s">
        <v>50</v>
      </c>
      <c r="N6" s="35"/>
      <c r="O6" s="35"/>
      <c r="P6" s="35" t="s">
        <v>50</v>
      </c>
      <c r="Q6" s="35" t="s">
        <v>50</v>
      </c>
      <c r="R6" s="35"/>
      <c r="S6" s="35"/>
      <c r="T6" s="35" t="s">
        <v>50</v>
      </c>
      <c r="U6" s="35"/>
      <c r="V6" s="34" t="s">
        <v>52</v>
      </c>
    </row>
    <row r="7" spans="1:22" ht="15.5">
      <c r="A7" s="370"/>
      <c r="B7" s="31">
        <v>1.3</v>
      </c>
      <c r="C7" s="35"/>
      <c r="D7" s="35"/>
      <c r="E7" s="35"/>
      <c r="F7" s="35"/>
      <c r="G7" s="35"/>
      <c r="H7" s="35"/>
      <c r="I7" s="35"/>
      <c r="J7" s="35"/>
      <c r="K7" s="35" t="s">
        <v>50</v>
      </c>
      <c r="L7" s="35"/>
      <c r="M7" s="35"/>
      <c r="N7" s="35"/>
      <c r="O7" s="35"/>
      <c r="P7" s="35"/>
      <c r="Q7" s="35"/>
      <c r="R7" s="35"/>
      <c r="S7" s="35"/>
      <c r="T7" s="35"/>
      <c r="U7" s="35"/>
      <c r="V7" s="34" t="s">
        <v>53</v>
      </c>
    </row>
    <row r="8" spans="1:22" ht="15.5">
      <c r="A8" s="370"/>
      <c r="B8" s="31">
        <v>1.4</v>
      </c>
      <c r="C8" s="35"/>
      <c r="D8" s="35"/>
      <c r="E8" s="35"/>
      <c r="F8" s="35"/>
      <c r="G8" s="35"/>
      <c r="H8" s="35"/>
      <c r="I8" s="35"/>
      <c r="J8" s="35"/>
      <c r="K8" s="35"/>
      <c r="L8" s="35"/>
      <c r="M8" s="35"/>
      <c r="N8" s="35"/>
      <c r="O8" s="35"/>
      <c r="P8" s="35"/>
      <c r="Q8" s="35"/>
      <c r="R8" s="35"/>
      <c r="S8" s="35"/>
      <c r="T8" s="35"/>
      <c r="U8" s="35"/>
      <c r="V8" s="34" t="s">
        <v>53</v>
      </c>
    </row>
    <row r="9" spans="1:22" ht="15.5">
      <c r="A9" s="370" t="s">
        <v>54</v>
      </c>
      <c r="B9" s="32" t="s">
        <v>54</v>
      </c>
      <c r="C9" s="33" t="s">
        <v>48</v>
      </c>
      <c r="D9" s="33" t="s">
        <v>48</v>
      </c>
      <c r="E9" s="33" t="s">
        <v>48</v>
      </c>
      <c r="F9" s="33" t="s">
        <v>48</v>
      </c>
      <c r="G9" s="33" t="s">
        <v>48</v>
      </c>
      <c r="H9" s="33" t="s">
        <v>48</v>
      </c>
      <c r="I9" s="33" t="s">
        <v>48</v>
      </c>
      <c r="J9" s="33" t="s">
        <v>48</v>
      </c>
      <c r="K9" s="33" t="s">
        <v>48</v>
      </c>
      <c r="L9" s="33" t="s">
        <v>48</v>
      </c>
      <c r="M9" s="33" t="s">
        <v>48</v>
      </c>
      <c r="N9" s="33" t="s">
        <v>48</v>
      </c>
      <c r="O9" s="33" t="s">
        <v>48</v>
      </c>
      <c r="P9" s="33" t="s">
        <v>48</v>
      </c>
      <c r="Q9" s="33" t="s">
        <v>48</v>
      </c>
      <c r="R9" s="33" t="s">
        <v>48</v>
      </c>
      <c r="S9" s="33" t="s">
        <v>48</v>
      </c>
      <c r="T9" s="33" t="s">
        <v>48</v>
      </c>
      <c r="U9" s="33" t="s">
        <v>48</v>
      </c>
      <c r="V9" s="34"/>
    </row>
    <row r="10" spans="1:22" ht="15.5">
      <c r="A10" s="370"/>
      <c r="B10" s="31">
        <v>2.1</v>
      </c>
      <c r="C10" s="35" t="s">
        <v>50</v>
      </c>
      <c r="D10" s="35" t="s">
        <v>50</v>
      </c>
      <c r="E10" s="35" t="s">
        <v>50</v>
      </c>
      <c r="F10" s="35" t="s">
        <v>50</v>
      </c>
      <c r="G10" s="35" t="s">
        <v>50</v>
      </c>
      <c r="H10" s="35" t="s">
        <v>50</v>
      </c>
      <c r="I10" s="35" t="s">
        <v>50</v>
      </c>
      <c r="J10" s="35" t="s">
        <v>50</v>
      </c>
      <c r="K10" s="35" t="s">
        <v>50</v>
      </c>
      <c r="L10" s="35" t="s">
        <v>50</v>
      </c>
      <c r="M10" s="35" t="s">
        <v>50</v>
      </c>
      <c r="N10" s="35" t="s">
        <v>50</v>
      </c>
      <c r="O10" s="35" t="s">
        <v>50</v>
      </c>
      <c r="P10" s="35" t="s">
        <v>50</v>
      </c>
      <c r="Q10" s="35" t="s">
        <v>50</v>
      </c>
      <c r="R10" s="35" t="s">
        <v>50</v>
      </c>
      <c r="S10" s="35" t="s">
        <v>50</v>
      </c>
      <c r="T10" s="35" t="s">
        <v>50</v>
      </c>
      <c r="U10" s="35" t="s">
        <v>50</v>
      </c>
      <c r="V10" s="34" t="s">
        <v>51</v>
      </c>
    </row>
    <row r="11" spans="1:22" ht="15.5">
      <c r="A11" s="370"/>
      <c r="B11" s="31">
        <v>2.2000000000000002</v>
      </c>
      <c r="C11" s="35" t="s">
        <v>50</v>
      </c>
      <c r="D11" s="35" t="s">
        <v>50</v>
      </c>
      <c r="E11" s="35" t="s">
        <v>50</v>
      </c>
      <c r="F11" s="35" t="s">
        <v>50</v>
      </c>
      <c r="G11" s="35" t="s">
        <v>50</v>
      </c>
      <c r="H11" s="35" t="s">
        <v>50</v>
      </c>
      <c r="I11" s="35" t="s">
        <v>50</v>
      </c>
      <c r="J11" s="35" t="s">
        <v>50</v>
      </c>
      <c r="K11" s="35" t="s">
        <v>50</v>
      </c>
      <c r="L11" s="35" t="s">
        <v>50</v>
      </c>
      <c r="M11" s="35" t="s">
        <v>50</v>
      </c>
      <c r="N11" s="35" t="s">
        <v>50</v>
      </c>
      <c r="O11" s="35" t="s">
        <v>50</v>
      </c>
      <c r="P11" s="35" t="s">
        <v>50</v>
      </c>
      <c r="Q11" s="35" t="s">
        <v>50</v>
      </c>
      <c r="R11" s="35" t="s">
        <v>50</v>
      </c>
      <c r="S11" s="35" t="s">
        <v>50</v>
      </c>
      <c r="T11" s="35" t="s">
        <v>50</v>
      </c>
      <c r="U11" s="35" t="s">
        <v>50</v>
      </c>
      <c r="V11" s="34" t="s">
        <v>51</v>
      </c>
    </row>
    <row r="12" spans="1:22" ht="15.5">
      <c r="A12" s="370"/>
      <c r="B12" s="31">
        <v>2.2999999999999998</v>
      </c>
      <c r="C12" s="35" t="s">
        <v>50</v>
      </c>
      <c r="D12" s="35"/>
      <c r="E12" s="35" t="s">
        <v>50</v>
      </c>
      <c r="F12" s="35" t="s">
        <v>50</v>
      </c>
      <c r="G12" s="35" t="s">
        <v>50</v>
      </c>
      <c r="H12" s="35" t="s">
        <v>50</v>
      </c>
      <c r="I12" s="35" t="s">
        <v>50</v>
      </c>
      <c r="J12" s="35" t="s">
        <v>50</v>
      </c>
      <c r="K12" s="35"/>
      <c r="L12" s="35" t="s">
        <v>50</v>
      </c>
      <c r="M12" s="35" t="s">
        <v>50</v>
      </c>
      <c r="N12" s="35"/>
      <c r="O12" s="35"/>
      <c r="P12" s="35" t="s">
        <v>50</v>
      </c>
      <c r="Q12" s="35" t="s">
        <v>50</v>
      </c>
      <c r="R12" s="35" t="s">
        <v>50</v>
      </c>
      <c r="S12" s="35"/>
      <c r="T12" s="35" t="s">
        <v>50</v>
      </c>
      <c r="U12" s="35" t="s">
        <v>50</v>
      </c>
      <c r="V12" s="34" t="s">
        <v>55</v>
      </c>
    </row>
    <row r="13" spans="1:22" ht="15.5">
      <c r="A13" s="370"/>
      <c r="B13" s="31">
        <v>2.4</v>
      </c>
      <c r="C13" s="35" t="s">
        <v>50</v>
      </c>
      <c r="D13" s="35"/>
      <c r="E13" s="35"/>
      <c r="F13" s="35" t="s">
        <v>50</v>
      </c>
      <c r="G13" s="35" t="s">
        <v>50</v>
      </c>
      <c r="H13" s="35"/>
      <c r="I13" s="35" t="s">
        <v>50</v>
      </c>
      <c r="J13" s="35" t="s">
        <v>50</v>
      </c>
      <c r="K13" s="35"/>
      <c r="L13" s="35"/>
      <c r="M13" s="35" t="s">
        <v>50</v>
      </c>
      <c r="N13" s="35"/>
      <c r="O13" s="35"/>
      <c r="P13" s="35" t="s">
        <v>50</v>
      </c>
      <c r="Q13" s="35" t="s">
        <v>50</v>
      </c>
      <c r="R13" s="35"/>
      <c r="S13" s="35"/>
      <c r="T13" s="35" t="s">
        <v>50</v>
      </c>
      <c r="U13" s="35" t="s">
        <v>50</v>
      </c>
      <c r="V13" s="34" t="s">
        <v>53</v>
      </c>
    </row>
    <row r="14" spans="1:22" ht="15.5">
      <c r="A14" s="370"/>
      <c r="B14" s="31">
        <v>2.5</v>
      </c>
      <c r="C14" s="35"/>
      <c r="D14" s="35"/>
      <c r="E14" s="35"/>
      <c r="F14" s="35" t="s">
        <v>50</v>
      </c>
      <c r="G14" s="35"/>
      <c r="H14" s="35"/>
      <c r="I14" s="35"/>
      <c r="J14" s="35" t="s">
        <v>50</v>
      </c>
      <c r="K14" s="35"/>
      <c r="L14" s="35"/>
      <c r="M14" s="35" t="s">
        <v>50</v>
      </c>
      <c r="N14" s="35"/>
      <c r="O14" s="35"/>
      <c r="P14" s="35"/>
      <c r="Q14" s="35" t="s">
        <v>50</v>
      </c>
      <c r="R14" s="35"/>
      <c r="S14" s="35"/>
      <c r="T14" s="35" t="s">
        <v>50</v>
      </c>
      <c r="U14" s="35" t="s">
        <v>50</v>
      </c>
      <c r="V14" s="34"/>
    </row>
    <row r="15" spans="1:22" ht="15.5">
      <c r="A15" s="370"/>
      <c r="B15" s="31">
        <v>2.6</v>
      </c>
      <c r="C15" s="35"/>
      <c r="D15" s="35"/>
      <c r="E15" s="35"/>
      <c r="F15" s="35" t="s">
        <v>50</v>
      </c>
      <c r="G15" s="35"/>
      <c r="H15" s="35"/>
      <c r="I15" s="35"/>
      <c r="J15" s="35" t="s">
        <v>50</v>
      </c>
      <c r="K15" s="35"/>
      <c r="L15" s="35"/>
      <c r="M15" s="35" t="s">
        <v>50</v>
      </c>
      <c r="N15" s="35"/>
      <c r="O15" s="35"/>
      <c r="P15" s="35"/>
      <c r="Q15" s="35" t="s">
        <v>50</v>
      </c>
      <c r="R15" s="35"/>
      <c r="S15" s="35"/>
      <c r="T15" s="35"/>
      <c r="U15" s="35" t="s">
        <v>50</v>
      </c>
      <c r="V15" s="34"/>
    </row>
    <row r="16" spans="1:22" ht="15.5">
      <c r="A16" s="370"/>
      <c r="B16" s="31">
        <v>2.7</v>
      </c>
      <c r="C16" s="35"/>
      <c r="D16" s="35"/>
      <c r="E16" s="35"/>
      <c r="F16" s="35"/>
      <c r="G16" s="35"/>
      <c r="H16" s="35"/>
      <c r="I16" s="35"/>
      <c r="J16" s="35"/>
      <c r="K16" s="35"/>
      <c r="L16" s="35"/>
      <c r="M16" s="35"/>
      <c r="N16" s="35"/>
      <c r="O16" s="35"/>
      <c r="P16" s="35"/>
      <c r="Q16" s="35" t="s">
        <v>50</v>
      </c>
      <c r="R16" s="35"/>
      <c r="S16" s="35"/>
      <c r="T16" s="35"/>
      <c r="U16" s="35"/>
      <c r="V16" s="34"/>
    </row>
    <row r="17" spans="1:22" ht="15.5">
      <c r="A17" s="370"/>
      <c r="B17" s="31">
        <v>2.8</v>
      </c>
      <c r="C17" s="35"/>
      <c r="D17" s="35"/>
      <c r="E17" s="35"/>
      <c r="F17" s="35"/>
      <c r="G17" s="35"/>
      <c r="H17" s="35"/>
      <c r="I17" s="35"/>
      <c r="J17" s="35"/>
      <c r="K17" s="35"/>
      <c r="L17" s="35"/>
      <c r="M17" s="35"/>
      <c r="N17" s="35"/>
      <c r="O17" s="35"/>
      <c r="P17" s="35"/>
      <c r="Q17" s="35" t="s">
        <v>50</v>
      </c>
      <c r="R17" s="35"/>
      <c r="S17" s="35"/>
      <c r="T17" s="35"/>
      <c r="U17" s="35"/>
      <c r="V17" s="34"/>
    </row>
    <row r="18" spans="1:22" ht="15.5">
      <c r="A18" s="370" t="s">
        <v>56</v>
      </c>
      <c r="B18" s="32" t="s">
        <v>56</v>
      </c>
      <c r="C18" s="33" t="s">
        <v>48</v>
      </c>
      <c r="D18" s="33" t="s">
        <v>48</v>
      </c>
      <c r="E18" s="33" t="s">
        <v>48</v>
      </c>
      <c r="F18" s="33" t="s">
        <v>48</v>
      </c>
      <c r="G18" s="33" t="s">
        <v>48</v>
      </c>
      <c r="H18" s="33" t="s">
        <v>48</v>
      </c>
      <c r="I18" s="33" t="s">
        <v>48</v>
      </c>
      <c r="J18" s="33" t="s">
        <v>48</v>
      </c>
      <c r="K18" s="33" t="s">
        <v>48</v>
      </c>
      <c r="L18" s="33" t="s">
        <v>48</v>
      </c>
      <c r="M18" s="33" t="s">
        <v>48</v>
      </c>
      <c r="N18" s="33" t="s">
        <v>48</v>
      </c>
      <c r="O18" s="33" t="s">
        <v>48</v>
      </c>
      <c r="P18" s="33" t="s">
        <v>48</v>
      </c>
      <c r="Q18" s="33" t="s">
        <v>48</v>
      </c>
      <c r="R18" s="33" t="s">
        <v>48</v>
      </c>
      <c r="S18" s="33" t="s">
        <v>48</v>
      </c>
      <c r="T18" s="33" t="s">
        <v>48</v>
      </c>
      <c r="U18" s="35"/>
      <c r="V18" s="34"/>
    </row>
    <row r="19" spans="1:22" ht="15.5">
      <c r="A19" s="370"/>
      <c r="B19" s="31">
        <v>3.1</v>
      </c>
      <c r="C19" s="35" t="s">
        <v>50</v>
      </c>
      <c r="D19" s="35" t="s">
        <v>50</v>
      </c>
      <c r="E19" s="35" t="s">
        <v>50</v>
      </c>
      <c r="F19" s="35" t="s">
        <v>50</v>
      </c>
      <c r="G19" s="35" t="s">
        <v>50</v>
      </c>
      <c r="H19" s="35" t="s">
        <v>50</v>
      </c>
      <c r="I19" s="35" t="s">
        <v>50</v>
      </c>
      <c r="J19" s="35" t="s">
        <v>50</v>
      </c>
      <c r="K19" s="35" t="s">
        <v>50</v>
      </c>
      <c r="L19" s="35" t="s">
        <v>50</v>
      </c>
      <c r="M19" s="35" t="s">
        <v>50</v>
      </c>
      <c r="N19" s="35" t="s">
        <v>50</v>
      </c>
      <c r="O19" s="35" t="s">
        <v>50</v>
      </c>
      <c r="P19" s="35" t="s">
        <v>50</v>
      </c>
      <c r="Q19" s="35" t="s">
        <v>50</v>
      </c>
      <c r="R19" s="35" t="s">
        <v>50</v>
      </c>
      <c r="S19" s="35" t="s">
        <v>50</v>
      </c>
      <c r="T19" s="35" t="s">
        <v>50</v>
      </c>
      <c r="U19" s="35"/>
      <c r="V19" s="34" t="s">
        <v>51</v>
      </c>
    </row>
    <row r="20" spans="1:22" ht="15.5">
      <c r="A20" s="370"/>
      <c r="B20" s="31">
        <v>3.2</v>
      </c>
      <c r="C20" s="35" t="s">
        <v>50</v>
      </c>
      <c r="D20" s="35" t="s">
        <v>50</v>
      </c>
      <c r="E20" s="35" t="s">
        <v>50</v>
      </c>
      <c r="F20" s="35" t="s">
        <v>50</v>
      </c>
      <c r="G20" s="35"/>
      <c r="H20" s="35" t="s">
        <v>50</v>
      </c>
      <c r="I20" s="35"/>
      <c r="J20" s="35" t="s">
        <v>50</v>
      </c>
      <c r="K20" s="35" t="s">
        <v>50</v>
      </c>
      <c r="L20" s="35" t="s">
        <v>50</v>
      </c>
      <c r="M20" s="35" t="s">
        <v>50</v>
      </c>
      <c r="N20" s="35" t="s">
        <v>50</v>
      </c>
      <c r="O20" s="35" t="s">
        <v>50</v>
      </c>
      <c r="P20" s="35" t="s">
        <v>50</v>
      </c>
      <c r="Q20" s="35" t="s">
        <v>50</v>
      </c>
      <c r="R20" s="35" t="s">
        <v>50</v>
      </c>
      <c r="S20" s="35" t="s">
        <v>50</v>
      </c>
      <c r="T20" s="35"/>
      <c r="U20" s="35"/>
      <c r="V20" s="34" t="s">
        <v>51</v>
      </c>
    </row>
    <row r="21" spans="1:22" ht="15.5">
      <c r="A21" s="370"/>
      <c r="B21" s="31">
        <v>3.3</v>
      </c>
      <c r="C21" s="35"/>
      <c r="D21" s="35" t="s">
        <v>50</v>
      </c>
      <c r="E21" s="35" t="s">
        <v>50</v>
      </c>
      <c r="F21" s="35" t="s">
        <v>50</v>
      </c>
      <c r="G21" s="35"/>
      <c r="H21" s="35"/>
      <c r="I21" s="35"/>
      <c r="J21" s="35" t="s">
        <v>50</v>
      </c>
      <c r="K21" s="35" t="s">
        <v>50</v>
      </c>
      <c r="L21" s="35" t="s">
        <v>50</v>
      </c>
      <c r="M21" s="35" t="s">
        <v>50</v>
      </c>
      <c r="N21" s="35" t="s">
        <v>50</v>
      </c>
      <c r="O21" s="35" t="s">
        <v>50</v>
      </c>
      <c r="P21" s="35" t="s">
        <v>50</v>
      </c>
      <c r="Q21" s="35" t="s">
        <v>50</v>
      </c>
      <c r="R21" s="35"/>
      <c r="S21" s="35" t="s">
        <v>50</v>
      </c>
      <c r="T21" s="35"/>
      <c r="U21" s="35"/>
      <c r="V21" s="34"/>
    </row>
    <row r="22" spans="1:22" ht="15.5">
      <c r="A22" s="370"/>
      <c r="B22" s="31">
        <v>3.4</v>
      </c>
      <c r="C22" s="35"/>
      <c r="D22" s="35"/>
      <c r="E22" s="35" t="s">
        <v>50</v>
      </c>
      <c r="F22" s="35"/>
      <c r="G22" s="35"/>
      <c r="H22" s="35"/>
      <c r="I22" s="35"/>
      <c r="J22" s="35" t="s">
        <v>50</v>
      </c>
      <c r="K22" s="35" t="s">
        <v>50</v>
      </c>
      <c r="L22" s="35" t="s">
        <v>50</v>
      </c>
      <c r="M22" s="35" t="s">
        <v>50</v>
      </c>
      <c r="N22" s="35" t="s">
        <v>50</v>
      </c>
      <c r="O22" s="35" t="s">
        <v>50</v>
      </c>
      <c r="P22" s="35" t="s">
        <v>50</v>
      </c>
      <c r="Q22" s="35" t="s">
        <v>50</v>
      </c>
      <c r="R22" s="35"/>
      <c r="S22" s="35" t="s">
        <v>50</v>
      </c>
      <c r="T22" s="35"/>
      <c r="U22" s="35"/>
      <c r="V22" s="34"/>
    </row>
    <row r="23" spans="1:22" ht="15.5">
      <c r="A23" s="370"/>
      <c r="B23" s="31">
        <v>3.5</v>
      </c>
      <c r="C23" s="35"/>
      <c r="D23" s="35"/>
      <c r="E23" s="35" t="s">
        <v>50</v>
      </c>
      <c r="F23" s="35"/>
      <c r="G23" s="35"/>
      <c r="H23" s="35"/>
      <c r="I23" s="35"/>
      <c r="J23" s="35" t="s">
        <v>50</v>
      </c>
      <c r="K23" s="35" t="s">
        <v>50</v>
      </c>
      <c r="L23" s="35" t="s">
        <v>50</v>
      </c>
      <c r="M23" s="35" t="s">
        <v>50</v>
      </c>
      <c r="N23" s="35" t="s">
        <v>50</v>
      </c>
      <c r="O23" s="35" t="s">
        <v>50</v>
      </c>
      <c r="P23" s="35"/>
      <c r="Q23" s="35"/>
      <c r="R23" s="35"/>
      <c r="S23" s="35" t="s">
        <v>50</v>
      </c>
      <c r="T23" s="35"/>
      <c r="U23" s="35"/>
      <c r="V23" s="34"/>
    </row>
    <row r="24" spans="1:22" ht="15.5">
      <c r="A24" s="370"/>
      <c r="B24" s="31">
        <v>3.6</v>
      </c>
      <c r="C24" s="35"/>
      <c r="D24" s="35"/>
      <c r="E24" s="35" t="s">
        <v>50</v>
      </c>
      <c r="F24" s="35"/>
      <c r="G24" s="35"/>
      <c r="H24" s="35"/>
      <c r="I24" s="35"/>
      <c r="J24" s="35" t="s">
        <v>50</v>
      </c>
      <c r="K24" s="35" t="s">
        <v>50</v>
      </c>
      <c r="L24" s="35" t="s">
        <v>50</v>
      </c>
      <c r="M24" s="35" t="s">
        <v>50</v>
      </c>
      <c r="N24" s="35"/>
      <c r="O24" s="35" t="s">
        <v>50</v>
      </c>
      <c r="P24" s="35"/>
      <c r="Q24" s="35"/>
      <c r="R24" s="35"/>
      <c r="S24" s="35"/>
      <c r="T24" s="35"/>
      <c r="U24" s="35"/>
      <c r="V24" s="34"/>
    </row>
    <row r="25" spans="1:22" ht="15.5">
      <c r="A25" s="370"/>
      <c r="B25" s="31">
        <v>3.7</v>
      </c>
      <c r="C25" s="35"/>
      <c r="D25" s="35"/>
      <c r="E25" s="35"/>
      <c r="F25" s="35"/>
      <c r="G25" s="35"/>
      <c r="H25" s="35"/>
      <c r="I25" s="35"/>
      <c r="J25" s="35" t="s">
        <v>50</v>
      </c>
      <c r="K25" s="35"/>
      <c r="L25" s="35" t="s">
        <v>50</v>
      </c>
      <c r="M25" s="35"/>
      <c r="N25" s="35"/>
      <c r="O25" s="35"/>
      <c r="P25" s="35"/>
      <c r="Q25" s="35"/>
      <c r="R25" s="35"/>
      <c r="S25" s="35"/>
      <c r="T25" s="35"/>
      <c r="U25" s="35"/>
      <c r="V25" s="34"/>
    </row>
    <row r="26" spans="1:22" ht="15.5">
      <c r="A26" s="370" t="s">
        <v>410</v>
      </c>
      <c r="B26" s="32" t="s">
        <v>57</v>
      </c>
      <c r="C26" s="33" t="s">
        <v>48</v>
      </c>
      <c r="D26" s="35"/>
      <c r="E26" s="35"/>
      <c r="F26" s="35"/>
      <c r="G26" s="35"/>
      <c r="H26" s="35"/>
      <c r="I26" s="35"/>
      <c r="J26" s="35"/>
      <c r="K26" s="33" t="s">
        <v>48</v>
      </c>
      <c r="L26" s="35"/>
      <c r="M26" s="33" t="s">
        <v>48</v>
      </c>
      <c r="N26" s="35"/>
      <c r="O26" s="35"/>
      <c r="P26" s="35"/>
      <c r="Q26" s="33" t="s">
        <v>48</v>
      </c>
      <c r="R26" s="35"/>
      <c r="S26" s="33" t="s">
        <v>48</v>
      </c>
      <c r="T26" s="35"/>
      <c r="U26" s="35"/>
      <c r="V26" s="34"/>
    </row>
    <row r="27" spans="1:22" ht="15.5">
      <c r="A27" s="370"/>
      <c r="B27" s="31">
        <v>4.0999999999999996</v>
      </c>
      <c r="C27" s="35" t="s">
        <v>50</v>
      </c>
      <c r="D27" s="35"/>
      <c r="E27" s="35"/>
      <c r="F27" s="35"/>
      <c r="G27" s="35"/>
      <c r="H27" s="35"/>
      <c r="I27" s="35"/>
      <c r="J27" s="35"/>
      <c r="K27" s="35" t="s">
        <v>50</v>
      </c>
      <c r="L27" s="35"/>
      <c r="M27" s="35" t="s">
        <v>50</v>
      </c>
      <c r="N27" s="35"/>
      <c r="O27" s="35"/>
      <c r="P27" s="35"/>
      <c r="Q27" s="35" t="s">
        <v>50</v>
      </c>
      <c r="R27" s="35"/>
      <c r="S27" s="35" t="s">
        <v>50</v>
      </c>
      <c r="T27" s="35"/>
      <c r="U27" s="35"/>
      <c r="V27" s="34" t="s">
        <v>51</v>
      </c>
    </row>
    <row r="28" spans="1:22" ht="15.5">
      <c r="A28" s="370"/>
      <c r="B28" s="31">
        <v>4.2</v>
      </c>
      <c r="C28" s="35"/>
      <c r="D28" s="35"/>
      <c r="E28" s="35"/>
      <c r="F28" s="35"/>
      <c r="G28" s="35"/>
      <c r="H28" s="35"/>
      <c r="I28" s="35"/>
      <c r="J28" s="35"/>
      <c r="K28" s="35"/>
      <c r="L28" s="35"/>
      <c r="M28" s="35" t="s">
        <v>50</v>
      </c>
      <c r="N28" s="35"/>
      <c r="O28" s="35"/>
      <c r="P28" s="35"/>
      <c r="Q28" s="35"/>
      <c r="R28" s="35"/>
      <c r="S28" s="35" t="s">
        <v>50</v>
      </c>
      <c r="T28" s="35"/>
      <c r="U28" s="35"/>
      <c r="V28" s="34"/>
    </row>
    <row r="29" spans="1:22" ht="15.5">
      <c r="A29" s="370"/>
      <c r="B29" s="31">
        <v>4.3</v>
      </c>
      <c r="C29" s="35"/>
      <c r="D29" s="35"/>
      <c r="E29" s="35"/>
      <c r="F29" s="35"/>
      <c r="G29" s="35"/>
      <c r="H29" s="35"/>
      <c r="I29" s="35"/>
      <c r="J29" s="35"/>
      <c r="K29" s="35"/>
      <c r="L29" s="35"/>
      <c r="M29" s="35" t="s">
        <v>50</v>
      </c>
      <c r="N29" s="35"/>
      <c r="O29" s="35"/>
      <c r="P29" s="35"/>
      <c r="Q29" s="35"/>
      <c r="R29" s="35"/>
      <c r="S29" s="35"/>
      <c r="T29" s="35"/>
      <c r="U29" s="35"/>
      <c r="V29" s="34"/>
    </row>
    <row r="30" spans="1:22" ht="15.5">
      <c r="A30" s="370"/>
      <c r="B30" s="31">
        <v>4.4000000000000004</v>
      </c>
      <c r="C30" s="35"/>
      <c r="D30" s="35"/>
      <c r="E30" s="35"/>
      <c r="F30" s="35"/>
      <c r="G30" s="35"/>
      <c r="H30" s="35"/>
      <c r="I30" s="35"/>
      <c r="J30" s="35"/>
      <c r="K30" s="35"/>
      <c r="L30" s="35"/>
      <c r="M30" s="35" t="s">
        <v>50</v>
      </c>
      <c r="N30" s="35"/>
      <c r="O30" s="35"/>
      <c r="P30" s="35"/>
      <c r="Q30" s="35"/>
      <c r="R30" s="35"/>
      <c r="S30" s="35"/>
      <c r="T30" s="35"/>
      <c r="U30" s="35"/>
      <c r="V30" s="34"/>
    </row>
    <row r="31" spans="1:22" ht="15.5">
      <c r="A31" s="370"/>
      <c r="B31" s="31">
        <v>4.5</v>
      </c>
      <c r="C31" s="35"/>
      <c r="D31" s="35"/>
      <c r="E31" s="35"/>
      <c r="F31" s="35"/>
      <c r="G31" s="35"/>
      <c r="H31" s="35"/>
      <c r="I31" s="35"/>
      <c r="J31" s="35"/>
      <c r="K31" s="35"/>
      <c r="L31" s="35"/>
      <c r="M31" s="35" t="s">
        <v>50</v>
      </c>
      <c r="N31" s="35"/>
      <c r="O31" s="35"/>
      <c r="P31" s="35"/>
      <c r="Q31" s="35"/>
      <c r="R31" s="35"/>
      <c r="S31" s="35"/>
      <c r="T31" s="35"/>
      <c r="U31" s="35"/>
      <c r="V31" s="34"/>
    </row>
    <row r="32" spans="1:22" ht="15.5">
      <c r="A32" s="370" t="s">
        <v>58</v>
      </c>
      <c r="B32" s="32" t="s">
        <v>58</v>
      </c>
      <c r="C32" s="35"/>
      <c r="D32" s="35"/>
      <c r="E32" s="35"/>
      <c r="F32" s="35"/>
      <c r="G32" s="35"/>
      <c r="H32" s="35"/>
      <c r="I32" s="35"/>
      <c r="J32" s="35"/>
      <c r="K32" s="35"/>
      <c r="L32" s="35"/>
      <c r="M32" s="33" t="s">
        <v>48</v>
      </c>
      <c r="N32" s="35"/>
      <c r="O32" s="35"/>
      <c r="P32" s="35"/>
      <c r="Q32" s="35"/>
      <c r="R32" s="35"/>
      <c r="S32" s="33" t="s">
        <v>48</v>
      </c>
      <c r="T32" s="35"/>
      <c r="U32" s="35"/>
      <c r="V32" s="34"/>
    </row>
    <row r="33" spans="1:22" ht="15.5">
      <c r="A33" s="370"/>
      <c r="B33" s="31">
        <v>5.0999999999999996</v>
      </c>
      <c r="C33" s="35"/>
      <c r="D33" s="35"/>
      <c r="E33" s="35"/>
      <c r="F33" s="35"/>
      <c r="G33" s="35"/>
      <c r="H33" s="35"/>
      <c r="I33" s="35"/>
      <c r="J33" s="35"/>
      <c r="K33" s="35"/>
      <c r="L33" s="35"/>
      <c r="M33" s="35" t="s">
        <v>50</v>
      </c>
      <c r="N33" s="35"/>
      <c r="O33" s="35"/>
      <c r="P33" s="35"/>
      <c r="Q33" s="35"/>
      <c r="R33" s="35"/>
      <c r="S33" s="35" t="s">
        <v>50</v>
      </c>
      <c r="T33" s="35"/>
      <c r="U33" s="35"/>
      <c r="V33" s="34"/>
    </row>
    <row r="34" spans="1:22" ht="15.5">
      <c r="A34" s="370"/>
      <c r="B34" s="31">
        <v>5.2</v>
      </c>
      <c r="C34" s="35"/>
      <c r="D34" s="35"/>
      <c r="E34" s="35"/>
      <c r="F34" s="35"/>
      <c r="G34" s="35"/>
      <c r="H34" s="35"/>
      <c r="I34" s="35"/>
      <c r="J34" s="35"/>
      <c r="K34" s="35"/>
      <c r="L34" s="35"/>
      <c r="M34" s="35" t="s">
        <v>50</v>
      </c>
      <c r="N34" s="35"/>
      <c r="O34" s="35"/>
      <c r="P34" s="35"/>
      <c r="Q34" s="35"/>
      <c r="R34" s="35"/>
      <c r="S34" s="35"/>
      <c r="T34" s="35"/>
      <c r="U34" s="35"/>
      <c r="V34" s="34"/>
    </row>
    <row r="35" spans="1:22" ht="15.5">
      <c r="A35" s="370"/>
      <c r="B35" s="31">
        <v>5.3</v>
      </c>
      <c r="C35" s="35"/>
      <c r="D35" s="35"/>
      <c r="E35" s="35"/>
      <c r="F35" s="35"/>
      <c r="G35" s="35"/>
      <c r="H35" s="35"/>
      <c r="I35" s="35"/>
      <c r="J35" s="35"/>
      <c r="K35" s="35"/>
      <c r="L35" s="35"/>
      <c r="M35" s="35" t="s">
        <v>50</v>
      </c>
      <c r="N35" s="35"/>
      <c r="O35" s="35"/>
      <c r="P35" s="35"/>
      <c r="Q35" s="35"/>
      <c r="R35" s="35"/>
      <c r="S35" s="35"/>
      <c r="T35" s="35"/>
      <c r="U35" s="35"/>
      <c r="V35" s="34"/>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phoneticPr fontId="72" type="noConversion"/>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topLeftCell="A3" zoomScale="70" zoomScaleNormal="70" workbookViewId="0">
      <selection activeCell="C4" sqref="C4:U35"/>
    </sheetView>
  </sheetViews>
  <sheetFormatPr defaultColWidth="8.6328125" defaultRowHeight="14.5"/>
  <cols>
    <col min="1" max="21" width="8.6328125" style="29"/>
    <col min="22" max="22" width="8.6328125" style="29" hidden="1" customWidth="1"/>
    <col min="23" max="16384" width="8.6328125" style="29"/>
  </cols>
  <sheetData>
    <row r="1" spans="1:22" s="36" customFormat="1" ht="18.5">
      <c r="A1" s="36" t="s">
        <v>59</v>
      </c>
    </row>
    <row r="2" spans="1:22" ht="93">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5">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5">
      <c r="A4" s="370" t="s">
        <v>409</v>
      </c>
      <c r="B4" s="32" t="s">
        <v>47</v>
      </c>
      <c r="C4" s="33"/>
      <c r="D4" s="33"/>
      <c r="E4" s="33"/>
      <c r="F4" s="33"/>
      <c r="G4" s="33"/>
      <c r="H4" s="33"/>
      <c r="I4" s="33"/>
      <c r="J4" s="33"/>
      <c r="K4" s="33"/>
      <c r="L4" s="33"/>
      <c r="M4" s="33"/>
      <c r="N4" s="33"/>
      <c r="O4" s="33"/>
      <c r="P4" s="33"/>
      <c r="Q4" s="33"/>
      <c r="R4" s="33"/>
      <c r="S4" s="33"/>
      <c r="T4" s="33"/>
      <c r="U4" s="33"/>
      <c r="V4" s="34" t="s">
        <v>49</v>
      </c>
    </row>
    <row r="5" spans="1:22" ht="15.5">
      <c r="A5" s="370"/>
      <c r="B5" s="31">
        <v>1.1000000000000001</v>
      </c>
      <c r="C5" s="33"/>
      <c r="D5" s="33"/>
      <c r="E5" s="35"/>
      <c r="F5" s="35"/>
      <c r="G5" s="35"/>
      <c r="H5" s="35"/>
      <c r="I5" s="35"/>
      <c r="J5" s="35"/>
      <c r="K5" s="35"/>
      <c r="L5" s="35"/>
      <c r="M5" s="35"/>
      <c r="N5" s="35"/>
      <c r="O5" s="35"/>
      <c r="P5" s="35"/>
      <c r="Q5" s="35"/>
      <c r="R5" s="35"/>
      <c r="S5" s="35"/>
      <c r="T5" s="35"/>
      <c r="U5" s="35"/>
      <c r="V5" s="34" t="s">
        <v>51</v>
      </c>
    </row>
    <row r="6" spans="1:22" ht="15.5">
      <c r="A6" s="370"/>
      <c r="B6" s="31">
        <v>1.2</v>
      </c>
      <c r="C6" s="35"/>
      <c r="D6" s="35"/>
      <c r="E6" s="35"/>
      <c r="F6" s="35"/>
      <c r="G6" s="35"/>
      <c r="H6" s="35"/>
      <c r="I6" s="35"/>
      <c r="J6" s="35"/>
      <c r="K6" s="35"/>
      <c r="L6" s="35"/>
      <c r="M6" s="35"/>
      <c r="N6" s="35"/>
      <c r="O6" s="35"/>
      <c r="P6" s="35"/>
      <c r="Q6" s="35"/>
      <c r="R6" s="35"/>
      <c r="S6" s="35"/>
      <c r="T6" s="35"/>
      <c r="U6" s="35"/>
      <c r="V6" s="34" t="s">
        <v>52</v>
      </c>
    </row>
    <row r="7" spans="1:22" ht="15.5">
      <c r="A7" s="370"/>
      <c r="B7" s="31">
        <v>1.3</v>
      </c>
      <c r="C7" s="35"/>
      <c r="D7" s="35"/>
      <c r="E7" s="35"/>
      <c r="F7" s="35"/>
      <c r="G7" s="35"/>
      <c r="H7" s="35"/>
      <c r="I7" s="35"/>
      <c r="J7" s="35"/>
      <c r="K7" s="35"/>
      <c r="L7" s="35"/>
      <c r="M7" s="35"/>
      <c r="N7" s="35"/>
      <c r="O7" s="35"/>
      <c r="P7" s="35"/>
      <c r="Q7" s="35"/>
      <c r="R7" s="35"/>
      <c r="S7" s="35"/>
      <c r="T7" s="35"/>
      <c r="U7" s="35"/>
      <c r="V7" s="34" t="s">
        <v>53</v>
      </c>
    </row>
    <row r="8" spans="1:22" ht="15.5" hidden="1">
      <c r="A8" s="370"/>
      <c r="B8" s="31">
        <v>1.4</v>
      </c>
      <c r="C8" s="35"/>
      <c r="D8" s="35"/>
      <c r="E8" s="35"/>
      <c r="F8" s="35"/>
      <c r="G8" s="35"/>
      <c r="H8" s="35"/>
      <c r="I8" s="35"/>
      <c r="J8" s="35"/>
      <c r="K8" s="35"/>
      <c r="L8" s="35"/>
      <c r="M8" s="35"/>
      <c r="N8" s="35"/>
      <c r="O8" s="35"/>
      <c r="P8" s="35"/>
      <c r="Q8" s="35"/>
      <c r="R8" s="35"/>
      <c r="S8" s="35"/>
      <c r="T8" s="35"/>
      <c r="U8" s="35"/>
      <c r="V8" s="34" t="s">
        <v>53</v>
      </c>
    </row>
    <row r="9" spans="1:22" ht="15.5">
      <c r="A9" s="370" t="s">
        <v>54</v>
      </c>
      <c r="B9" s="32" t="s">
        <v>54</v>
      </c>
      <c r="C9" s="33"/>
      <c r="D9" s="33"/>
      <c r="E9" s="33"/>
      <c r="F9" s="33"/>
      <c r="G9" s="33"/>
      <c r="H9" s="33"/>
      <c r="I9" s="33"/>
      <c r="J9" s="33"/>
      <c r="K9" s="33"/>
      <c r="L9" s="33"/>
      <c r="M9" s="33"/>
      <c r="N9" s="33"/>
      <c r="O9" s="33"/>
      <c r="P9" s="33"/>
      <c r="Q9" s="33"/>
      <c r="R9" s="33"/>
      <c r="S9" s="33"/>
      <c r="T9" s="33"/>
      <c r="U9" s="33"/>
      <c r="V9" s="34"/>
    </row>
    <row r="10" spans="1:22" ht="15.5">
      <c r="A10" s="370"/>
      <c r="B10" s="31">
        <v>2.1</v>
      </c>
      <c r="C10" s="33"/>
      <c r="D10" s="33"/>
      <c r="E10" s="35"/>
      <c r="F10" s="35"/>
      <c r="G10" s="35"/>
      <c r="H10" s="35"/>
      <c r="I10" s="35"/>
      <c r="J10" s="35"/>
      <c r="K10" s="35"/>
      <c r="L10" s="35"/>
      <c r="M10" s="35"/>
      <c r="N10" s="35"/>
      <c r="O10" s="35"/>
      <c r="P10" s="35"/>
      <c r="Q10" s="35"/>
      <c r="R10" s="35"/>
      <c r="S10" s="35"/>
      <c r="T10" s="35"/>
      <c r="U10" s="35"/>
      <c r="V10" s="34" t="s">
        <v>51</v>
      </c>
    </row>
    <row r="11" spans="1:22" ht="15.5">
      <c r="A11" s="370"/>
      <c r="B11" s="31">
        <v>2.2000000000000002</v>
      </c>
      <c r="C11" s="33"/>
      <c r="D11" s="33"/>
      <c r="E11" s="35"/>
      <c r="F11" s="35"/>
      <c r="G11" s="35"/>
      <c r="H11" s="35"/>
      <c r="I11" s="35"/>
      <c r="J11" s="35"/>
      <c r="K11" s="35"/>
      <c r="L11" s="35"/>
      <c r="M11" s="35"/>
      <c r="N11" s="35"/>
      <c r="O11" s="35"/>
      <c r="P11" s="35"/>
      <c r="Q11" s="35"/>
      <c r="R11" s="35"/>
      <c r="S11" s="35"/>
      <c r="T11" s="35"/>
      <c r="U11" s="35"/>
      <c r="V11" s="34" t="s">
        <v>51</v>
      </c>
    </row>
    <row r="12" spans="1:22" ht="15.5">
      <c r="A12" s="370"/>
      <c r="B12" s="31">
        <v>2.2999999999999998</v>
      </c>
      <c r="C12" s="33"/>
      <c r="D12" s="35"/>
      <c r="E12" s="35"/>
      <c r="F12" s="35"/>
      <c r="G12" s="35"/>
      <c r="H12" s="35"/>
      <c r="I12" s="35"/>
      <c r="J12" s="35"/>
      <c r="K12" s="35"/>
      <c r="L12" s="35"/>
      <c r="M12" s="35"/>
      <c r="N12" s="35"/>
      <c r="O12" s="35"/>
      <c r="P12" s="35"/>
      <c r="Q12" s="35"/>
      <c r="R12" s="35"/>
      <c r="S12" s="35"/>
      <c r="T12" s="35"/>
      <c r="U12" s="35"/>
      <c r="V12" s="34" t="s">
        <v>55</v>
      </c>
    </row>
    <row r="13" spans="1:22" ht="15.5">
      <c r="A13" s="370"/>
      <c r="B13" s="31">
        <v>2.4</v>
      </c>
      <c r="C13" s="33"/>
      <c r="D13" s="35"/>
      <c r="E13" s="35"/>
      <c r="F13" s="35"/>
      <c r="G13" s="35"/>
      <c r="H13" s="35"/>
      <c r="I13" s="35"/>
      <c r="J13" s="35"/>
      <c r="K13" s="35"/>
      <c r="L13" s="35"/>
      <c r="M13" s="35"/>
      <c r="N13" s="35"/>
      <c r="O13" s="35"/>
      <c r="P13" s="35"/>
      <c r="Q13" s="35"/>
      <c r="R13" s="35"/>
      <c r="S13" s="35"/>
      <c r="T13" s="35"/>
      <c r="U13" s="35"/>
      <c r="V13" s="34" t="s">
        <v>53</v>
      </c>
    </row>
    <row r="14" spans="1:22" ht="15.5">
      <c r="A14" s="370"/>
      <c r="B14" s="31">
        <v>2.5</v>
      </c>
      <c r="C14" s="35"/>
      <c r="D14" s="35"/>
      <c r="E14" s="35"/>
      <c r="F14" s="35"/>
      <c r="G14" s="35"/>
      <c r="H14" s="35"/>
      <c r="I14" s="35"/>
      <c r="J14" s="35"/>
      <c r="K14" s="35"/>
      <c r="L14" s="35"/>
      <c r="M14" s="35"/>
      <c r="N14" s="35"/>
      <c r="O14" s="35"/>
      <c r="P14" s="35"/>
      <c r="Q14" s="35"/>
      <c r="R14" s="35"/>
      <c r="S14" s="35"/>
      <c r="T14" s="35"/>
      <c r="U14" s="35"/>
      <c r="V14" s="34"/>
    </row>
    <row r="15" spans="1:22" ht="15.5">
      <c r="A15" s="370"/>
      <c r="B15" s="31">
        <v>2.6</v>
      </c>
      <c r="C15" s="35"/>
      <c r="D15" s="35"/>
      <c r="E15" s="35"/>
      <c r="F15" s="35"/>
      <c r="G15" s="35"/>
      <c r="H15" s="35"/>
      <c r="I15" s="35"/>
      <c r="J15" s="35"/>
      <c r="K15" s="35"/>
      <c r="L15" s="35"/>
      <c r="M15" s="35"/>
      <c r="N15" s="35"/>
      <c r="O15" s="35"/>
      <c r="P15" s="35"/>
      <c r="Q15" s="35"/>
      <c r="R15" s="35"/>
      <c r="S15" s="35"/>
      <c r="T15" s="35"/>
      <c r="U15" s="35"/>
      <c r="V15" s="34"/>
    </row>
    <row r="16" spans="1:22" ht="15.5">
      <c r="A16" s="370"/>
      <c r="B16" s="31">
        <v>2.7</v>
      </c>
      <c r="C16" s="35"/>
      <c r="D16" s="35"/>
      <c r="E16" s="35"/>
      <c r="F16" s="35"/>
      <c r="G16" s="35"/>
      <c r="H16" s="35"/>
      <c r="I16" s="35"/>
      <c r="J16" s="35"/>
      <c r="K16" s="35"/>
      <c r="L16" s="35"/>
      <c r="M16" s="35"/>
      <c r="N16" s="35"/>
      <c r="O16" s="35"/>
      <c r="P16" s="35"/>
      <c r="Q16" s="35"/>
      <c r="R16" s="35"/>
      <c r="S16" s="35"/>
      <c r="T16" s="35"/>
      <c r="U16" s="35"/>
      <c r="V16" s="34"/>
    </row>
    <row r="17" spans="1:22" ht="15.5">
      <c r="A17" s="370"/>
      <c r="B17" s="31">
        <v>2.8</v>
      </c>
      <c r="C17" s="35"/>
      <c r="D17" s="35"/>
      <c r="E17" s="35"/>
      <c r="F17" s="35"/>
      <c r="G17" s="35"/>
      <c r="H17" s="35"/>
      <c r="I17" s="35"/>
      <c r="J17" s="35"/>
      <c r="K17" s="35"/>
      <c r="L17" s="35"/>
      <c r="M17" s="35"/>
      <c r="N17" s="35"/>
      <c r="O17" s="35"/>
      <c r="P17" s="35"/>
      <c r="Q17" s="35"/>
      <c r="R17" s="35"/>
      <c r="S17" s="35"/>
      <c r="T17" s="35"/>
      <c r="U17" s="35"/>
      <c r="V17" s="34"/>
    </row>
    <row r="18" spans="1:22" ht="15.5">
      <c r="A18" s="370" t="s">
        <v>56</v>
      </c>
      <c r="B18" s="32" t="s">
        <v>56</v>
      </c>
      <c r="C18" s="33"/>
      <c r="D18" s="33"/>
      <c r="E18" s="33"/>
      <c r="F18" s="33"/>
      <c r="G18" s="33"/>
      <c r="H18" s="33"/>
      <c r="I18" s="33"/>
      <c r="J18" s="33"/>
      <c r="K18" s="33"/>
      <c r="L18" s="33"/>
      <c r="M18" s="33"/>
      <c r="N18" s="33"/>
      <c r="O18" s="33"/>
      <c r="P18" s="33"/>
      <c r="Q18" s="33"/>
      <c r="R18" s="33"/>
      <c r="S18" s="33"/>
      <c r="T18" s="33"/>
      <c r="U18" s="35"/>
      <c r="V18" s="34"/>
    </row>
    <row r="19" spans="1:22" ht="15.5">
      <c r="A19" s="370"/>
      <c r="B19" s="31">
        <v>3.1</v>
      </c>
      <c r="C19" s="33"/>
      <c r="D19" s="33"/>
      <c r="E19" s="35"/>
      <c r="F19" s="35"/>
      <c r="G19" s="35"/>
      <c r="H19" s="35"/>
      <c r="I19" s="35"/>
      <c r="J19" s="35"/>
      <c r="K19" s="35"/>
      <c r="L19" s="35"/>
      <c r="M19" s="35"/>
      <c r="N19" s="35"/>
      <c r="O19" s="35"/>
      <c r="P19" s="35"/>
      <c r="Q19" s="35"/>
      <c r="R19" s="35"/>
      <c r="S19" s="35"/>
      <c r="T19" s="35"/>
      <c r="U19" s="35"/>
      <c r="V19" s="34" t="s">
        <v>51</v>
      </c>
    </row>
    <row r="20" spans="1:22" ht="15.5">
      <c r="A20" s="370"/>
      <c r="B20" s="31">
        <v>3.2</v>
      </c>
      <c r="C20" s="33"/>
      <c r="D20" s="33"/>
      <c r="E20" s="35"/>
      <c r="F20" s="35"/>
      <c r="G20" s="35"/>
      <c r="H20" s="35"/>
      <c r="I20" s="35"/>
      <c r="J20" s="35"/>
      <c r="K20" s="35"/>
      <c r="L20" s="35"/>
      <c r="M20" s="35"/>
      <c r="N20" s="35"/>
      <c r="O20" s="35"/>
      <c r="P20" s="35"/>
      <c r="Q20" s="35"/>
      <c r="R20" s="35"/>
      <c r="S20" s="35"/>
      <c r="T20" s="35"/>
      <c r="U20" s="35"/>
      <c r="V20" s="34" t="s">
        <v>51</v>
      </c>
    </row>
    <row r="21" spans="1:22" ht="15.5">
      <c r="A21" s="370"/>
      <c r="B21" s="31">
        <v>3.3</v>
      </c>
      <c r="C21" s="35"/>
      <c r="D21" s="33"/>
      <c r="E21" s="35"/>
      <c r="F21" s="35"/>
      <c r="G21" s="35"/>
      <c r="H21" s="35"/>
      <c r="I21" s="35"/>
      <c r="J21" s="35"/>
      <c r="K21" s="35"/>
      <c r="L21" s="35"/>
      <c r="M21" s="35"/>
      <c r="N21" s="35"/>
      <c r="O21" s="35"/>
      <c r="P21" s="35"/>
      <c r="Q21" s="35"/>
      <c r="R21" s="35"/>
      <c r="S21" s="35"/>
      <c r="T21" s="35"/>
      <c r="U21" s="35"/>
      <c r="V21" s="34"/>
    </row>
    <row r="22" spans="1:22" ht="15.5">
      <c r="A22" s="370"/>
      <c r="B22" s="31">
        <v>3.4</v>
      </c>
      <c r="C22" s="35"/>
      <c r="D22" s="35"/>
      <c r="E22" s="35"/>
      <c r="F22" s="35"/>
      <c r="G22" s="35"/>
      <c r="H22" s="35"/>
      <c r="I22" s="35"/>
      <c r="J22" s="35"/>
      <c r="K22" s="35"/>
      <c r="L22" s="35"/>
      <c r="M22" s="35"/>
      <c r="N22" s="35"/>
      <c r="O22" s="35"/>
      <c r="P22" s="35"/>
      <c r="Q22" s="35"/>
      <c r="R22" s="35"/>
      <c r="S22" s="35"/>
      <c r="T22" s="35"/>
      <c r="U22" s="35"/>
      <c r="V22" s="34"/>
    </row>
    <row r="23" spans="1:22" ht="15.5">
      <c r="A23" s="370"/>
      <c r="B23" s="31">
        <v>3.5</v>
      </c>
      <c r="C23" s="35"/>
      <c r="D23" s="35"/>
      <c r="E23" s="35"/>
      <c r="F23" s="35"/>
      <c r="G23" s="35"/>
      <c r="H23" s="35"/>
      <c r="I23" s="35"/>
      <c r="J23" s="35"/>
      <c r="K23" s="35"/>
      <c r="L23" s="35"/>
      <c r="M23" s="35"/>
      <c r="N23" s="35"/>
      <c r="O23" s="35"/>
      <c r="P23" s="35"/>
      <c r="Q23" s="35"/>
      <c r="R23" s="35"/>
      <c r="S23" s="35"/>
      <c r="T23" s="35"/>
      <c r="U23" s="35"/>
      <c r="V23" s="34"/>
    </row>
    <row r="24" spans="1:22" ht="15.5">
      <c r="A24" s="370"/>
      <c r="B24" s="31">
        <v>3.6</v>
      </c>
      <c r="C24" s="35"/>
      <c r="D24" s="35"/>
      <c r="E24" s="35"/>
      <c r="F24" s="35"/>
      <c r="G24" s="35"/>
      <c r="H24" s="35"/>
      <c r="I24" s="35"/>
      <c r="J24" s="35"/>
      <c r="K24" s="35"/>
      <c r="L24" s="35"/>
      <c r="M24" s="35"/>
      <c r="N24" s="35"/>
      <c r="O24" s="35"/>
      <c r="P24" s="35"/>
      <c r="Q24" s="35"/>
      <c r="R24" s="35"/>
      <c r="S24" s="35"/>
      <c r="T24" s="35"/>
      <c r="U24" s="35"/>
      <c r="V24" s="34"/>
    </row>
    <row r="25" spans="1:22" ht="15.5">
      <c r="A25" s="370"/>
      <c r="B25" s="31">
        <v>3.7</v>
      </c>
      <c r="C25" s="35"/>
      <c r="D25" s="35"/>
      <c r="E25" s="35"/>
      <c r="F25" s="35"/>
      <c r="G25" s="35"/>
      <c r="H25" s="35"/>
      <c r="I25" s="35"/>
      <c r="J25" s="35"/>
      <c r="K25" s="35"/>
      <c r="L25" s="35"/>
      <c r="M25" s="35"/>
      <c r="N25" s="35"/>
      <c r="O25" s="35"/>
      <c r="P25" s="35"/>
      <c r="Q25" s="35"/>
      <c r="R25" s="35"/>
      <c r="S25" s="35"/>
      <c r="T25" s="35"/>
      <c r="U25" s="35"/>
      <c r="V25" s="34"/>
    </row>
    <row r="26" spans="1:22" ht="15.5">
      <c r="A26" s="370" t="s">
        <v>410</v>
      </c>
      <c r="B26" s="32" t="s">
        <v>57</v>
      </c>
      <c r="C26" s="33"/>
      <c r="D26" s="35"/>
      <c r="E26" s="35"/>
      <c r="F26" s="35"/>
      <c r="G26" s="35"/>
      <c r="H26" s="35"/>
      <c r="I26" s="35"/>
      <c r="J26" s="35"/>
      <c r="K26" s="33"/>
      <c r="L26" s="35"/>
      <c r="M26" s="33"/>
      <c r="N26" s="35"/>
      <c r="O26" s="35"/>
      <c r="P26" s="35"/>
      <c r="Q26" s="33"/>
      <c r="R26" s="35"/>
      <c r="S26" s="33"/>
      <c r="T26" s="35"/>
      <c r="U26" s="35"/>
      <c r="V26" s="34"/>
    </row>
    <row r="27" spans="1:22" ht="15.5">
      <c r="A27" s="370"/>
      <c r="B27" s="31">
        <v>4.0999999999999996</v>
      </c>
      <c r="C27" s="33"/>
      <c r="D27" s="35"/>
      <c r="E27" s="35"/>
      <c r="F27" s="35"/>
      <c r="G27" s="35"/>
      <c r="H27" s="35"/>
      <c r="I27" s="35"/>
      <c r="J27" s="35"/>
      <c r="K27" s="35"/>
      <c r="L27" s="35"/>
      <c r="M27" s="35"/>
      <c r="N27" s="35"/>
      <c r="O27" s="35"/>
      <c r="P27" s="35"/>
      <c r="Q27" s="35"/>
      <c r="R27" s="35"/>
      <c r="S27" s="35"/>
      <c r="T27" s="35"/>
      <c r="U27" s="35"/>
      <c r="V27" s="34" t="s">
        <v>51</v>
      </c>
    </row>
    <row r="28" spans="1:22" ht="15.5">
      <c r="A28" s="370"/>
      <c r="B28" s="31">
        <v>4.2</v>
      </c>
      <c r="C28" s="35"/>
      <c r="D28" s="35"/>
      <c r="E28" s="35"/>
      <c r="F28" s="35"/>
      <c r="G28" s="35"/>
      <c r="H28" s="35"/>
      <c r="I28" s="35"/>
      <c r="J28" s="35"/>
      <c r="K28" s="35"/>
      <c r="L28" s="35"/>
      <c r="M28" s="35"/>
      <c r="N28" s="35"/>
      <c r="O28" s="35"/>
      <c r="P28" s="35"/>
      <c r="Q28" s="35"/>
      <c r="R28" s="35"/>
      <c r="S28" s="35"/>
      <c r="T28" s="35"/>
      <c r="U28" s="35"/>
      <c r="V28" s="34"/>
    </row>
    <row r="29" spans="1:22" ht="15.5">
      <c r="A29" s="370"/>
      <c r="B29" s="31">
        <v>4.3</v>
      </c>
      <c r="C29" s="35"/>
      <c r="D29" s="35"/>
      <c r="E29" s="35"/>
      <c r="F29" s="35"/>
      <c r="G29" s="35"/>
      <c r="H29" s="35"/>
      <c r="I29" s="35"/>
      <c r="J29" s="35"/>
      <c r="K29" s="35"/>
      <c r="L29" s="35"/>
      <c r="M29" s="35"/>
      <c r="N29" s="35"/>
      <c r="O29" s="35"/>
      <c r="P29" s="35"/>
      <c r="Q29" s="35"/>
      <c r="R29" s="35"/>
      <c r="S29" s="35"/>
      <c r="T29" s="35"/>
      <c r="U29" s="35"/>
      <c r="V29" s="34"/>
    </row>
    <row r="30" spans="1:22" ht="15.5">
      <c r="A30" s="370"/>
      <c r="B30" s="31">
        <v>4.4000000000000004</v>
      </c>
      <c r="C30" s="35"/>
      <c r="D30" s="35"/>
      <c r="E30" s="35"/>
      <c r="F30" s="35"/>
      <c r="G30" s="35"/>
      <c r="H30" s="35"/>
      <c r="I30" s="35"/>
      <c r="J30" s="35"/>
      <c r="K30" s="35"/>
      <c r="L30" s="35"/>
      <c r="M30" s="35"/>
      <c r="N30" s="35"/>
      <c r="O30" s="35"/>
      <c r="P30" s="35"/>
      <c r="Q30" s="35"/>
      <c r="R30" s="35"/>
      <c r="S30" s="35"/>
      <c r="T30" s="35"/>
      <c r="U30" s="35"/>
      <c r="V30" s="34"/>
    </row>
    <row r="31" spans="1:22" ht="15.5">
      <c r="A31" s="370"/>
      <c r="B31" s="31">
        <v>4.5</v>
      </c>
      <c r="C31" s="35"/>
      <c r="D31" s="35"/>
      <c r="E31" s="35"/>
      <c r="F31" s="35"/>
      <c r="G31" s="35"/>
      <c r="H31" s="35"/>
      <c r="I31" s="35"/>
      <c r="J31" s="35"/>
      <c r="K31" s="35"/>
      <c r="L31" s="35"/>
      <c r="M31" s="35"/>
      <c r="N31" s="35"/>
      <c r="O31" s="35"/>
      <c r="P31" s="35"/>
      <c r="Q31" s="35"/>
      <c r="R31" s="35"/>
      <c r="S31" s="35"/>
      <c r="T31" s="35"/>
      <c r="U31" s="35"/>
      <c r="V31" s="34"/>
    </row>
    <row r="32" spans="1:22" ht="15.5">
      <c r="A32" s="370" t="s">
        <v>58</v>
      </c>
      <c r="B32" s="32" t="s">
        <v>58</v>
      </c>
      <c r="C32" s="35"/>
      <c r="D32" s="35"/>
      <c r="E32" s="35"/>
      <c r="F32" s="35"/>
      <c r="G32" s="35"/>
      <c r="H32" s="35"/>
      <c r="I32" s="35"/>
      <c r="J32" s="35"/>
      <c r="K32" s="35"/>
      <c r="L32" s="35"/>
      <c r="M32" s="33"/>
      <c r="N32" s="35"/>
      <c r="O32" s="35"/>
      <c r="P32" s="35"/>
      <c r="Q32" s="35"/>
      <c r="R32" s="35"/>
      <c r="S32" s="33"/>
      <c r="T32" s="35"/>
      <c r="U32" s="35"/>
      <c r="V32" s="34"/>
    </row>
    <row r="33" spans="1:22" ht="15.5">
      <c r="A33" s="370"/>
      <c r="B33" s="31">
        <v>5.0999999999999996</v>
      </c>
      <c r="C33" s="35"/>
      <c r="D33" s="35"/>
      <c r="E33" s="35"/>
      <c r="F33" s="35"/>
      <c r="G33" s="35"/>
      <c r="H33" s="35"/>
      <c r="I33" s="35"/>
      <c r="J33" s="35"/>
      <c r="K33" s="35"/>
      <c r="L33" s="35"/>
      <c r="M33" s="35"/>
      <c r="N33" s="35"/>
      <c r="O33" s="35"/>
      <c r="P33" s="35"/>
      <c r="Q33" s="35"/>
      <c r="R33" s="35"/>
      <c r="S33" s="35"/>
      <c r="T33" s="35"/>
      <c r="U33" s="35"/>
      <c r="V33" s="34"/>
    </row>
    <row r="34" spans="1:22" ht="15.5">
      <c r="A34" s="370"/>
      <c r="B34" s="31">
        <v>5.2</v>
      </c>
      <c r="C34" s="35"/>
      <c r="D34" s="35"/>
      <c r="E34" s="35"/>
      <c r="F34" s="35"/>
      <c r="G34" s="35"/>
      <c r="H34" s="35"/>
      <c r="I34" s="35"/>
      <c r="J34" s="35"/>
      <c r="K34" s="35"/>
      <c r="L34" s="35"/>
      <c r="M34" s="35"/>
      <c r="N34" s="35"/>
      <c r="O34" s="35"/>
      <c r="P34" s="35"/>
      <c r="Q34" s="35"/>
      <c r="R34" s="35"/>
      <c r="S34" s="35"/>
      <c r="T34" s="35"/>
      <c r="U34" s="35"/>
      <c r="V34" s="34"/>
    </row>
    <row r="35" spans="1:22" ht="15.5">
      <c r="A35" s="370"/>
      <c r="B35" s="31">
        <v>5.3</v>
      </c>
      <c r="C35" s="35"/>
      <c r="D35" s="35"/>
      <c r="E35" s="35"/>
      <c r="F35" s="35"/>
      <c r="G35" s="35"/>
      <c r="H35" s="35"/>
      <c r="I35" s="35"/>
      <c r="J35" s="35"/>
      <c r="K35" s="35"/>
      <c r="L35" s="35"/>
      <c r="M35" s="35"/>
      <c r="N35" s="35"/>
      <c r="O35" s="35"/>
      <c r="P35" s="35"/>
      <c r="Q35" s="35"/>
      <c r="R35" s="35"/>
      <c r="S35" s="35"/>
      <c r="T35" s="35"/>
      <c r="U35" s="35"/>
      <c r="V35" s="34"/>
    </row>
    <row r="37" spans="1:22" s="37" customFormat="1" ht="21">
      <c r="C37" s="38" t="s">
        <v>27</v>
      </c>
      <c r="D37" s="38" t="s">
        <v>28</v>
      </c>
      <c r="E37" s="39" t="s">
        <v>29</v>
      </c>
      <c r="F37" s="39" t="s">
        <v>30</v>
      </c>
      <c r="G37" s="38" t="s">
        <v>31</v>
      </c>
      <c r="H37" s="38" t="s">
        <v>32</v>
      </c>
      <c r="I37" s="38" t="s">
        <v>33</v>
      </c>
      <c r="J37" s="38" t="s">
        <v>34</v>
      </c>
      <c r="K37" s="39" t="s">
        <v>35</v>
      </c>
      <c r="L37" s="39" t="s">
        <v>36</v>
      </c>
      <c r="M37" s="39" t="s">
        <v>37</v>
      </c>
      <c r="N37" s="38" t="s">
        <v>38</v>
      </c>
      <c r="O37" s="39" t="s">
        <v>39</v>
      </c>
      <c r="P37" s="38" t="s">
        <v>40</v>
      </c>
      <c r="Q37" s="38" t="s">
        <v>41</v>
      </c>
      <c r="R37" s="38" t="s">
        <v>42</v>
      </c>
      <c r="S37" s="39" t="s">
        <v>43</v>
      </c>
      <c r="T37" s="39" t="s">
        <v>44</v>
      </c>
      <c r="U37" s="39" t="s">
        <v>45</v>
      </c>
      <c r="V37" s="40" t="s">
        <v>46</v>
      </c>
    </row>
    <row r="38" spans="1:22" s="41" customFormat="1" ht="23.5">
      <c r="A38" s="41" t="s">
        <v>60</v>
      </c>
      <c r="C38" s="42">
        <v>4</v>
      </c>
      <c r="D38" s="42">
        <v>3</v>
      </c>
      <c r="E38" s="42">
        <v>3</v>
      </c>
      <c r="F38" s="42">
        <v>3</v>
      </c>
      <c r="G38" s="42">
        <v>3</v>
      </c>
      <c r="H38" s="42">
        <v>3</v>
      </c>
      <c r="I38" s="42">
        <v>3</v>
      </c>
      <c r="J38" s="42">
        <v>3</v>
      </c>
      <c r="K38" s="42">
        <v>4</v>
      </c>
      <c r="L38" s="42">
        <v>3</v>
      </c>
      <c r="M38" s="42">
        <v>5</v>
      </c>
      <c r="N38" s="42">
        <v>3</v>
      </c>
      <c r="O38" s="42">
        <v>3</v>
      </c>
      <c r="P38" s="42">
        <v>3</v>
      </c>
      <c r="Q38" s="42">
        <v>4</v>
      </c>
      <c r="R38" s="42">
        <v>3</v>
      </c>
      <c r="S38" s="42">
        <v>5</v>
      </c>
      <c r="T38" s="42">
        <v>3</v>
      </c>
      <c r="U38" s="42">
        <v>2</v>
      </c>
      <c r="V38" s="42">
        <v>4</v>
      </c>
    </row>
    <row r="43" spans="1:22" ht="18.5">
      <c r="A43" s="43" t="s">
        <v>61</v>
      </c>
      <c r="C43" s="44"/>
      <c r="D43" s="44"/>
      <c r="E43" s="44"/>
      <c r="F43" s="44"/>
      <c r="G43" s="44"/>
      <c r="H43" s="44"/>
      <c r="I43" s="44"/>
      <c r="K43" s="44"/>
      <c r="L43" s="44"/>
      <c r="M43" s="44"/>
      <c r="N43" s="44"/>
      <c r="O43" s="44"/>
      <c r="P43" s="44"/>
      <c r="Q43" s="44"/>
      <c r="R43" s="44"/>
    </row>
    <row r="45" spans="1:22" ht="15.5">
      <c r="C45" s="45" t="s">
        <v>43</v>
      </c>
      <c r="D45" s="45" t="s">
        <v>45</v>
      </c>
      <c r="E45" s="46" t="s">
        <v>44</v>
      </c>
      <c r="F45" s="46" t="s">
        <v>42</v>
      </c>
      <c r="G45" s="45" t="s">
        <v>27</v>
      </c>
      <c r="H45" s="45" t="s">
        <v>28</v>
      </c>
      <c r="I45" s="45" t="s">
        <v>40</v>
      </c>
      <c r="J45" s="45" t="s">
        <v>37</v>
      </c>
      <c r="K45" s="46" t="s">
        <v>39</v>
      </c>
      <c r="L45" s="46" t="s">
        <v>36</v>
      </c>
      <c r="M45" s="46" t="s">
        <v>35</v>
      </c>
      <c r="N45" s="45" t="s">
        <v>30</v>
      </c>
      <c r="O45" s="46" t="s">
        <v>41</v>
      </c>
      <c r="P45" s="45" t="s">
        <v>33</v>
      </c>
      <c r="Q45" s="45" t="s">
        <v>31</v>
      </c>
      <c r="R45" s="45" t="s">
        <v>34</v>
      </c>
      <c r="S45" s="46" t="s">
        <v>38</v>
      </c>
      <c r="T45" s="46" t="s">
        <v>29</v>
      </c>
      <c r="U45" s="46" t="s">
        <v>32</v>
      </c>
      <c r="V45" s="28" t="s">
        <v>46</v>
      </c>
    </row>
    <row r="46" spans="1:22">
      <c r="A46" s="370" t="s">
        <v>409</v>
      </c>
      <c r="B46" s="32" t="s">
        <v>47</v>
      </c>
      <c r="C46" s="33">
        <f>S4</f>
        <v>0</v>
      </c>
      <c r="D46" s="33">
        <f>U4</f>
        <v>0</v>
      </c>
      <c r="E46" s="33">
        <f>T4</f>
        <v>0</v>
      </c>
      <c r="F46" s="33">
        <f>R4</f>
        <v>0</v>
      </c>
      <c r="G46" s="33">
        <f>C4</f>
        <v>0</v>
      </c>
      <c r="H46" s="33">
        <f>D4</f>
        <v>0</v>
      </c>
      <c r="I46" s="33">
        <f>P4</f>
        <v>0</v>
      </c>
      <c r="J46" s="33">
        <f>M4</f>
        <v>0</v>
      </c>
      <c r="K46" s="33">
        <f>O4</f>
        <v>0</v>
      </c>
      <c r="L46" s="33">
        <f>L4</f>
        <v>0</v>
      </c>
      <c r="M46" s="33">
        <f>K4</f>
        <v>0</v>
      </c>
      <c r="N46" s="33">
        <f>F4</f>
        <v>0</v>
      </c>
      <c r="O46" s="33">
        <f>Q4</f>
        <v>0</v>
      </c>
      <c r="P46" s="33">
        <f>I4</f>
        <v>0</v>
      </c>
      <c r="Q46" s="33">
        <f>G4</f>
        <v>0</v>
      </c>
      <c r="R46" s="33">
        <f>J4</f>
        <v>0</v>
      </c>
      <c r="S46" s="33">
        <f>N4</f>
        <v>0</v>
      </c>
      <c r="T46" s="33">
        <f>E4</f>
        <v>0</v>
      </c>
      <c r="U46" s="33">
        <f>H4</f>
        <v>0</v>
      </c>
      <c r="V46" s="33" t="str">
        <f>V4</f>
        <v>U</v>
      </c>
    </row>
    <row r="47" spans="1:22">
      <c r="A47" s="370"/>
      <c r="B47" s="31">
        <v>1.1000000000000001</v>
      </c>
      <c r="C47" s="33">
        <f>S5</f>
        <v>0</v>
      </c>
      <c r="D47" s="33">
        <f>U5</f>
        <v>0</v>
      </c>
      <c r="E47" s="33">
        <f>T5</f>
        <v>0</v>
      </c>
      <c r="F47" s="33">
        <f>R5</f>
        <v>0</v>
      </c>
      <c r="G47" s="33">
        <f>C5</f>
        <v>0</v>
      </c>
      <c r="H47" s="33">
        <f>D5</f>
        <v>0</v>
      </c>
      <c r="I47" s="33">
        <f>P5</f>
        <v>0</v>
      </c>
      <c r="J47" s="33">
        <f>M5</f>
        <v>0</v>
      </c>
      <c r="K47" s="33">
        <f>O5</f>
        <v>0</v>
      </c>
      <c r="L47" s="33">
        <f>L5</f>
        <v>0</v>
      </c>
      <c r="M47" s="33">
        <f>K5</f>
        <v>0</v>
      </c>
      <c r="N47" s="33">
        <f>F5</f>
        <v>0</v>
      </c>
      <c r="O47" s="33">
        <f>Q5</f>
        <v>0</v>
      </c>
      <c r="P47" s="33">
        <f>I5</f>
        <v>0</v>
      </c>
      <c r="Q47" s="33">
        <f>G5</f>
        <v>0</v>
      </c>
      <c r="R47" s="33">
        <f>J5</f>
        <v>0</v>
      </c>
      <c r="S47" s="33">
        <f>N5</f>
        <v>0</v>
      </c>
      <c r="T47" s="33">
        <f>E5</f>
        <v>0</v>
      </c>
      <c r="U47" s="33">
        <f>H5</f>
        <v>0</v>
      </c>
      <c r="V47" s="33" t="str">
        <f>V5</f>
        <v>DM</v>
      </c>
    </row>
    <row r="48" spans="1:22">
      <c r="A48" s="370"/>
      <c r="B48" s="31">
        <v>1.2</v>
      </c>
      <c r="C48" s="33"/>
      <c r="D48" s="33"/>
      <c r="E48" s="33">
        <f>T6</f>
        <v>0</v>
      </c>
      <c r="F48" s="33"/>
      <c r="G48" s="33"/>
      <c r="H48" s="33"/>
      <c r="I48" s="33">
        <f>P6</f>
        <v>0</v>
      </c>
      <c r="J48" s="33">
        <f>M6</f>
        <v>0</v>
      </c>
      <c r="K48" s="33"/>
      <c r="L48" s="33"/>
      <c r="M48" s="33">
        <f>K6</f>
        <v>0</v>
      </c>
      <c r="N48" s="33"/>
      <c r="O48" s="33">
        <f>Q6</f>
        <v>0</v>
      </c>
      <c r="P48" s="33"/>
      <c r="Q48" s="33"/>
      <c r="R48" s="33"/>
      <c r="S48" s="33"/>
      <c r="T48" s="33"/>
      <c r="U48" s="33">
        <f>H6</f>
        <v>0</v>
      </c>
      <c r="V48" s="33" t="str">
        <f>V6</f>
        <v>PM</v>
      </c>
    </row>
    <row r="49" spans="1:22">
      <c r="A49" s="370"/>
      <c r="B49" s="31">
        <v>1.3</v>
      </c>
      <c r="C49" s="33"/>
      <c r="D49" s="33"/>
      <c r="E49" s="33"/>
      <c r="F49" s="33"/>
      <c r="G49" s="33"/>
      <c r="H49" s="33"/>
      <c r="I49" s="33"/>
      <c r="J49" s="33"/>
      <c r="K49" s="33"/>
      <c r="L49" s="33"/>
      <c r="M49" s="33">
        <f t="shared" ref="M49:M68" si="0">K8</f>
        <v>0</v>
      </c>
      <c r="N49" s="33"/>
      <c r="O49" s="33"/>
      <c r="P49" s="33"/>
      <c r="Q49" s="33"/>
      <c r="R49" s="33"/>
      <c r="S49" s="33"/>
      <c r="T49" s="33"/>
      <c r="U49" s="33"/>
      <c r="V49" s="33" t="str">
        <f t="shared" ref="V49:V68" si="1">V8</f>
        <v>LM</v>
      </c>
    </row>
    <row r="50" spans="1:22">
      <c r="A50" s="370" t="s">
        <v>54</v>
      </c>
      <c r="B50" s="32" t="s">
        <v>54</v>
      </c>
      <c r="C50" s="33">
        <f t="shared" ref="C50:C74" si="2">S9</f>
        <v>0</v>
      </c>
      <c r="D50" s="33">
        <f t="shared" ref="D50:D56" si="3">U9</f>
        <v>0</v>
      </c>
      <c r="E50" s="33">
        <f t="shared" ref="E50:E60" si="4">T9</f>
        <v>0</v>
      </c>
      <c r="F50" s="33">
        <f t="shared" ref="F50:F61" si="5">R9</f>
        <v>0</v>
      </c>
      <c r="G50" s="33">
        <f t="shared" ref="G50:H68" si="6">C9</f>
        <v>0</v>
      </c>
      <c r="H50" s="33">
        <f t="shared" si="6"/>
        <v>0</v>
      </c>
      <c r="I50" s="33">
        <f t="shared" ref="I50:I63" si="7">P9</f>
        <v>0</v>
      </c>
      <c r="J50" s="33">
        <f t="shared" ref="J50:J76" si="8">M9</f>
        <v>0</v>
      </c>
      <c r="K50" s="33">
        <f t="shared" ref="K50:K65" si="9">O9</f>
        <v>0</v>
      </c>
      <c r="L50" s="33">
        <f t="shared" ref="L50:L66" si="10">L9</f>
        <v>0</v>
      </c>
      <c r="M50" s="33">
        <f t="shared" si="0"/>
        <v>0</v>
      </c>
      <c r="N50" s="33">
        <f t="shared" ref="N50:N62" si="11">F9</f>
        <v>0</v>
      </c>
      <c r="O50" s="33">
        <f t="shared" ref="O50:O68" si="12">Q9</f>
        <v>0</v>
      </c>
      <c r="P50" s="33">
        <f t="shared" ref="P50:P60" si="13">I9</f>
        <v>0</v>
      </c>
      <c r="Q50" s="33">
        <f t="shared" ref="Q50:Q60" si="14">G9</f>
        <v>0</v>
      </c>
      <c r="R50" s="33">
        <f t="shared" ref="R50:R66" si="15">J9</f>
        <v>0</v>
      </c>
      <c r="S50" s="33">
        <f t="shared" ref="S50:S64" si="16">N9</f>
        <v>0</v>
      </c>
      <c r="T50" s="33">
        <f t="shared" ref="T50:T65" si="17">E9</f>
        <v>0</v>
      </c>
      <c r="U50" s="33">
        <f t="shared" ref="U50:U61" si="18">H9</f>
        <v>0</v>
      </c>
      <c r="V50" s="33"/>
    </row>
    <row r="51" spans="1:22">
      <c r="A51" s="370"/>
      <c r="B51" s="31">
        <v>2.1</v>
      </c>
      <c r="C51" s="33">
        <f t="shared" si="2"/>
        <v>0</v>
      </c>
      <c r="D51" s="33">
        <f t="shared" si="3"/>
        <v>0</v>
      </c>
      <c r="E51" s="33">
        <f t="shared" si="4"/>
        <v>0</v>
      </c>
      <c r="F51" s="33">
        <f t="shared" si="5"/>
        <v>0</v>
      </c>
      <c r="G51" s="33">
        <f t="shared" si="6"/>
        <v>0</v>
      </c>
      <c r="H51" s="33">
        <f t="shared" si="6"/>
        <v>0</v>
      </c>
      <c r="I51" s="33">
        <f t="shared" si="7"/>
        <v>0</v>
      </c>
      <c r="J51" s="33">
        <f t="shared" si="8"/>
        <v>0</v>
      </c>
      <c r="K51" s="33">
        <f t="shared" si="9"/>
        <v>0</v>
      </c>
      <c r="L51" s="33">
        <f t="shared" si="10"/>
        <v>0</v>
      </c>
      <c r="M51" s="33">
        <f t="shared" si="0"/>
        <v>0</v>
      </c>
      <c r="N51" s="33">
        <f t="shared" si="11"/>
        <v>0</v>
      </c>
      <c r="O51" s="33">
        <f t="shared" si="12"/>
        <v>0</v>
      </c>
      <c r="P51" s="33">
        <f t="shared" si="13"/>
        <v>0</v>
      </c>
      <c r="Q51" s="33">
        <f t="shared" si="14"/>
        <v>0</v>
      </c>
      <c r="R51" s="33">
        <f t="shared" si="15"/>
        <v>0</v>
      </c>
      <c r="S51" s="33">
        <f t="shared" si="16"/>
        <v>0</v>
      </c>
      <c r="T51" s="33">
        <f t="shared" si="17"/>
        <v>0</v>
      </c>
      <c r="U51" s="33">
        <f t="shared" si="18"/>
        <v>0</v>
      </c>
      <c r="V51" s="33" t="str">
        <f t="shared" si="1"/>
        <v>DM</v>
      </c>
    </row>
    <row r="52" spans="1:22">
      <c r="A52" s="370"/>
      <c r="B52" s="31">
        <v>2.2000000000000002</v>
      </c>
      <c r="C52" s="33">
        <f t="shared" si="2"/>
        <v>0</v>
      </c>
      <c r="D52" s="33">
        <f t="shared" si="3"/>
        <v>0</v>
      </c>
      <c r="E52" s="33">
        <f t="shared" si="4"/>
        <v>0</v>
      </c>
      <c r="F52" s="33">
        <f t="shared" si="5"/>
        <v>0</v>
      </c>
      <c r="G52" s="33">
        <f t="shared" si="6"/>
        <v>0</v>
      </c>
      <c r="H52" s="33">
        <f t="shared" si="6"/>
        <v>0</v>
      </c>
      <c r="I52" s="33">
        <f t="shared" si="7"/>
        <v>0</v>
      </c>
      <c r="J52" s="33">
        <f t="shared" si="8"/>
        <v>0</v>
      </c>
      <c r="K52" s="33">
        <f t="shared" si="9"/>
        <v>0</v>
      </c>
      <c r="L52" s="33">
        <f t="shared" si="10"/>
        <v>0</v>
      </c>
      <c r="M52" s="33">
        <f t="shared" si="0"/>
        <v>0</v>
      </c>
      <c r="N52" s="33">
        <f t="shared" si="11"/>
        <v>0</v>
      </c>
      <c r="O52" s="33">
        <f t="shared" si="12"/>
        <v>0</v>
      </c>
      <c r="P52" s="33">
        <f t="shared" si="13"/>
        <v>0</v>
      </c>
      <c r="Q52" s="33">
        <f t="shared" si="14"/>
        <v>0</v>
      </c>
      <c r="R52" s="33">
        <f t="shared" si="15"/>
        <v>0</v>
      </c>
      <c r="S52" s="33">
        <f t="shared" si="16"/>
        <v>0</v>
      </c>
      <c r="T52" s="33">
        <f t="shared" si="17"/>
        <v>0</v>
      </c>
      <c r="U52" s="33">
        <f t="shared" si="18"/>
        <v>0</v>
      </c>
      <c r="V52" s="33" t="str">
        <f t="shared" si="1"/>
        <v>DM</v>
      </c>
    </row>
    <row r="53" spans="1:22">
      <c r="A53" s="370"/>
      <c r="B53" s="31">
        <v>2.2999999999999998</v>
      </c>
      <c r="C53" s="33"/>
      <c r="D53" s="33">
        <f t="shared" si="3"/>
        <v>0</v>
      </c>
      <c r="E53" s="33">
        <f t="shared" si="4"/>
        <v>0</v>
      </c>
      <c r="F53" s="33">
        <f t="shared" si="5"/>
        <v>0</v>
      </c>
      <c r="G53" s="33">
        <f t="shared" si="6"/>
        <v>0</v>
      </c>
      <c r="H53" s="33"/>
      <c r="I53" s="33">
        <f t="shared" si="7"/>
        <v>0</v>
      </c>
      <c r="J53" s="33">
        <f t="shared" si="8"/>
        <v>0</v>
      </c>
      <c r="K53" s="33"/>
      <c r="L53" s="33">
        <f t="shared" si="10"/>
        <v>0</v>
      </c>
      <c r="M53" s="33"/>
      <c r="N53" s="33">
        <f t="shared" si="11"/>
        <v>0</v>
      </c>
      <c r="O53" s="33">
        <f t="shared" si="12"/>
        <v>0</v>
      </c>
      <c r="P53" s="33">
        <f t="shared" si="13"/>
        <v>0</v>
      </c>
      <c r="Q53" s="33">
        <f t="shared" si="14"/>
        <v>0</v>
      </c>
      <c r="R53" s="33">
        <f t="shared" si="15"/>
        <v>0</v>
      </c>
      <c r="S53" s="33"/>
      <c r="T53" s="33">
        <f t="shared" si="17"/>
        <v>0</v>
      </c>
      <c r="U53" s="33">
        <f t="shared" si="18"/>
        <v>0</v>
      </c>
      <c r="V53" s="33" t="str">
        <f t="shared" si="1"/>
        <v>FM</v>
      </c>
    </row>
    <row r="54" spans="1:22">
      <c r="A54" s="370"/>
      <c r="B54" s="31">
        <v>2.4</v>
      </c>
      <c r="C54" s="33"/>
      <c r="D54" s="33">
        <f t="shared" si="3"/>
        <v>0</v>
      </c>
      <c r="E54" s="33">
        <f t="shared" si="4"/>
        <v>0</v>
      </c>
      <c r="F54" s="33"/>
      <c r="G54" s="33">
        <f t="shared" si="6"/>
        <v>0</v>
      </c>
      <c r="H54" s="33"/>
      <c r="I54" s="33">
        <f t="shared" si="7"/>
        <v>0</v>
      </c>
      <c r="J54" s="33">
        <f t="shared" si="8"/>
        <v>0</v>
      </c>
      <c r="K54" s="33"/>
      <c r="L54" s="33"/>
      <c r="M54" s="33"/>
      <c r="N54" s="33">
        <f t="shared" si="11"/>
        <v>0</v>
      </c>
      <c r="O54" s="33">
        <f t="shared" si="12"/>
        <v>0</v>
      </c>
      <c r="P54" s="33">
        <f t="shared" si="13"/>
        <v>0</v>
      </c>
      <c r="Q54" s="33">
        <f t="shared" si="14"/>
        <v>0</v>
      </c>
      <c r="R54" s="33">
        <f t="shared" si="15"/>
        <v>0</v>
      </c>
      <c r="S54" s="33"/>
      <c r="T54" s="33"/>
      <c r="U54" s="33"/>
      <c r="V54" s="33" t="str">
        <f t="shared" si="1"/>
        <v>LM</v>
      </c>
    </row>
    <row r="55" spans="1:22">
      <c r="A55" s="370"/>
      <c r="B55" s="31">
        <v>2.5</v>
      </c>
      <c r="C55" s="33"/>
      <c r="D55" s="33">
        <f t="shared" si="3"/>
        <v>0</v>
      </c>
      <c r="E55" s="33">
        <f t="shared" si="4"/>
        <v>0</v>
      </c>
      <c r="F55" s="33"/>
      <c r="G55" s="33"/>
      <c r="H55" s="33"/>
      <c r="I55" s="33"/>
      <c r="J55" s="33">
        <f t="shared" si="8"/>
        <v>0</v>
      </c>
      <c r="K55" s="33"/>
      <c r="L55" s="33"/>
      <c r="M55" s="33"/>
      <c r="N55" s="33">
        <f t="shared" si="11"/>
        <v>0</v>
      </c>
      <c r="O55" s="33">
        <f t="shared" si="12"/>
        <v>0</v>
      </c>
      <c r="P55" s="33"/>
      <c r="Q55" s="33"/>
      <c r="R55" s="33">
        <f t="shared" si="15"/>
        <v>0</v>
      </c>
      <c r="S55" s="33"/>
      <c r="T55" s="33"/>
      <c r="U55" s="33"/>
      <c r="V55" s="33"/>
    </row>
    <row r="56" spans="1:22">
      <c r="A56" s="370"/>
      <c r="B56" s="31">
        <v>2.6</v>
      </c>
      <c r="C56" s="33"/>
      <c r="D56" s="33">
        <f t="shared" si="3"/>
        <v>0</v>
      </c>
      <c r="E56" s="33"/>
      <c r="F56" s="33"/>
      <c r="G56" s="33"/>
      <c r="H56" s="33"/>
      <c r="I56" s="33"/>
      <c r="J56" s="33">
        <f t="shared" si="8"/>
        <v>0</v>
      </c>
      <c r="K56" s="33"/>
      <c r="L56" s="33"/>
      <c r="M56" s="33"/>
      <c r="N56" s="33">
        <f t="shared" si="11"/>
        <v>0</v>
      </c>
      <c r="O56" s="33">
        <f t="shared" si="12"/>
        <v>0</v>
      </c>
      <c r="P56" s="33"/>
      <c r="Q56" s="33"/>
      <c r="R56" s="33">
        <f t="shared" si="15"/>
        <v>0</v>
      </c>
      <c r="S56" s="33"/>
      <c r="T56" s="33"/>
      <c r="U56" s="33"/>
      <c r="V56" s="33"/>
    </row>
    <row r="57" spans="1:22">
      <c r="A57" s="370"/>
      <c r="B57" s="31">
        <v>2.7</v>
      </c>
      <c r="C57" s="33"/>
      <c r="D57" s="33"/>
      <c r="E57" s="33"/>
      <c r="F57" s="33"/>
      <c r="G57" s="33"/>
      <c r="H57" s="33"/>
      <c r="I57" s="33"/>
      <c r="J57" s="33"/>
      <c r="K57" s="33"/>
      <c r="L57" s="33"/>
      <c r="M57" s="33"/>
      <c r="N57" s="33"/>
      <c r="O57" s="33">
        <f t="shared" si="12"/>
        <v>0</v>
      </c>
      <c r="P57" s="33"/>
      <c r="Q57" s="33"/>
      <c r="R57" s="33"/>
      <c r="S57" s="33"/>
      <c r="T57" s="33"/>
      <c r="U57" s="33"/>
      <c r="V57" s="33"/>
    </row>
    <row r="58" spans="1:22">
      <c r="A58" s="370"/>
      <c r="B58" s="31">
        <v>2.8</v>
      </c>
      <c r="C58" s="33"/>
      <c r="D58" s="33"/>
      <c r="E58" s="33"/>
      <c r="F58" s="33"/>
      <c r="G58" s="33"/>
      <c r="H58" s="33"/>
      <c r="I58" s="33"/>
      <c r="J58" s="33"/>
      <c r="K58" s="33"/>
      <c r="L58" s="33"/>
      <c r="M58" s="33"/>
      <c r="N58" s="33"/>
      <c r="O58" s="33">
        <f t="shared" si="12"/>
        <v>0</v>
      </c>
      <c r="P58" s="33"/>
      <c r="Q58" s="33"/>
      <c r="R58" s="33"/>
      <c r="S58" s="33"/>
      <c r="T58" s="33"/>
      <c r="U58" s="33"/>
      <c r="V58" s="33"/>
    </row>
    <row r="59" spans="1:22">
      <c r="A59" s="370" t="s">
        <v>56</v>
      </c>
      <c r="B59" s="32" t="s">
        <v>56</v>
      </c>
      <c r="C59" s="33">
        <f t="shared" si="2"/>
        <v>0</v>
      </c>
      <c r="D59" s="33"/>
      <c r="E59" s="33">
        <f t="shared" si="4"/>
        <v>0</v>
      </c>
      <c r="F59" s="33">
        <f t="shared" si="5"/>
        <v>0</v>
      </c>
      <c r="G59" s="33">
        <f t="shared" si="6"/>
        <v>0</v>
      </c>
      <c r="H59" s="33">
        <f t="shared" si="6"/>
        <v>0</v>
      </c>
      <c r="I59" s="33">
        <f t="shared" si="7"/>
        <v>0</v>
      </c>
      <c r="J59" s="33">
        <f t="shared" si="8"/>
        <v>0</v>
      </c>
      <c r="K59" s="33">
        <f t="shared" si="9"/>
        <v>0</v>
      </c>
      <c r="L59" s="33">
        <f t="shared" si="10"/>
        <v>0</v>
      </c>
      <c r="M59" s="33">
        <f t="shared" si="0"/>
        <v>0</v>
      </c>
      <c r="N59" s="33">
        <f t="shared" si="11"/>
        <v>0</v>
      </c>
      <c r="O59" s="33">
        <f t="shared" si="12"/>
        <v>0</v>
      </c>
      <c r="P59" s="33">
        <f t="shared" si="13"/>
        <v>0</v>
      </c>
      <c r="Q59" s="33">
        <f t="shared" si="14"/>
        <v>0</v>
      </c>
      <c r="R59" s="33">
        <f t="shared" si="15"/>
        <v>0</v>
      </c>
      <c r="S59" s="33">
        <f t="shared" si="16"/>
        <v>0</v>
      </c>
      <c r="T59" s="33">
        <f t="shared" si="17"/>
        <v>0</v>
      </c>
      <c r="U59" s="33">
        <f t="shared" si="18"/>
        <v>0</v>
      </c>
      <c r="V59" s="33">
        <f t="shared" si="1"/>
        <v>0</v>
      </c>
    </row>
    <row r="60" spans="1:22">
      <c r="A60" s="370"/>
      <c r="B60" s="31">
        <v>3.1</v>
      </c>
      <c r="C60" s="33">
        <f t="shared" si="2"/>
        <v>0</v>
      </c>
      <c r="D60" s="33"/>
      <c r="E60" s="33">
        <f t="shared" si="4"/>
        <v>0</v>
      </c>
      <c r="F60" s="33">
        <f t="shared" si="5"/>
        <v>0</v>
      </c>
      <c r="G60" s="33">
        <f t="shared" si="6"/>
        <v>0</v>
      </c>
      <c r="H60" s="33">
        <f t="shared" si="6"/>
        <v>0</v>
      </c>
      <c r="I60" s="33">
        <f t="shared" si="7"/>
        <v>0</v>
      </c>
      <c r="J60" s="33">
        <f t="shared" si="8"/>
        <v>0</v>
      </c>
      <c r="K60" s="33">
        <f t="shared" si="9"/>
        <v>0</v>
      </c>
      <c r="L60" s="33">
        <f t="shared" si="10"/>
        <v>0</v>
      </c>
      <c r="M60" s="33">
        <f t="shared" si="0"/>
        <v>0</v>
      </c>
      <c r="N60" s="33">
        <f t="shared" si="11"/>
        <v>0</v>
      </c>
      <c r="O60" s="33">
        <f t="shared" si="12"/>
        <v>0</v>
      </c>
      <c r="P60" s="33">
        <f t="shared" si="13"/>
        <v>0</v>
      </c>
      <c r="Q60" s="33">
        <f t="shared" si="14"/>
        <v>0</v>
      </c>
      <c r="R60" s="33">
        <f t="shared" si="15"/>
        <v>0</v>
      </c>
      <c r="S60" s="33">
        <f t="shared" si="16"/>
        <v>0</v>
      </c>
      <c r="T60" s="33">
        <f t="shared" si="17"/>
        <v>0</v>
      </c>
      <c r="U60" s="33">
        <f t="shared" si="18"/>
        <v>0</v>
      </c>
      <c r="V60" s="33" t="str">
        <f t="shared" si="1"/>
        <v>DM</v>
      </c>
    </row>
    <row r="61" spans="1:22">
      <c r="A61" s="370"/>
      <c r="B61" s="31">
        <v>3.2</v>
      </c>
      <c r="C61" s="33">
        <f t="shared" si="2"/>
        <v>0</v>
      </c>
      <c r="D61" s="33"/>
      <c r="E61" s="33"/>
      <c r="F61" s="33">
        <f t="shared" si="5"/>
        <v>0</v>
      </c>
      <c r="G61" s="33">
        <f t="shared" si="6"/>
        <v>0</v>
      </c>
      <c r="H61" s="33">
        <f t="shared" si="6"/>
        <v>0</v>
      </c>
      <c r="I61" s="33">
        <f t="shared" si="7"/>
        <v>0</v>
      </c>
      <c r="J61" s="33">
        <f t="shared" si="8"/>
        <v>0</v>
      </c>
      <c r="K61" s="33">
        <f t="shared" si="9"/>
        <v>0</v>
      </c>
      <c r="L61" s="33">
        <f t="shared" si="10"/>
        <v>0</v>
      </c>
      <c r="M61" s="33">
        <f t="shared" si="0"/>
        <v>0</v>
      </c>
      <c r="N61" s="33">
        <f t="shared" si="11"/>
        <v>0</v>
      </c>
      <c r="O61" s="33">
        <f t="shared" si="12"/>
        <v>0</v>
      </c>
      <c r="P61" s="33"/>
      <c r="Q61" s="33"/>
      <c r="R61" s="33">
        <f t="shared" si="15"/>
        <v>0</v>
      </c>
      <c r="S61" s="33">
        <f t="shared" si="16"/>
        <v>0</v>
      </c>
      <c r="T61" s="33">
        <f t="shared" si="17"/>
        <v>0</v>
      </c>
      <c r="U61" s="33">
        <f t="shared" si="18"/>
        <v>0</v>
      </c>
      <c r="V61" s="33" t="str">
        <f t="shared" si="1"/>
        <v>DM</v>
      </c>
    </row>
    <row r="62" spans="1:22">
      <c r="A62" s="370"/>
      <c r="B62" s="31">
        <v>3.3</v>
      </c>
      <c r="C62" s="33">
        <f t="shared" si="2"/>
        <v>0</v>
      </c>
      <c r="D62" s="33"/>
      <c r="E62" s="33"/>
      <c r="F62" s="33"/>
      <c r="G62" s="33"/>
      <c r="H62" s="33">
        <f t="shared" si="6"/>
        <v>0</v>
      </c>
      <c r="I62" s="33">
        <f t="shared" si="7"/>
        <v>0</v>
      </c>
      <c r="J62" s="33">
        <f t="shared" si="8"/>
        <v>0</v>
      </c>
      <c r="K62" s="33">
        <f t="shared" si="9"/>
        <v>0</v>
      </c>
      <c r="L62" s="33">
        <f t="shared" si="10"/>
        <v>0</v>
      </c>
      <c r="M62" s="33">
        <f t="shared" si="0"/>
        <v>0</v>
      </c>
      <c r="N62" s="33">
        <f t="shared" si="11"/>
        <v>0</v>
      </c>
      <c r="O62" s="33">
        <f t="shared" si="12"/>
        <v>0</v>
      </c>
      <c r="P62" s="33"/>
      <c r="Q62" s="33"/>
      <c r="R62" s="33">
        <f t="shared" si="15"/>
        <v>0</v>
      </c>
      <c r="S62" s="33">
        <f t="shared" si="16"/>
        <v>0</v>
      </c>
      <c r="T62" s="33">
        <f t="shared" si="17"/>
        <v>0</v>
      </c>
      <c r="U62" s="33"/>
      <c r="V62" s="33"/>
    </row>
    <row r="63" spans="1:22">
      <c r="A63" s="370"/>
      <c r="B63" s="31">
        <v>3.4</v>
      </c>
      <c r="C63" s="33">
        <f t="shared" si="2"/>
        <v>0</v>
      </c>
      <c r="D63" s="33"/>
      <c r="E63" s="33"/>
      <c r="F63" s="33"/>
      <c r="G63" s="33"/>
      <c r="H63" s="33"/>
      <c r="I63" s="33">
        <f t="shared" si="7"/>
        <v>0</v>
      </c>
      <c r="J63" s="33">
        <f t="shared" si="8"/>
        <v>0</v>
      </c>
      <c r="K63" s="33">
        <f t="shared" si="9"/>
        <v>0</v>
      </c>
      <c r="L63" s="33">
        <f t="shared" si="10"/>
        <v>0</v>
      </c>
      <c r="M63" s="33">
        <f t="shared" si="0"/>
        <v>0</v>
      </c>
      <c r="N63" s="33"/>
      <c r="O63" s="33">
        <f t="shared" si="12"/>
        <v>0</v>
      </c>
      <c r="P63" s="33"/>
      <c r="Q63" s="33"/>
      <c r="R63" s="33">
        <f t="shared" si="15"/>
        <v>0</v>
      </c>
      <c r="S63" s="33">
        <f t="shared" si="16"/>
        <v>0</v>
      </c>
      <c r="T63" s="33">
        <f t="shared" si="17"/>
        <v>0</v>
      </c>
      <c r="U63" s="33"/>
      <c r="V63" s="33"/>
    </row>
    <row r="64" spans="1:22">
      <c r="A64" s="370"/>
      <c r="B64" s="31">
        <v>3.5</v>
      </c>
      <c r="C64" s="33">
        <f t="shared" si="2"/>
        <v>0</v>
      </c>
      <c r="D64" s="33"/>
      <c r="E64" s="33"/>
      <c r="F64" s="33"/>
      <c r="G64" s="33"/>
      <c r="H64" s="33"/>
      <c r="I64" s="33"/>
      <c r="J64" s="33">
        <f t="shared" si="8"/>
        <v>0</v>
      </c>
      <c r="K64" s="33">
        <f t="shared" si="9"/>
        <v>0</v>
      </c>
      <c r="L64" s="33">
        <f t="shared" si="10"/>
        <v>0</v>
      </c>
      <c r="M64" s="33">
        <f t="shared" si="0"/>
        <v>0</v>
      </c>
      <c r="N64" s="33"/>
      <c r="O64" s="33"/>
      <c r="P64" s="33"/>
      <c r="Q64" s="33"/>
      <c r="R64" s="33">
        <f t="shared" si="15"/>
        <v>0</v>
      </c>
      <c r="S64" s="33">
        <f t="shared" si="16"/>
        <v>0</v>
      </c>
      <c r="T64" s="33">
        <f t="shared" si="17"/>
        <v>0</v>
      </c>
      <c r="U64" s="33"/>
      <c r="V64" s="33"/>
    </row>
    <row r="65" spans="1:22">
      <c r="A65" s="370"/>
      <c r="B65" s="31">
        <v>3.6</v>
      </c>
      <c r="C65" s="33"/>
      <c r="D65" s="33"/>
      <c r="E65" s="33"/>
      <c r="F65" s="33"/>
      <c r="G65" s="33"/>
      <c r="H65" s="33"/>
      <c r="I65" s="33"/>
      <c r="J65" s="33">
        <f t="shared" si="8"/>
        <v>0</v>
      </c>
      <c r="K65" s="33">
        <f t="shared" si="9"/>
        <v>0</v>
      </c>
      <c r="L65" s="33">
        <f t="shared" si="10"/>
        <v>0</v>
      </c>
      <c r="M65" s="33">
        <f t="shared" si="0"/>
        <v>0</v>
      </c>
      <c r="N65" s="33"/>
      <c r="O65" s="33"/>
      <c r="P65" s="33"/>
      <c r="Q65" s="33"/>
      <c r="R65" s="33">
        <f t="shared" si="15"/>
        <v>0</v>
      </c>
      <c r="S65" s="33"/>
      <c r="T65" s="33">
        <f t="shared" si="17"/>
        <v>0</v>
      </c>
      <c r="U65" s="33"/>
      <c r="V65" s="33"/>
    </row>
    <row r="66" spans="1:22">
      <c r="A66" s="370"/>
      <c r="B66" s="31">
        <v>3.7</v>
      </c>
      <c r="C66" s="33"/>
      <c r="D66" s="33"/>
      <c r="E66" s="33"/>
      <c r="F66" s="33"/>
      <c r="G66" s="33"/>
      <c r="H66" s="33"/>
      <c r="I66" s="33"/>
      <c r="J66" s="33"/>
      <c r="K66" s="33"/>
      <c r="L66" s="33">
        <f t="shared" si="10"/>
        <v>0</v>
      </c>
      <c r="M66" s="33"/>
      <c r="N66" s="33"/>
      <c r="O66" s="33"/>
      <c r="P66" s="33"/>
      <c r="Q66" s="33"/>
      <c r="R66" s="33">
        <f t="shared" si="15"/>
        <v>0</v>
      </c>
      <c r="S66" s="33"/>
      <c r="T66" s="33"/>
      <c r="U66" s="33"/>
      <c r="V66" s="33"/>
    </row>
    <row r="67" spans="1:22">
      <c r="A67" s="370" t="s">
        <v>410</v>
      </c>
      <c r="B67" s="32" t="s">
        <v>57</v>
      </c>
      <c r="C67" s="33">
        <f t="shared" si="2"/>
        <v>0</v>
      </c>
      <c r="D67" s="33"/>
      <c r="E67" s="33"/>
      <c r="F67" s="33"/>
      <c r="G67" s="33">
        <f t="shared" si="6"/>
        <v>0</v>
      </c>
      <c r="H67" s="33"/>
      <c r="I67" s="33"/>
      <c r="J67" s="33">
        <f t="shared" si="8"/>
        <v>0</v>
      </c>
      <c r="K67" s="33"/>
      <c r="L67" s="33"/>
      <c r="M67" s="33">
        <f t="shared" si="0"/>
        <v>0</v>
      </c>
      <c r="N67" s="33"/>
      <c r="O67" s="33">
        <f t="shared" si="12"/>
        <v>0</v>
      </c>
      <c r="P67" s="33"/>
      <c r="Q67" s="33"/>
      <c r="R67" s="33"/>
      <c r="S67" s="33"/>
      <c r="T67" s="33"/>
      <c r="U67" s="33"/>
      <c r="V67" s="33"/>
    </row>
    <row r="68" spans="1:22">
      <c r="A68" s="370"/>
      <c r="B68" s="31">
        <v>4.0999999999999996</v>
      </c>
      <c r="C68" s="33">
        <f t="shared" si="2"/>
        <v>0</v>
      </c>
      <c r="D68" s="33"/>
      <c r="E68" s="33"/>
      <c r="F68" s="33"/>
      <c r="G68" s="33">
        <f t="shared" si="6"/>
        <v>0</v>
      </c>
      <c r="H68" s="33"/>
      <c r="I68" s="33"/>
      <c r="J68" s="33">
        <f t="shared" si="8"/>
        <v>0</v>
      </c>
      <c r="K68" s="33"/>
      <c r="L68" s="33"/>
      <c r="M68" s="33">
        <f t="shared" si="0"/>
        <v>0</v>
      </c>
      <c r="N68" s="33"/>
      <c r="O68" s="33">
        <f t="shared" si="12"/>
        <v>0</v>
      </c>
      <c r="P68" s="33"/>
      <c r="Q68" s="33"/>
      <c r="R68" s="33"/>
      <c r="S68" s="33"/>
      <c r="T68" s="33"/>
      <c r="U68" s="33"/>
      <c r="V68" s="33" t="str">
        <f t="shared" si="1"/>
        <v>DM</v>
      </c>
    </row>
    <row r="69" spans="1:22">
      <c r="A69" s="370"/>
      <c r="B69" s="31">
        <v>4.2</v>
      </c>
      <c r="C69" s="33">
        <f t="shared" si="2"/>
        <v>0</v>
      </c>
      <c r="D69" s="33"/>
      <c r="E69" s="33"/>
      <c r="F69" s="33"/>
      <c r="G69" s="33"/>
      <c r="H69" s="33"/>
      <c r="I69" s="33"/>
      <c r="J69" s="33">
        <f t="shared" si="8"/>
        <v>0</v>
      </c>
      <c r="K69" s="33"/>
      <c r="L69" s="33"/>
      <c r="M69" s="33"/>
      <c r="N69" s="33"/>
      <c r="O69" s="33"/>
      <c r="P69" s="33"/>
      <c r="Q69" s="33"/>
      <c r="R69" s="33"/>
      <c r="S69" s="33"/>
      <c r="T69" s="33"/>
      <c r="U69" s="33"/>
      <c r="V69" s="33"/>
    </row>
    <row r="70" spans="1:22">
      <c r="A70" s="370"/>
      <c r="B70" s="31">
        <v>4.3</v>
      </c>
      <c r="C70" s="33"/>
      <c r="D70" s="33"/>
      <c r="E70" s="33"/>
      <c r="F70" s="33"/>
      <c r="G70" s="33"/>
      <c r="H70" s="33"/>
      <c r="I70" s="33"/>
      <c r="J70" s="33">
        <f t="shared" si="8"/>
        <v>0</v>
      </c>
      <c r="K70" s="33"/>
      <c r="L70" s="33"/>
      <c r="M70" s="33"/>
      <c r="N70" s="33"/>
      <c r="O70" s="33"/>
      <c r="P70" s="33"/>
      <c r="Q70" s="33"/>
      <c r="R70" s="33"/>
      <c r="S70" s="33"/>
      <c r="T70" s="33"/>
      <c r="U70" s="33"/>
      <c r="V70" s="33"/>
    </row>
    <row r="71" spans="1:22">
      <c r="A71" s="370"/>
      <c r="B71" s="31">
        <v>4.4000000000000004</v>
      </c>
      <c r="C71" s="33"/>
      <c r="D71" s="33"/>
      <c r="E71" s="33"/>
      <c r="F71" s="33"/>
      <c r="G71" s="33"/>
      <c r="H71" s="33"/>
      <c r="I71" s="33"/>
      <c r="J71" s="33">
        <f t="shared" si="8"/>
        <v>0</v>
      </c>
      <c r="K71" s="33"/>
      <c r="L71" s="33"/>
      <c r="M71" s="33"/>
      <c r="N71" s="33"/>
      <c r="O71" s="33"/>
      <c r="P71" s="33"/>
      <c r="Q71" s="33"/>
      <c r="R71" s="33"/>
      <c r="S71" s="33"/>
      <c r="T71" s="33"/>
      <c r="U71" s="33"/>
      <c r="V71" s="33"/>
    </row>
    <row r="72" spans="1:22">
      <c r="A72" s="370"/>
      <c r="B72" s="31">
        <v>4.5</v>
      </c>
      <c r="C72" s="33"/>
      <c r="D72" s="33"/>
      <c r="E72" s="33"/>
      <c r="F72" s="33"/>
      <c r="G72" s="33"/>
      <c r="H72" s="33"/>
      <c r="I72" s="33"/>
      <c r="J72" s="33">
        <f t="shared" si="8"/>
        <v>0</v>
      </c>
      <c r="K72" s="33"/>
      <c r="L72" s="33"/>
      <c r="M72" s="33"/>
      <c r="N72" s="33"/>
      <c r="O72" s="33"/>
      <c r="P72" s="33"/>
      <c r="Q72" s="33"/>
      <c r="R72" s="33"/>
      <c r="S72" s="33"/>
      <c r="T72" s="33"/>
      <c r="U72" s="33"/>
      <c r="V72" s="33"/>
    </row>
    <row r="73" spans="1:22">
      <c r="A73" s="370" t="s">
        <v>58</v>
      </c>
      <c r="B73" s="32" t="s">
        <v>58</v>
      </c>
      <c r="C73" s="33">
        <f t="shared" si="2"/>
        <v>0</v>
      </c>
      <c r="D73" s="33"/>
      <c r="E73" s="33"/>
      <c r="F73" s="33"/>
      <c r="G73" s="33"/>
      <c r="H73" s="33"/>
      <c r="I73" s="33"/>
      <c r="J73" s="33">
        <f t="shared" si="8"/>
        <v>0</v>
      </c>
      <c r="K73" s="33"/>
      <c r="L73" s="33"/>
      <c r="M73" s="33"/>
      <c r="N73" s="33"/>
      <c r="O73" s="33"/>
      <c r="P73" s="33"/>
      <c r="Q73" s="33"/>
      <c r="R73" s="33"/>
      <c r="S73" s="33"/>
      <c r="T73" s="33"/>
      <c r="U73" s="33"/>
      <c r="V73" s="33"/>
    </row>
    <row r="74" spans="1:22">
      <c r="A74" s="370"/>
      <c r="B74" s="31">
        <v>5.0999999999999996</v>
      </c>
      <c r="C74" s="33">
        <f t="shared" si="2"/>
        <v>0</v>
      </c>
      <c r="D74" s="33"/>
      <c r="E74" s="33"/>
      <c r="F74" s="33"/>
      <c r="G74" s="33"/>
      <c r="H74" s="33"/>
      <c r="I74" s="33"/>
      <c r="J74" s="33">
        <f t="shared" si="8"/>
        <v>0</v>
      </c>
      <c r="K74" s="33"/>
      <c r="L74" s="33"/>
      <c r="M74" s="33"/>
      <c r="N74" s="33"/>
      <c r="O74" s="33"/>
      <c r="P74" s="33"/>
      <c r="Q74" s="33"/>
      <c r="R74" s="33"/>
      <c r="S74" s="33"/>
      <c r="T74" s="33"/>
      <c r="U74" s="33"/>
      <c r="V74" s="33"/>
    </row>
    <row r="75" spans="1:22">
      <c r="A75" s="370"/>
      <c r="B75" s="31">
        <v>5.2</v>
      </c>
      <c r="C75" s="33"/>
      <c r="D75" s="33"/>
      <c r="E75" s="33"/>
      <c r="F75" s="33"/>
      <c r="G75" s="33"/>
      <c r="H75" s="33"/>
      <c r="I75" s="33"/>
      <c r="J75" s="33">
        <f t="shared" si="8"/>
        <v>0</v>
      </c>
      <c r="K75" s="33"/>
      <c r="L75" s="33"/>
      <c r="M75" s="33"/>
      <c r="N75" s="33"/>
      <c r="O75" s="33"/>
      <c r="P75" s="33"/>
      <c r="Q75" s="33"/>
      <c r="R75" s="33"/>
      <c r="S75" s="33"/>
      <c r="T75" s="33"/>
      <c r="U75" s="33"/>
      <c r="V75" s="33"/>
    </row>
    <row r="76" spans="1:22">
      <c r="A76" s="370"/>
      <c r="B76" s="31">
        <v>5.3</v>
      </c>
      <c r="C76" s="33"/>
      <c r="D76" s="33"/>
      <c r="E76" s="33"/>
      <c r="F76" s="33"/>
      <c r="G76" s="33"/>
      <c r="H76" s="33"/>
      <c r="I76" s="33"/>
      <c r="J76" s="33">
        <f t="shared" si="8"/>
        <v>0</v>
      </c>
      <c r="K76" s="33"/>
      <c r="L76" s="33"/>
      <c r="M76" s="33"/>
      <c r="N76" s="33"/>
      <c r="O76" s="33"/>
      <c r="P76" s="33"/>
      <c r="Q76" s="33"/>
      <c r="R76" s="33"/>
      <c r="S76" s="33"/>
      <c r="T76" s="33"/>
      <c r="U76" s="33"/>
      <c r="V76" s="33"/>
    </row>
  </sheetData>
  <mergeCells count="18">
    <mergeCell ref="A46:A49"/>
    <mergeCell ref="A50:A58"/>
    <mergeCell ref="A59:A66"/>
    <mergeCell ref="A67:A72"/>
    <mergeCell ref="A73:A76"/>
    <mergeCell ref="E2:F2"/>
    <mergeCell ref="P2:R2"/>
    <mergeCell ref="S2:U2"/>
    <mergeCell ref="A4:A8"/>
    <mergeCell ref="A9:A17"/>
    <mergeCell ref="G2:J2"/>
    <mergeCell ref="K2:M2"/>
    <mergeCell ref="A32:A35"/>
    <mergeCell ref="A26:A31"/>
    <mergeCell ref="A2:A3"/>
    <mergeCell ref="B2:B3"/>
    <mergeCell ref="C2:D2"/>
    <mergeCell ref="A18:A25"/>
  </mergeCells>
  <phoneticPr fontId="72" type="noConversion"/>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40"/>
  <sheetViews>
    <sheetView workbookViewId="0">
      <selection activeCell="C10" sqref="C10"/>
    </sheetView>
  </sheetViews>
  <sheetFormatPr defaultColWidth="8.6328125" defaultRowHeight="14.5"/>
  <cols>
    <col min="1" max="2" width="8.6328125" style="29"/>
    <col min="3" max="9" width="7.6328125" style="44" customWidth="1"/>
    <col min="10" max="10" width="3.453125" style="29" customWidth="1"/>
    <col min="11" max="18" width="7.6328125" style="44" customWidth="1"/>
    <col min="19" max="16384" width="8.6328125" style="29"/>
  </cols>
  <sheetData>
    <row r="1" spans="1:18" s="47" customFormat="1" ht="18.5">
      <c r="A1" s="47" t="s">
        <v>62</v>
      </c>
      <c r="C1" s="48"/>
      <c r="D1" s="48"/>
      <c r="E1" s="48"/>
      <c r="F1" s="48"/>
      <c r="G1" s="48"/>
      <c r="H1" s="48"/>
      <c r="I1" s="48"/>
      <c r="K1" s="48"/>
      <c r="L1" s="48"/>
      <c r="M1" s="48"/>
      <c r="N1" s="48"/>
      <c r="O1" s="48"/>
      <c r="P1" s="48"/>
      <c r="Q1" s="48"/>
      <c r="R1" s="48"/>
    </row>
    <row r="2" spans="1:18" ht="68.150000000000006" customHeight="1">
      <c r="A2" s="373" t="s">
        <v>16</v>
      </c>
      <c r="B2" s="373" t="s">
        <v>17</v>
      </c>
      <c r="C2" s="30" t="s">
        <v>63</v>
      </c>
      <c r="D2" s="49" t="s">
        <v>64</v>
      </c>
      <c r="E2" s="49" t="s">
        <v>65</v>
      </c>
      <c r="F2" s="49" t="s">
        <v>66</v>
      </c>
      <c r="G2" s="49" t="s">
        <v>67</v>
      </c>
      <c r="H2" s="49" t="s">
        <v>68</v>
      </c>
      <c r="I2" s="49" t="s">
        <v>69</v>
      </c>
      <c r="J2" s="31"/>
      <c r="K2" s="30" t="s">
        <v>63</v>
      </c>
      <c r="L2" s="49" t="s">
        <v>64</v>
      </c>
      <c r="M2" s="49" t="s">
        <v>65</v>
      </c>
      <c r="N2" s="49" t="s">
        <v>66</v>
      </c>
      <c r="O2" s="49" t="s">
        <v>67</v>
      </c>
      <c r="P2" s="49" t="s">
        <v>70</v>
      </c>
      <c r="Q2" s="49" t="s">
        <v>68</v>
      </c>
      <c r="R2" s="49" t="s">
        <v>69</v>
      </c>
    </row>
    <row r="3" spans="1:18">
      <c r="A3" s="373"/>
      <c r="B3" s="373"/>
      <c r="C3" s="30" t="s">
        <v>27</v>
      </c>
      <c r="D3" s="30" t="s">
        <v>27</v>
      </c>
      <c r="E3" s="30" t="s">
        <v>27</v>
      </c>
      <c r="F3" s="30" t="s">
        <v>27</v>
      </c>
      <c r="G3" s="30" t="s">
        <v>27</v>
      </c>
      <c r="H3" s="30" t="s">
        <v>27</v>
      </c>
      <c r="I3" s="30" t="s">
        <v>27</v>
      </c>
      <c r="J3" s="31"/>
      <c r="K3" s="30" t="s">
        <v>28</v>
      </c>
      <c r="L3" s="30" t="s">
        <v>28</v>
      </c>
      <c r="M3" s="30" t="s">
        <v>28</v>
      </c>
      <c r="N3" s="30" t="s">
        <v>28</v>
      </c>
      <c r="O3" s="30" t="s">
        <v>28</v>
      </c>
      <c r="P3" s="30" t="s">
        <v>28</v>
      </c>
      <c r="Q3" s="30" t="s">
        <v>28</v>
      </c>
      <c r="R3" s="30" t="s">
        <v>28</v>
      </c>
    </row>
    <row r="4" spans="1:18">
      <c r="A4" s="370" t="s">
        <v>409</v>
      </c>
      <c r="B4" s="32" t="s">
        <v>47</v>
      </c>
      <c r="C4" s="50"/>
      <c r="D4" s="50"/>
      <c r="E4" s="50"/>
      <c r="F4" s="50"/>
      <c r="G4" s="50"/>
      <c r="H4" s="50"/>
      <c r="I4" s="50"/>
      <c r="J4" s="31"/>
      <c r="K4" s="50"/>
      <c r="L4" s="50"/>
      <c r="M4" s="50"/>
      <c r="N4" s="50"/>
      <c r="O4" s="50"/>
      <c r="P4" s="50"/>
      <c r="Q4" s="50"/>
      <c r="R4" s="50"/>
    </row>
    <row r="5" spans="1:18">
      <c r="A5" s="370"/>
      <c r="B5" s="31">
        <v>1.1000000000000001</v>
      </c>
      <c r="C5" s="50"/>
      <c r="D5" s="50"/>
      <c r="E5" s="50"/>
      <c r="F5" s="50"/>
      <c r="G5" s="50"/>
      <c r="H5" s="50"/>
      <c r="I5" s="50"/>
      <c r="J5" s="31"/>
      <c r="K5" s="50"/>
      <c r="L5" s="50"/>
      <c r="M5" s="50"/>
      <c r="N5" s="50"/>
      <c r="O5" s="50"/>
      <c r="P5" s="50"/>
      <c r="Q5" s="50"/>
      <c r="R5" s="50"/>
    </row>
    <row r="6" spans="1:18">
      <c r="A6" s="370"/>
      <c r="B6" s="31">
        <v>1.2</v>
      </c>
      <c r="C6" s="32"/>
      <c r="D6" s="32"/>
      <c r="E6" s="32"/>
      <c r="F6" s="32"/>
      <c r="G6" s="32"/>
      <c r="H6" s="32"/>
      <c r="I6" s="32"/>
      <c r="J6" s="31"/>
      <c r="K6" s="32"/>
      <c r="L6" s="32"/>
      <c r="M6" s="32"/>
      <c r="N6" s="32"/>
      <c r="O6" s="32"/>
      <c r="P6" s="32"/>
      <c r="Q6" s="32"/>
      <c r="R6" s="32"/>
    </row>
    <row r="7" spans="1:18">
      <c r="A7" s="370"/>
      <c r="B7" s="31">
        <v>1.3</v>
      </c>
      <c r="C7" s="32"/>
      <c r="D7" s="32"/>
      <c r="E7" s="32"/>
      <c r="F7" s="32"/>
      <c r="G7" s="32"/>
      <c r="H7" s="32"/>
      <c r="I7" s="32"/>
      <c r="J7" s="31"/>
      <c r="K7" s="32"/>
      <c r="L7" s="32"/>
      <c r="M7" s="32"/>
      <c r="N7" s="32"/>
      <c r="O7" s="32"/>
      <c r="P7" s="32"/>
      <c r="Q7" s="32"/>
      <c r="R7" s="32"/>
    </row>
    <row r="8" spans="1:18" hidden="1">
      <c r="A8" s="370"/>
      <c r="B8" s="31">
        <v>1.4</v>
      </c>
      <c r="C8" s="32"/>
      <c r="D8" s="32"/>
      <c r="E8" s="32"/>
      <c r="F8" s="32"/>
      <c r="G8" s="32"/>
      <c r="H8" s="32"/>
      <c r="I8" s="32"/>
      <c r="J8" s="31"/>
      <c r="K8" s="32"/>
      <c r="L8" s="32"/>
      <c r="M8" s="32"/>
      <c r="N8" s="32"/>
      <c r="O8" s="32"/>
      <c r="P8" s="32"/>
      <c r="Q8" s="32"/>
      <c r="R8" s="32"/>
    </row>
    <row r="9" spans="1:18">
      <c r="A9" s="370" t="s">
        <v>54</v>
      </c>
      <c r="B9" s="32" t="s">
        <v>54</v>
      </c>
      <c r="C9" s="50"/>
      <c r="D9" s="50"/>
      <c r="E9" s="50"/>
      <c r="F9" s="50"/>
      <c r="G9" s="50"/>
      <c r="H9" s="50"/>
      <c r="I9" s="50"/>
      <c r="J9" s="31"/>
      <c r="K9" s="50"/>
      <c r="L9" s="50"/>
      <c r="M9" s="50"/>
      <c r="N9" s="50"/>
      <c r="O9" s="50"/>
      <c r="P9" s="50"/>
      <c r="Q9" s="50"/>
      <c r="R9" s="50"/>
    </row>
    <row r="10" spans="1:18">
      <c r="A10" s="370"/>
      <c r="B10" s="31">
        <v>2.1</v>
      </c>
      <c r="C10" s="50"/>
      <c r="D10" s="50"/>
      <c r="E10" s="50"/>
      <c r="F10" s="50"/>
      <c r="G10" s="50"/>
      <c r="H10" s="50"/>
      <c r="I10" s="50"/>
      <c r="J10" s="31"/>
      <c r="K10" s="50"/>
      <c r="L10" s="50"/>
      <c r="M10" s="50"/>
      <c r="N10" s="50"/>
      <c r="O10" s="50"/>
      <c r="P10" s="50"/>
      <c r="Q10" s="50"/>
      <c r="R10" s="50"/>
    </row>
    <row r="11" spans="1:18">
      <c r="A11" s="370"/>
      <c r="B11" s="31">
        <v>2.2000000000000002</v>
      </c>
      <c r="C11" s="50"/>
      <c r="D11" s="50"/>
      <c r="E11" s="50"/>
      <c r="F11" s="50"/>
      <c r="G11" s="50"/>
      <c r="H11" s="50"/>
      <c r="I11" s="50"/>
      <c r="J11" s="31"/>
      <c r="K11" s="50"/>
      <c r="L11" s="50"/>
      <c r="M11" s="50"/>
      <c r="N11" s="50"/>
      <c r="O11" s="50"/>
      <c r="P11" s="50"/>
      <c r="Q11" s="50"/>
      <c r="R11" s="50"/>
    </row>
    <row r="12" spans="1:18">
      <c r="A12" s="370"/>
      <c r="B12" s="31">
        <v>2.2999999999999998</v>
      </c>
      <c r="C12" s="50"/>
      <c r="D12" s="50"/>
      <c r="E12" s="50"/>
      <c r="F12" s="50"/>
      <c r="G12" s="50"/>
      <c r="H12" s="50"/>
      <c r="I12" s="50"/>
      <c r="J12" s="31"/>
      <c r="K12" s="32"/>
      <c r="L12" s="32"/>
      <c r="M12" s="32"/>
      <c r="N12" s="32"/>
      <c r="O12" s="32"/>
      <c r="P12" s="32"/>
      <c r="Q12" s="32"/>
      <c r="R12" s="32"/>
    </row>
    <row r="13" spans="1:18">
      <c r="A13" s="370"/>
      <c r="B13" s="31">
        <v>2.4</v>
      </c>
      <c r="C13" s="50"/>
      <c r="D13" s="50"/>
      <c r="E13" s="50"/>
      <c r="F13" s="50"/>
      <c r="G13" s="50"/>
      <c r="H13" s="50"/>
      <c r="I13" s="50"/>
      <c r="J13" s="31"/>
      <c r="K13" s="32"/>
      <c r="L13" s="32"/>
      <c r="M13" s="32"/>
      <c r="N13" s="32"/>
      <c r="O13" s="32"/>
      <c r="P13" s="32"/>
      <c r="Q13" s="32"/>
      <c r="R13" s="32"/>
    </row>
    <row r="14" spans="1:18">
      <c r="A14" s="370"/>
      <c r="B14" s="31">
        <v>2.5</v>
      </c>
      <c r="C14" s="32"/>
      <c r="D14" s="32"/>
      <c r="E14" s="32"/>
      <c r="F14" s="32"/>
      <c r="G14" s="32"/>
      <c r="H14" s="32"/>
      <c r="I14" s="32"/>
      <c r="J14" s="31"/>
      <c r="K14" s="32"/>
      <c r="L14" s="32"/>
      <c r="M14" s="32"/>
      <c r="N14" s="32"/>
      <c r="O14" s="32"/>
      <c r="P14" s="32"/>
      <c r="Q14" s="32"/>
      <c r="R14" s="32"/>
    </row>
    <row r="15" spans="1:18">
      <c r="A15" s="370"/>
      <c r="B15" s="31">
        <v>2.6</v>
      </c>
      <c r="C15" s="32"/>
      <c r="D15" s="32"/>
      <c r="E15" s="32"/>
      <c r="F15" s="32"/>
      <c r="G15" s="32"/>
      <c r="H15" s="32"/>
      <c r="I15" s="32"/>
      <c r="J15" s="31"/>
      <c r="K15" s="32"/>
      <c r="L15" s="32"/>
      <c r="M15" s="32"/>
      <c r="N15" s="32"/>
      <c r="O15" s="32"/>
      <c r="P15" s="32"/>
      <c r="Q15" s="32"/>
      <c r="R15" s="32"/>
    </row>
    <row r="16" spans="1:18">
      <c r="A16" s="370"/>
      <c r="B16" s="31">
        <v>2.7</v>
      </c>
      <c r="C16" s="32"/>
      <c r="D16" s="32"/>
      <c r="E16" s="32"/>
      <c r="F16" s="32"/>
      <c r="G16" s="32"/>
      <c r="H16" s="32"/>
      <c r="I16" s="32"/>
      <c r="J16" s="31"/>
      <c r="K16" s="32"/>
      <c r="L16" s="32"/>
      <c r="M16" s="32"/>
      <c r="N16" s="32"/>
      <c r="O16" s="32"/>
      <c r="P16" s="32"/>
      <c r="Q16" s="32"/>
      <c r="R16" s="32"/>
    </row>
    <row r="17" spans="1:18">
      <c r="A17" s="370"/>
      <c r="B17" s="31">
        <v>2.8</v>
      </c>
      <c r="C17" s="32"/>
      <c r="D17" s="32"/>
      <c r="E17" s="32"/>
      <c r="F17" s="32"/>
      <c r="G17" s="32"/>
      <c r="H17" s="32"/>
      <c r="I17" s="32"/>
      <c r="J17" s="31"/>
      <c r="K17" s="32"/>
      <c r="L17" s="32"/>
      <c r="M17" s="32"/>
      <c r="N17" s="32"/>
      <c r="O17" s="32"/>
      <c r="P17" s="32"/>
      <c r="Q17" s="32"/>
      <c r="R17" s="32"/>
    </row>
    <row r="18" spans="1:18">
      <c r="A18" s="370" t="s">
        <v>56</v>
      </c>
      <c r="B18" s="32" t="s">
        <v>56</v>
      </c>
      <c r="C18" s="50"/>
      <c r="D18" s="50"/>
      <c r="E18" s="50"/>
      <c r="F18" s="50"/>
      <c r="G18" s="50"/>
      <c r="H18" s="50"/>
      <c r="I18" s="50"/>
      <c r="J18" s="31"/>
      <c r="K18" s="50"/>
      <c r="L18" s="50"/>
      <c r="M18" s="50"/>
      <c r="N18" s="50"/>
      <c r="O18" s="50"/>
      <c r="P18" s="50"/>
      <c r="Q18" s="50"/>
      <c r="R18" s="50"/>
    </row>
    <row r="19" spans="1:18">
      <c r="A19" s="370"/>
      <c r="B19" s="31">
        <v>3.1</v>
      </c>
      <c r="C19" s="50"/>
      <c r="D19" s="50"/>
      <c r="E19" s="50"/>
      <c r="F19" s="50"/>
      <c r="G19" s="50"/>
      <c r="H19" s="50"/>
      <c r="I19" s="50"/>
      <c r="J19" s="31"/>
      <c r="K19" s="50"/>
      <c r="L19" s="50"/>
      <c r="M19" s="50"/>
      <c r="N19" s="50"/>
      <c r="O19" s="50"/>
      <c r="P19" s="50"/>
      <c r="Q19" s="50"/>
      <c r="R19" s="50"/>
    </row>
    <row r="20" spans="1:18">
      <c r="A20" s="370"/>
      <c r="B20" s="31">
        <v>3.2</v>
      </c>
      <c r="C20" s="50"/>
      <c r="D20" s="50"/>
      <c r="E20" s="50"/>
      <c r="F20" s="50"/>
      <c r="G20" s="50"/>
      <c r="H20" s="50"/>
      <c r="I20" s="50"/>
      <c r="J20" s="31"/>
      <c r="K20" s="50"/>
      <c r="L20" s="50"/>
      <c r="M20" s="50"/>
      <c r="N20" s="50"/>
      <c r="O20" s="50"/>
      <c r="P20" s="50"/>
      <c r="Q20" s="50"/>
      <c r="R20" s="50"/>
    </row>
    <row r="21" spans="1:18">
      <c r="A21" s="370"/>
      <c r="B21" s="31">
        <v>3.3</v>
      </c>
      <c r="C21" s="32"/>
      <c r="D21" s="32"/>
      <c r="E21" s="32"/>
      <c r="F21" s="32"/>
      <c r="G21" s="32"/>
      <c r="H21" s="32"/>
      <c r="I21" s="32"/>
      <c r="J21" s="31"/>
      <c r="K21" s="50"/>
      <c r="L21" s="50"/>
      <c r="M21" s="50"/>
      <c r="N21" s="50"/>
      <c r="O21" s="50"/>
      <c r="P21" s="50"/>
      <c r="Q21" s="50"/>
      <c r="R21" s="50"/>
    </row>
    <row r="22" spans="1:18">
      <c r="A22" s="370"/>
      <c r="B22" s="31">
        <v>3.4</v>
      </c>
      <c r="C22" s="32"/>
      <c r="D22" s="32"/>
      <c r="E22" s="32"/>
      <c r="F22" s="32"/>
      <c r="G22" s="32"/>
      <c r="H22" s="32"/>
      <c r="I22" s="32"/>
      <c r="J22" s="31"/>
      <c r="K22" s="32"/>
      <c r="L22" s="32"/>
      <c r="M22" s="32"/>
      <c r="N22" s="32"/>
      <c r="O22" s="32"/>
      <c r="P22" s="32"/>
      <c r="Q22" s="32"/>
      <c r="R22" s="32"/>
    </row>
    <row r="23" spans="1:18">
      <c r="A23" s="370"/>
      <c r="B23" s="31">
        <v>3.5</v>
      </c>
      <c r="C23" s="32"/>
      <c r="D23" s="32"/>
      <c r="E23" s="32"/>
      <c r="F23" s="32"/>
      <c r="G23" s="32"/>
      <c r="H23" s="32"/>
      <c r="I23" s="32"/>
      <c r="J23" s="31"/>
      <c r="K23" s="32"/>
      <c r="L23" s="32"/>
      <c r="M23" s="32"/>
      <c r="N23" s="32"/>
      <c r="O23" s="32"/>
      <c r="P23" s="32"/>
      <c r="Q23" s="32"/>
      <c r="R23" s="32"/>
    </row>
    <row r="24" spans="1:18">
      <c r="A24" s="370"/>
      <c r="B24" s="31">
        <v>3.6</v>
      </c>
      <c r="C24" s="32"/>
      <c r="D24" s="32"/>
      <c r="E24" s="32"/>
      <c r="F24" s="32"/>
      <c r="G24" s="32"/>
      <c r="H24" s="32"/>
      <c r="I24" s="32"/>
      <c r="J24" s="31"/>
      <c r="K24" s="32"/>
      <c r="L24" s="32"/>
      <c r="M24" s="32"/>
      <c r="N24" s="32"/>
      <c r="O24" s="32"/>
      <c r="P24" s="32"/>
      <c r="Q24" s="32"/>
      <c r="R24" s="32"/>
    </row>
    <row r="25" spans="1:18">
      <c r="A25" s="370"/>
      <c r="B25" s="31">
        <v>3.7</v>
      </c>
      <c r="C25" s="32"/>
      <c r="D25" s="32"/>
      <c r="E25" s="32"/>
      <c r="F25" s="32"/>
      <c r="G25" s="32"/>
      <c r="H25" s="32"/>
      <c r="I25" s="32"/>
      <c r="J25" s="31"/>
      <c r="K25" s="32"/>
      <c r="L25" s="32"/>
      <c r="M25" s="32"/>
      <c r="N25" s="32"/>
      <c r="O25" s="32"/>
      <c r="P25" s="32"/>
      <c r="Q25" s="32"/>
      <c r="R25" s="32"/>
    </row>
    <row r="26" spans="1:18">
      <c r="A26" s="370" t="s">
        <v>410</v>
      </c>
      <c r="B26" s="32" t="s">
        <v>57</v>
      </c>
      <c r="C26" s="50"/>
      <c r="D26" s="50"/>
      <c r="E26" s="50"/>
      <c r="F26" s="50"/>
      <c r="G26" s="50"/>
      <c r="H26" s="50"/>
      <c r="I26" s="50"/>
      <c r="J26" s="31"/>
      <c r="K26" s="50"/>
      <c r="L26" s="50"/>
      <c r="M26" s="50"/>
      <c r="N26" s="50"/>
      <c r="O26" s="50"/>
      <c r="P26" s="50"/>
      <c r="Q26" s="50"/>
      <c r="R26" s="50"/>
    </row>
    <row r="27" spans="1:18">
      <c r="A27" s="370"/>
      <c r="B27" s="31">
        <v>4.0999999999999996</v>
      </c>
      <c r="C27" s="50"/>
      <c r="D27" s="50"/>
      <c r="E27" s="50"/>
      <c r="F27" s="50"/>
      <c r="G27" s="50"/>
      <c r="H27" s="50"/>
      <c r="I27" s="50"/>
      <c r="J27" s="31"/>
      <c r="K27" s="32"/>
      <c r="L27" s="32"/>
      <c r="M27" s="32"/>
      <c r="N27" s="32"/>
      <c r="O27" s="32"/>
      <c r="P27" s="32"/>
      <c r="Q27" s="32"/>
      <c r="R27" s="32"/>
    </row>
    <row r="28" spans="1:18">
      <c r="A28" s="370"/>
      <c r="B28" s="31">
        <v>4.2</v>
      </c>
      <c r="C28" s="32"/>
      <c r="D28" s="32"/>
      <c r="E28" s="32"/>
      <c r="F28" s="32"/>
      <c r="G28" s="32"/>
      <c r="H28" s="32"/>
      <c r="I28" s="32"/>
      <c r="J28" s="31"/>
      <c r="K28" s="32"/>
      <c r="L28" s="32"/>
      <c r="M28" s="32"/>
      <c r="N28" s="32"/>
      <c r="O28" s="32"/>
      <c r="P28" s="32"/>
      <c r="Q28" s="32"/>
      <c r="R28" s="32"/>
    </row>
    <row r="29" spans="1:18">
      <c r="A29" s="370"/>
      <c r="B29" s="31">
        <v>4.3</v>
      </c>
      <c r="C29" s="32"/>
      <c r="D29" s="32"/>
      <c r="E29" s="32"/>
      <c r="F29" s="32"/>
      <c r="G29" s="32"/>
      <c r="H29" s="32"/>
      <c r="I29" s="32"/>
      <c r="J29" s="31"/>
      <c r="K29" s="32"/>
      <c r="L29" s="32"/>
      <c r="M29" s="32"/>
      <c r="N29" s="32"/>
      <c r="O29" s="32"/>
      <c r="P29" s="32"/>
      <c r="Q29" s="32"/>
      <c r="R29" s="32"/>
    </row>
    <row r="30" spans="1:18">
      <c r="A30" s="370"/>
      <c r="B30" s="31">
        <v>4.4000000000000004</v>
      </c>
      <c r="C30" s="32"/>
      <c r="D30" s="32"/>
      <c r="E30" s="32"/>
      <c r="F30" s="32"/>
      <c r="G30" s="32"/>
      <c r="H30" s="32"/>
      <c r="I30" s="32"/>
      <c r="J30" s="31"/>
      <c r="K30" s="32"/>
      <c r="L30" s="32"/>
      <c r="M30" s="32"/>
      <c r="N30" s="32"/>
      <c r="O30" s="32"/>
      <c r="P30" s="32"/>
      <c r="Q30" s="32"/>
      <c r="R30" s="32"/>
    </row>
    <row r="31" spans="1:18">
      <c r="A31" s="370"/>
      <c r="B31" s="31">
        <v>4.5</v>
      </c>
      <c r="C31" s="32"/>
      <c r="D31" s="32"/>
      <c r="E31" s="32"/>
      <c r="F31" s="32"/>
      <c r="G31" s="32"/>
      <c r="H31" s="32"/>
      <c r="I31" s="32"/>
      <c r="J31" s="31"/>
      <c r="K31" s="32"/>
      <c r="L31" s="32"/>
      <c r="M31" s="32"/>
      <c r="N31" s="32"/>
      <c r="O31" s="32"/>
      <c r="P31" s="32"/>
      <c r="Q31" s="32"/>
      <c r="R31" s="32"/>
    </row>
    <row r="32" spans="1:18">
      <c r="A32" s="370" t="s">
        <v>58</v>
      </c>
      <c r="B32" s="32" t="s">
        <v>58</v>
      </c>
      <c r="C32" s="32"/>
      <c r="D32" s="32"/>
      <c r="E32" s="32"/>
      <c r="F32" s="32"/>
      <c r="G32" s="32"/>
      <c r="H32" s="32"/>
      <c r="I32" s="32"/>
      <c r="J32" s="31"/>
      <c r="K32" s="32"/>
      <c r="L32" s="32"/>
      <c r="M32" s="32"/>
      <c r="N32" s="32"/>
      <c r="O32" s="32"/>
      <c r="P32" s="32"/>
      <c r="Q32" s="32"/>
      <c r="R32" s="32"/>
    </row>
    <row r="33" spans="1:18">
      <c r="A33" s="370"/>
      <c r="B33" s="31">
        <v>5.0999999999999996</v>
      </c>
      <c r="C33" s="32"/>
      <c r="D33" s="32"/>
      <c r="E33" s="32"/>
      <c r="F33" s="32"/>
      <c r="G33" s="32"/>
      <c r="H33" s="32"/>
      <c r="I33" s="32"/>
      <c r="J33" s="31"/>
      <c r="K33" s="32"/>
      <c r="L33" s="32"/>
      <c r="M33" s="32"/>
      <c r="N33" s="32"/>
      <c r="O33" s="32"/>
      <c r="P33" s="32"/>
      <c r="Q33" s="32"/>
      <c r="R33" s="32"/>
    </row>
    <row r="34" spans="1:18">
      <c r="A34" s="370"/>
      <c r="B34" s="31">
        <v>5.2</v>
      </c>
      <c r="C34" s="32"/>
      <c r="D34" s="32"/>
      <c r="E34" s="32"/>
      <c r="F34" s="32"/>
      <c r="G34" s="32"/>
      <c r="H34" s="32"/>
      <c r="I34" s="32"/>
      <c r="J34" s="31"/>
      <c r="K34" s="32"/>
      <c r="L34" s="32"/>
      <c r="M34" s="32"/>
      <c r="N34" s="32"/>
      <c r="O34" s="32"/>
      <c r="P34" s="32"/>
      <c r="Q34" s="32"/>
      <c r="R34" s="32"/>
    </row>
    <row r="35" spans="1:18">
      <c r="A35" s="370"/>
      <c r="B35" s="31">
        <v>5.3</v>
      </c>
      <c r="C35" s="32"/>
      <c r="D35" s="32"/>
      <c r="E35" s="32"/>
      <c r="F35" s="32"/>
      <c r="G35" s="32"/>
      <c r="H35" s="32"/>
      <c r="I35" s="32"/>
      <c r="J35" s="31"/>
      <c r="K35" s="32"/>
      <c r="L35" s="32"/>
      <c r="M35" s="32"/>
      <c r="N35" s="32"/>
      <c r="O35" s="32"/>
      <c r="P35" s="32"/>
      <c r="Q35" s="32"/>
      <c r="R35" s="32"/>
    </row>
    <row r="39" spans="1:18" ht="15.5">
      <c r="A39" s="51" t="s">
        <v>71</v>
      </c>
    </row>
    <row r="40" spans="1:18" ht="15.5">
      <c r="A40" s="51" t="s">
        <v>72</v>
      </c>
    </row>
  </sheetData>
  <mergeCells count="7">
    <mergeCell ref="A32:A35"/>
    <mergeCell ref="A2:A3"/>
    <mergeCell ref="B2:B3"/>
    <mergeCell ref="A4:A8"/>
    <mergeCell ref="A9:A17"/>
    <mergeCell ref="A18:A25"/>
    <mergeCell ref="A26:A31"/>
  </mergeCells>
  <phoneticPr fontId="72" type="noConversion"/>
  <conditionalFormatting sqref="C4:D4 C28:D35 C14:I18 C21:D26 C27:I27 C5:I9 K6:R9">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9">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8">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6">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2">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1:I26 E28:I35">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2:L18 K22:L35">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2:O18 M22:O35 Q22:R35 Q12:R18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10:I13">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9:I20">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K10:O11 Q10:R11">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9:O21 Q19:R21">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2:P18 P22:P35">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10:P11">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9:P21">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328125" defaultRowHeight="14.5"/>
  <cols>
    <col min="2" max="2" width="16" customWidth="1"/>
    <col min="3" max="3" width="131.6328125" customWidth="1"/>
    <col min="4" max="16384" width="8.6328125" style="52"/>
  </cols>
  <sheetData>
    <row r="1" spans="1:3">
      <c r="A1" t="s">
        <v>73</v>
      </c>
      <c r="B1" t="s">
        <v>74</v>
      </c>
      <c r="C1" t="s">
        <v>75</v>
      </c>
    </row>
    <row r="2" spans="1:3">
      <c r="C2" s="311"/>
    </row>
    <row r="3" spans="1:3">
      <c r="C3" s="311"/>
    </row>
    <row r="4" spans="1:3">
      <c r="C4" s="311"/>
    </row>
    <row r="5" spans="1:3">
      <c r="C5" s="311"/>
    </row>
    <row r="6" spans="1:3">
      <c r="C6" s="311"/>
    </row>
    <row r="9" spans="1:3">
      <c r="C9" s="311"/>
    </row>
    <row r="10" spans="1:3">
      <c r="C10" s="310"/>
    </row>
    <row r="12" spans="1:3">
      <c r="C12" s="311"/>
    </row>
    <row r="13" spans="1:3">
      <c r="C13" s="311"/>
    </row>
    <row r="14" spans="1:3">
      <c r="C14" s="310"/>
    </row>
    <row r="16" spans="1:3">
      <c r="C16" s="311"/>
    </row>
    <row r="18" spans="3:3">
      <c r="C18" s="311"/>
    </row>
    <row r="19" spans="3:3">
      <c r="C19" s="311"/>
    </row>
    <row r="20" spans="3:3">
      <c r="C20" s="311"/>
    </row>
    <row r="21" spans="3:3">
      <c r="C21" s="311"/>
    </row>
    <row r="24" spans="3:3">
      <c r="C24" s="311"/>
    </row>
    <row r="26" spans="3:3">
      <c r="C26" s="311"/>
    </row>
  </sheetData>
  <phoneticPr fontId="7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328125" defaultRowHeight="14.5"/>
  <cols>
    <col min="1" max="1" width="12.453125" style="29" customWidth="1"/>
    <col min="2" max="2" width="16.453125" style="29" customWidth="1"/>
    <col min="3" max="3" width="28.36328125" style="29" customWidth="1"/>
    <col min="4" max="7" width="8.6328125" style="29"/>
    <col min="8" max="8" width="23.6328125" style="29" customWidth="1"/>
    <col min="9" max="10" width="19.90625" style="29" customWidth="1"/>
    <col min="11" max="11" width="22.36328125" style="29" customWidth="1"/>
    <col min="12" max="14" width="18.54296875" style="29" customWidth="1"/>
    <col min="15" max="15" width="7.36328125" style="44" customWidth="1"/>
    <col min="16" max="16" width="24.6328125" style="29" customWidth="1"/>
    <col min="17" max="17" width="7.36328125" style="29" customWidth="1"/>
    <col min="18" max="16384" width="8.6328125" style="29"/>
  </cols>
  <sheetData>
    <row r="2" spans="1:17" ht="52">
      <c r="A2" s="1" t="s">
        <v>76</v>
      </c>
      <c r="B2" s="53" t="s">
        <v>77</v>
      </c>
      <c r="C2" s="53" t="s">
        <v>78</v>
      </c>
      <c r="D2" s="54" t="s">
        <v>79</v>
      </c>
      <c r="E2" s="54" t="s">
        <v>80</v>
      </c>
      <c r="F2" s="54" t="s">
        <v>81</v>
      </c>
      <c r="G2" s="54" t="s">
        <v>82</v>
      </c>
      <c r="H2" s="2" t="s">
        <v>83</v>
      </c>
      <c r="I2" s="53" t="s">
        <v>411</v>
      </c>
      <c r="J2" s="53" t="s">
        <v>84</v>
      </c>
      <c r="K2" s="2" t="s">
        <v>85</v>
      </c>
      <c r="L2" s="53" t="s">
        <v>86</v>
      </c>
      <c r="M2" s="53" t="s">
        <v>87</v>
      </c>
      <c r="N2" s="2" t="s">
        <v>88</v>
      </c>
      <c r="O2" s="55" t="s">
        <v>89</v>
      </c>
      <c r="P2" s="2" t="s">
        <v>90</v>
      </c>
      <c r="Q2" s="13" t="s">
        <v>91</v>
      </c>
    </row>
    <row r="3" spans="1:17" s="57" customFormat="1" ht="13">
      <c r="A3" s="56" t="s">
        <v>92</v>
      </c>
      <c r="B3" s="19" t="s">
        <v>47</v>
      </c>
      <c r="C3" s="20"/>
      <c r="D3" s="20"/>
      <c r="E3" s="20"/>
      <c r="F3" s="20"/>
      <c r="G3" s="20"/>
      <c r="H3" s="20"/>
      <c r="I3" s="20"/>
      <c r="J3" s="20"/>
      <c r="K3" s="20"/>
      <c r="L3" s="8"/>
      <c r="M3" s="8"/>
      <c r="N3" s="8"/>
      <c r="O3" s="9"/>
      <c r="P3" s="10"/>
      <c r="Q3" s="9"/>
    </row>
    <row r="4" spans="1:17" s="59" customFormat="1" ht="51.65" customHeight="1">
      <c r="A4" s="58" t="s">
        <v>93</v>
      </c>
      <c r="B4" s="3" t="s">
        <v>94</v>
      </c>
      <c r="C4" s="374" t="s">
        <v>412</v>
      </c>
      <c r="D4" s="374"/>
      <c r="E4" s="374"/>
      <c r="F4" s="374"/>
      <c r="G4" s="374"/>
      <c r="H4" s="374"/>
      <c r="I4" s="22" t="s">
        <v>95</v>
      </c>
      <c r="J4" s="22" t="s">
        <v>96</v>
      </c>
      <c r="K4" s="11" t="s">
        <v>85</v>
      </c>
      <c r="L4" s="11"/>
      <c r="M4" s="11"/>
      <c r="N4" s="11"/>
      <c r="O4" s="9"/>
      <c r="P4" s="10"/>
      <c r="Q4" s="9"/>
    </row>
    <row r="5" spans="1:17" s="60" customFormat="1" ht="13">
      <c r="A5" s="56" t="s">
        <v>97</v>
      </c>
      <c r="B5" s="22" t="s">
        <v>94</v>
      </c>
      <c r="C5" s="375" t="s">
        <v>98</v>
      </c>
      <c r="D5" s="376"/>
      <c r="E5" s="376"/>
      <c r="F5" s="376"/>
      <c r="G5" s="376"/>
      <c r="H5" s="376"/>
      <c r="I5" s="376"/>
      <c r="J5" s="376"/>
      <c r="K5" s="377"/>
      <c r="L5" s="9"/>
      <c r="M5" s="9"/>
      <c r="N5" s="9"/>
      <c r="O5" s="9"/>
      <c r="P5" s="9"/>
      <c r="Q5" s="9"/>
    </row>
    <row r="6" spans="1:17" s="60" customFormat="1" ht="13">
      <c r="A6" s="56" t="s">
        <v>99</v>
      </c>
      <c r="B6" s="21" t="s">
        <v>94</v>
      </c>
      <c r="C6" s="378" t="s">
        <v>100</v>
      </c>
      <c r="D6" s="379"/>
      <c r="E6" s="379"/>
      <c r="F6" s="379"/>
      <c r="G6" s="380"/>
      <c r="H6" s="4" t="s">
        <v>101</v>
      </c>
      <c r="I6" s="9"/>
      <c r="J6" s="9"/>
      <c r="K6" s="9"/>
      <c r="L6" s="9"/>
      <c r="M6" s="9"/>
      <c r="N6" s="9"/>
      <c r="O6" s="9"/>
      <c r="P6" s="9"/>
      <c r="Q6" s="9"/>
    </row>
    <row r="7" spans="1:17" s="60" customFormat="1" ht="13">
      <c r="A7" s="5" t="s">
        <v>102</v>
      </c>
      <c r="B7" s="5" t="s">
        <v>100</v>
      </c>
      <c r="C7" s="61" t="s">
        <v>103</v>
      </c>
      <c r="D7" s="6" t="s">
        <v>104</v>
      </c>
      <c r="E7" s="6" t="s">
        <v>105</v>
      </c>
      <c r="F7" s="6" t="s">
        <v>106</v>
      </c>
      <c r="G7" s="6" t="s">
        <v>107</v>
      </c>
      <c r="H7" s="7"/>
      <c r="I7" s="9"/>
      <c r="J7" s="7"/>
      <c r="K7" s="12"/>
      <c r="L7" s="6"/>
      <c r="M7" s="6"/>
      <c r="N7" s="12"/>
      <c r="O7" s="7"/>
      <c r="P7" s="9"/>
      <c r="Q7" s="9"/>
    </row>
    <row r="8" spans="1:17" s="57" customFormat="1" ht="13">
      <c r="O8" s="60"/>
    </row>
    <row r="9" spans="1:17" s="57" customFormat="1" ht="13">
      <c r="O9" s="60"/>
    </row>
    <row r="19" spans="1:17" ht="54.65" customHeight="1">
      <c r="A19" s="58" t="s">
        <v>108</v>
      </c>
      <c r="B19" s="3" t="s">
        <v>94</v>
      </c>
      <c r="C19" s="374" t="s">
        <v>412</v>
      </c>
      <c r="D19" s="374"/>
      <c r="E19" s="374"/>
      <c r="F19" s="374"/>
      <c r="G19" s="374"/>
      <c r="H19" s="374"/>
      <c r="I19" s="22" t="s">
        <v>95</v>
      </c>
      <c r="J19" s="22" t="s">
        <v>96</v>
      </c>
      <c r="K19" s="11" t="s">
        <v>85</v>
      </c>
      <c r="L19" s="11"/>
      <c r="M19" s="11"/>
      <c r="N19" s="11"/>
      <c r="O19" s="381"/>
      <c r="P19" s="382"/>
      <c r="Q19" s="383"/>
    </row>
  </sheetData>
  <mergeCells count="5">
    <mergeCell ref="C4:H4"/>
    <mergeCell ref="C5:K5"/>
    <mergeCell ref="C6:G6"/>
    <mergeCell ref="C19:H19"/>
    <mergeCell ref="O19:Q19"/>
  </mergeCells>
  <phoneticPr fontId="7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heetViews>
  <sheetFormatPr defaultColWidth="8.6328125" defaultRowHeight="15.5"/>
  <cols>
    <col min="1" max="1" width="12.453125" style="65" customWidth="1"/>
    <col min="2" max="2" width="16.453125" style="65" customWidth="1"/>
    <col min="3" max="3" width="28.36328125" style="65" customWidth="1"/>
    <col min="4" max="7" width="8.6328125" style="65"/>
    <col min="8" max="8" width="23.6328125" style="65" customWidth="1"/>
    <col min="9" max="10" width="19.90625" style="65" customWidth="1"/>
    <col min="11" max="11" width="22.36328125" style="65" customWidth="1"/>
    <col min="12" max="14" width="18.54296875" style="65" customWidth="1"/>
    <col min="15" max="15" width="7.36328125" style="65" customWidth="1"/>
    <col min="16" max="16" width="24.6328125" style="65" customWidth="1"/>
    <col min="17" max="17" width="7.36328125" style="65" customWidth="1"/>
    <col min="18" max="16384" width="8.6328125" style="65"/>
  </cols>
  <sheetData>
    <row r="1" spans="1:17" s="63" customFormat="1" ht="21">
      <c r="A1" s="62" t="s">
        <v>413</v>
      </c>
    </row>
    <row r="2" spans="1:17" s="63" customFormat="1" ht="21">
      <c r="A2" s="62" t="s">
        <v>414</v>
      </c>
    </row>
    <row r="3" spans="1:17">
      <c r="A3" s="64" t="s">
        <v>415</v>
      </c>
      <c r="B3" s="65" t="s">
        <v>416</v>
      </c>
    </row>
    <row r="4" spans="1:17">
      <c r="A4" s="65" t="s">
        <v>417</v>
      </c>
      <c r="B4" s="65" t="s">
        <v>418</v>
      </c>
    </row>
    <row r="5" spans="1:17">
      <c r="A5" s="64" t="s">
        <v>419</v>
      </c>
      <c r="B5" s="65" t="s">
        <v>420</v>
      </c>
    </row>
    <row r="6" spans="1:17">
      <c r="A6" s="65" t="s">
        <v>421</v>
      </c>
      <c r="B6" s="65" t="s">
        <v>422</v>
      </c>
    </row>
    <row r="8" spans="1:17" s="66" customFormat="1" ht="52">
      <c r="A8" s="1" t="s">
        <v>76</v>
      </c>
      <c r="B8" s="53" t="s">
        <v>77</v>
      </c>
      <c r="C8" s="53" t="s">
        <v>78</v>
      </c>
      <c r="D8" s="54" t="s">
        <v>79</v>
      </c>
      <c r="E8" s="54" t="s">
        <v>80</v>
      </c>
      <c r="F8" s="54" t="s">
        <v>81</v>
      </c>
      <c r="G8" s="54" t="s">
        <v>82</v>
      </c>
      <c r="H8" s="2" t="s">
        <v>83</v>
      </c>
      <c r="I8" s="53" t="s">
        <v>411</v>
      </c>
      <c r="J8" s="53" t="s">
        <v>84</v>
      </c>
      <c r="K8" s="2" t="s">
        <v>85</v>
      </c>
      <c r="L8" s="53" t="s">
        <v>86</v>
      </c>
      <c r="M8" s="53" t="s">
        <v>87</v>
      </c>
      <c r="N8" s="2" t="s">
        <v>88</v>
      </c>
      <c r="O8" s="55" t="s">
        <v>89</v>
      </c>
      <c r="P8" s="2" t="s">
        <v>90</v>
      </c>
      <c r="Q8" s="13" t="s">
        <v>91</v>
      </c>
    </row>
  </sheetData>
  <phoneticPr fontId="72" type="noConversion"/>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5"/>
  <cols>
    <col min="1" max="1" width="26.6328125" customWidth="1"/>
    <col min="2" max="2" width="19.36328125" customWidth="1"/>
    <col min="3" max="3" width="29.36328125" customWidth="1"/>
    <col min="4" max="4" width="4.453125" style="302" customWidth="1"/>
    <col min="5" max="24" width="4.36328125" style="302" customWidth="1"/>
  </cols>
  <sheetData>
    <row r="1" spans="1:24" ht="31.5">
      <c r="A1" t="s">
        <v>429</v>
      </c>
      <c r="C1" t="s">
        <v>430</v>
      </c>
      <c r="E1" s="303" t="s">
        <v>30</v>
      </c>
      <c r="F1" s="303" t="s">
        <v>29</v>
      </c>
      <c r="G1" s="303" t="s">
        <v>33</v>
      </c>
      <c r="H1" s="303" t="s">
        <v>31</v>
      </c>
      <c r="I1" s="303" t="s">
        <v>34</v>
      </c>
      <c r="J1" s="303" t="s">
        <v>32</v>
      </c>
      <c r="K1" s="303" t="s">
        <v>37</v>
      </c>
      <c r="L1" s="303" t="s">
        <v>36</v>
      </c>
      <c r="M1" s="303" t="s">
        <v>35</v>
      </c>
      <c r="N1" s="303" t="s">
        <v>38</v>
      </c>
      <c r="O1" s="303" t="s">
        <v>39</v>
      </c>
      <c r="P1" s="303" t="s">
        <v>42</v>
      </c>
      <c r="Q1" s="303" t="s">
        <v>40</v>
      </c>
      <c r="R1" s="303" t="s">
        <v>41</v>
      </c>
      <c r="S1" s="303" t="s">
        <v>43</v>
      </c>
      <c r="T1" s="303" t="s">
        <v>45</v>
      </c>
      <c r="U1" s="303" t="s">
        <v>44</v>
      </c>
      <c r="V1" s="303" t="s">
        <v>46</v>
      </c>
      <c r="W1" s="303" t="s">
        <v>27</v>
      </c>
      <c r="X1" s="303" t="s">
        <v>28</v>
      </c>
    </row>
    <row r="2" spans="1:24">
      <c r="A2" t="s">
        <v>431</v>
      </c>
      <c r="B2" s="304"/>
      <c r="C2" s="304"/>
    </row>
    <row r="3" spans="1:24">
      <c r="A3" t="s">
        <v>432</v>
      </c>
      <c r="B3" s="304"/>
    </row>
    <row r="4" spans="1:24">
      <c r="A4" t="s">
        <v>433</v>
      </c>
      <c r="B4" s="304"/>
    </row>
    <row r="5" spans="1:24">
      <c r="B5" s="304"/>
    </row>
    <row r="6" spans="1:24">
      <c r="A6" t="s">
        <v>434</v>
      </c>
      <c r="B6" s="304"/>
      <c r="C6" s="304"/>
    </row>
    <row r="7" spans="1:24">
      <c r="B7" s="304"/>
    </row>
    <row r="8" spans="1:24">
      <c r="A8" t="s">
        <v>436</v>
      </c>
      <c r="B8" s="304"/>
      <c r="D8" s="302">
        <f>COUNTIF(E8:Y8,"x")</f>
        <v>0</v>
      </c>
    </row>
    <row r="9" spans="1:24">
      <c r="A9" t="s">
        <v>436</v>
      </c>
      <c r="B9" s="304"/>
      <c r="D9" s="302">
        <f t="shared" ref="D9:D14" si="0">COUNTIF(E9:Y9,"x")</f>
        <v>0</v>
      </c>
    </row>
    <row r="10" spans="1:24">
      <c r="A10" t="s">
        <v>436</v>
      </c>
      <c r="B10" s="304"/>
      <c r="D10" s="302">
        <f t="shared" si="0"/>
        <v>0</v>
      </c>
    </row>
    <row r="11" spans="1:24">
      <c r="A11" t="s">
        <v>436</v>
      </c>
      <c r="B11" s="304"/>
      <c r="D11" s="302">
        <f t="shared" si="0"/>
        <v>0</v>
      </c>
    </row>
    <row r="12" spans="1:24">
      <c r="A12" t="s">
        <v>436</v>
      </c>
      <c r="B12" s="304"/>
      <c r="D12" s="302">
        <f t="shared" si="0"/>
        <v>0</v>
      </c>
    </row>
    <row r="13" spans="1:24">
      <c r="A13" t="s">
        <v>436</v>
      </c>
      <c r="B13" s="304"/>
      <c r="D13" s="302">
        <f t="shared" si="0"/>
        <v>0</v>
      </c>
    </row>
    <row r="14" spans="1:24">
      <c r="A14" t="s">
        <v>436</v>
      </c>
      <c r="B14" s="304"/>
      <c r="D14" s="302">
        <f t="shared" si="0"/>
        <v>0</v>
      </c>
    </row>
    <row r="15" spans="1:24">
      <c r="B15" s="304"/>
      <c r="E15" s="302">
        <f t="shared" ref="E15:X15" si="1">COUNTIF(E6:E14,"x")</f>
        <v>0</v>
      </c>
      <c r="F15" s="302">
        <f t="shared" si="1"/>
        <v>0</v>
      </c>
      <c r="G15" s="302">
        <f t="shared" si="1"/>
        <v>0</v>
      </c>
      <c r="H15" s="302">
        <f t="shared" si="1"/>
        <v>0</v>
      </c>
      <c r="I15" s="302">
        <f t="shared" si="1"/>
        <v>0</v>
      </c>
      <c r="J15" s="302">
        <f t="shared" si="1"/>
        <v>0</v>
      </c>
      <c r="K15" s="302">
        <f t="shared" si="1"/>
        <v>0</v>
      </c>
      <c r="L15" s="302">
        <f t="shared" si="1"/>
        <v>0</v>
      </c>
      <c r="M15" s="302">
        <f t="shared" si="1"/>
        <v>0</v>
      </c>
      <c r="N15" s="302">
        <f t="shared" si="1"/>
        <v>0</v>
      </c>
      <c r="O15" s="302">
        <f t="shared" si="1"/>
        <v>0</v>
      </c>
      <c r="P15" s="302">
        <f t="shared" si="1"/>
        <v>0</v>
      </c>
      <c r="Q15" s="302">
        <f t="shared" si="1"/>
        <v>0</v>
      </c>
      <c r="R15" s="302">
        <f t="shared" si="1"/>
        <v>0</v>
      </c>
      <c r="S15" s="302">
        <f t="shared" si="1"/>
        <v>0</v>
      </c>
      <c r="T15" s="302">
        <f t="shared" si="1"/>
        <v>0</v>
      </c>
      <c r="U15" s="302">
        <f t="shared" si="1"/>
        <v>0</v>
      </c>
      <c r="V15" s="302">
        <f t="shared" si="1"/>
        <v>0</v>
      </c>
      <c r="W15" s="302">
        <f t="shared" si="1"/>
        <v>0</v>
      </c>
      <c r="X15" s="302">
        <f t="shared" si="1"/>
        <v>0</v>
      </c>
    </row>
    <row r="17" spans="3:3">
      <c r="C17" s="305" t="s">
        <v>437</v>
      </c>
    </row>
    <row r="18" spans="3:3">
      <c r="C18" s="306" t="s">
        <v>438</v>
      </c>
    </row>
    <row r="19" spans="3:3">
      <c r="C19" s="307" t="s">
        <v>439</v>
      </c>
    </row>
    <row r="20" spans="3:3">
      <c r="C20" s="308" t="s">
        <v>440</v>
      </c>
    </row>
  </sheetData>
  <phoneticPr fontId="72"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6B2B88"/>
  </sheetPr>
  <dimension ref="A1:R58"/>
  <sheetViews>
    <sheetView zoomScale="85" zoomScaleNormal="85" workbookViewId="0">
      <pane xSplit="2" ySplit="9" topLeftCell="E18" activePane="bottomRight" state="frozen"/>
      <selection activeCell="I11" sqref="I11:J14"/>
      <selection pane="topRight" activeCell="I11" sqref="I11:J14"/>
      <selection pane="bottomLeft" activeCell="I11" sqref="I11:J14"/>
      <selection pane="bottomRight" activeCell="E5" sqref="E5"/>
    </sheetView>
  </sheetViews>
  <sheetFormatPr defaultColWidth="8.81640625" defaultRowHeight="13"/>
  <cols>
    <col min="1" max="1" width="10.1796875" style="329" customWidth="1"/>
    <col min="2" max="2" width="88.81640625" style="329" customWidth="1"/>
    <col min="3" max="4" width="22" style="329" customWidth="1"/>
    <col min="5" max="5" width="84.1796875" style="329" bestFit="1" customWidth="1"/>
    <col min="6" max="6" width="84.1796875" style="329" customWidth="1"/>
    <col min="7" max="7" width="20.81640625" style="324" customWidth="1"/>
    <col min="8" max="11" width="8.81640625" style="324" customWidth="1"/>
    <col min="12" max="12" width="8.81640625" style="324"/>
    <col min="13" max="13" width="38.81640625" style="324" customWidth="1"/>
    <col min="14" max="18" width="8.81640625" style="324"/>
    <col min="19" max="16384" width="8.81640625" style="329"/>
  </cols>
  <sheetData>
    <row r="1" spans="1:18" s="322" customFormat="1" ht="26">
      <c r="A1" s="321" t="s">
        <v>380</v>
      </c>
      <c r="C1" s="323"/>
      <c r="G1" s="324"/>
      <c r="H1" s="324"/>
      <c r="I1" s="324"/>
      <c r="J1" s="324"/>
      <c r="K1" s="324"/>
      <c r="L1" s="324"/>
      <c r="M1" s="324"/>
      <c r="N1" s="324"/>
      <c r="O1" s="324"/>
      <c r="P1" s="324"/>
      <c r="Q1" s="324"/>
      <c r="R1" s="324"/>
    </row>
    <row r="2" spans="1:18" s="322" customFormat="1" ht="26">
      <c r="A2" s="321" t="s">
        <v>414</v>
      </c>
      <c r="C2" s="323"/>
      <c r="G2" s="324"/>
      <c r="H2" s="324"/>
      <c r="I2" s="324"/>
      <c r="J2" s="324"/>
      <c r="K2" s="324"/>
      <c r="L2" s="324"/>
      <c r="M2" s="324"/>
      <c r="N2" s="324"/>
      <c r="O2" s="324"/>
      <c r="P2" s="324"/>
      <c r="Q2" s="324"/>
      <c r="R2" s="324"/>
    </row>
    <row r="3" spans="1:18" s="322" customFormat="1">
      <c r="A3" s="325" t="s">
        <v>1660</v>
      </c>
      <c r="B3" s="322" t="s">
        <v>1661</v>
      </c>
      <c r="G3" s="324"/>
      <c r="H3" s="324"/>
      <c r="I3" s="324"/>
      <c r="J3" s="324"/>
      <c r="K3" s="324"/>
      <c r="L3" s="324"/>
      <c r="M3" s="324"/>
      <c r="N3" s="324"/>
      <c r="O3" s="324"/>
      <c r="P3" s="324"/>
      <c r="Q3" s="324"/>
      <c r="R3" s="324"/>
    </row>
    <row r="4" spans="1:18" s="322" customFormat="1">
      <c r="A4" s="325" t="s">
        <v>417</v>
      </c>
      <c r="B4" s="322" t="s">
        <v>418</v>
      </c>
      <c r="G4" s="324"/>
      <c r="H4" s="324"/>
      <c r="I4" s="324"/>
      <c r="J4" s="324"/>
      <c r="K4" s="324"/>
      <c r="L4" s="324"/>
      <c r="M4" s="324"/>
      <c r="N4" s="324"/>
      <c r="O4" s="324"/>
      <c r="P4" s="324"/>
      <c r="Q4" s="324"/>
      <c r="R4" s="324"/>
    </row>
    <row r="5" spans="1:18" s="322" customFormat="1">
      <c r="A5" s="322" t="s">
        <v>1662</v>
      </c>
      <c r="B5" s="322" t="s">
        <v>1663</v>
      </c>
      <c r="G5" s="324"/>
      <c r="H5" s="324"/>
      <c r="I5" s="324"/>
      <c r="J5" s="324"/>
      <c r="K5" s="324"/>
      <c r="L5" s="324"/>
      <c r="M5" s="324"/>
      <c r="N5" s="324"/>
      <c r="O5" s="324"/>
      <c r="P5" s="324"/>
      <c r="Q5" s="324"/>
      <c r="R5" s="324"/>
    </row>
    <row r="6" spans="1:18" s="322" customFormat="1">
      <c r="A6" s="322" t="s">
        <v>421</v>
      </c>
      <c r="B6" s="322" t="s">
        <v>422</v>
      </c>
      <c r="G6" s="324"/>
      <c r="H6" s="324"/>
      <c r="I6" s="324"/>
      <c r="J6" s="324"/>
      <c r="K6" s="324"/>
      <c r="L6" s="324"/>
      <c r="M6" s="324"/>
      <c r="N6" s="324"/>
      <c r="O6" s="324"/>
      <c r="P6" s="324"/>
      <c r="Q6" s="324"/>
      <c r="R6" s="324"/>
    </row>
    <row r="7" spans="1:18" s="322" customFormat="1">
      <c r="G7" s="324"/>
      <c r="H7" s="324"/>
      <c r="I7" s="324"/>
      <c r="J7" s="324"/>
      <c r="K7" s="324"/>
      <c r="L7" s="324"/>
      <c r="M7" s="324"/>
      <c r="N7" s="324"/>
      <c r="O7" s="324"/>
      <c r="P7" s="324"/>
      <c r="Q7" s="324"/>
      <c r="R7" s="324"/>
    </row>
    <row r="8" spans="1:18">
      <c r="A8" s="326"/>
      <c r="B8" s="326"/>
      <c r="C8" s="326" t="s">
        <v>96</v>
      </c>
      <c r="D8" s="326" t="s">
        <v>562</v>
      </c>
      <c r="E8" s="326" t="s">
        <v>85</v>
      </c>
      <c r="F8" s="327" t="s">
        <v>1664</v>
      </c>
      <c r="G8" s="328"/>
    </row>
    <row r="9" spans="1:18" s="335" customFormat="1">
      <c r="A9" s="330" t="s">
        <v>47</v>
      </c>
      <c r="B9" s="330"/>
      <c r="C9" s="331"/>
      <c r="D9" s="331"/>
      <c r="E9" s="331"/>
      <c r="F9" s="332"/>
      <c r="G9" s="333"/>
      <c r="H9" s="334"/>
      <c r="I9" s="334"/>
      <c r="J9" s="334"/>
      <c r="K9" s="334"/>
      <c r="L9" s="333"/>
      <c r="M9" s="333"/>
      <c r="N9" s="333"/>
      <c r="O9" s="333"/>
      <c r="P9" s="333"/>
      <c r="Q9" s="333"/>
      <c r="R9" s="333"/>
    </row>
    <row r="10" spans="1:18" s="325" customFormat="1" ht="117">
      <c r="A10" s="3" t="s">
        <v>94</v>
      </c>
      <c r="B10" s="3" t="s">
        <v>1665</v>
      </c>
      <c r="C10" s="336" t="s">
        <v>2051</v>
      </c>
      <c r="D10" s="336" t="s">
        <v>1666</v>
      </c>
      <c r="E10" s="336" t="s">
        <v>2049</v>
      </c>
      <c r="F10" s="337" t="s">
        <v>1667</v>
      </c>
      <c r="G10" s="333"/>
      <c r="H10" s="334"/>
      <c r="I10" s="334"/>
      <c r="J10" s="334"/>
      <c r="K10" s="334"/>
      <c r="L10" s="333"/>
      <c r="M10" s="333"/>
      <c r="N10" s="333"/>
      <c r="O10" s="333"/>
      <c r="P10" s="333"/>
      <c r="Q10" s="333"/>
      <c r="R10" s="333"/>
    </row>
    <row r="11" spans="1:18" s="325" customFormat="1">
      <c r="A11" s="330" t="s">
        <v>54</v>
      </c>
      <c r="B11" s="330"/>
      <c r="C11" s="331"/>
      <c r="D11" s="331"/>
      <c r="E11" s="331"/>
      <c r="F11" s="332"/>
      <c r="G11" s="333"/>
      <c r="H11" s="334"/>
      <c r="I11" s="334"/>
      <c r="J11" s="334"/>
      <c r="K11" s="334"/>
      <c r="L11" s="333"/>
      <c r="M11" s="333"/>
      <c r="N11" s="333"/>
      <c r="O11" s="333"/>
      <c r="P11" s="333"/>
      <c r="Q11" s="333"/>
      <c r="R11" s="333"/>
    </row>
    <row r="12" spans="1:18" s="325" customFormat="1" ht="78">
      <c r="A12" s="3" t="s">
        <v>381</v>
      </c>
      <c r="B12" s="3" t="s">
        <v>382</v>
      </c>
      <c r="C12" s="336" t="s">
        <v>1668</v>
      </c>
      <c r="D12" s="336" t="s">
        <v>2052</v>
      </c>
      <c r="E12" s="336" t="s">
        <v>2050</v>
      </c>
      <c r="F12" s="337" t="s">
        <v>1669</v>
      </c>
      <c r="G12" s="333"/>
      <c r="H12" s="334"/>
      <c r="I12" s="334"/>
      <c r="J12" s="334"/>
      <c r="K12" s="334"/>
      <c r="L12" s="333"/>
      <c r="M12" s="333"/>
      <c r="N12" s="333"/>
      <c r="O12" s="333"/>
      <c r="P12" s="333"/>
      <c r="Q12" s="333"/>
      <c r="R12" s="333"/>
    </row>
    <row r="13" spans="1:18" s="325" customFormat="1" ht="65">
      <c r="A13" s="3" t="s">
        <v>383</v>
      </c>
      <c r="B13" s="3" t="s">
        <v>1670</v>
      </c>
      <c r="C13" s="336" t="s">
        <v>540</v>
      </c>
      <c r="D13" s="336" t="s">
        <v>2053</v>
      </c>
      <c r="E13" s="336" t="s">
        <v>1671</v>
      </c>
      <c r="F13" s="337" t="s">
        <v>1672</v>
      </c>
      <c r="G13" s="333"/>
      <c r="H13" s="334"/>
      <c r="I13" s="334"/>
      <c r="J13" s="334"/>
      <c r="K13" s="334"/>
      <c r="L13" s="333"/>
      <c r="M13" s="333"/>
      <c r="N13" s="333"/>
      <c r="O13" s="333"/>
      <c r="P13" s="333"/>
      <c r="Q13" s="333"/>
      <c r="R13" s="333"/>
    </row>
    <row r="14" spans="1:18" s="148" customFormat="1" ht="91">
      <c r="A14" s="3" t="s">
        <v>384</v>
      </c>
      <c r="B14" s="3" t="s">
        <v>385</v>
      </c>
      <c r="C14" s="336" t="s">
        <v>1673</v>
      </c>
      <c r="D14" s="336" t="s">
        <v>1674</v>
      </c>
      <c r="E14" s="336" t="s">
        <v>541</v>
      </c>
      <c r="F14" s="337" t="s">
        <v>1675</v>
      </c>
      <c r="G14" s="333"/>
      <c r="H14" s="334"/>
      <c r="I14" s="334"/>
      <c r="J14" s="334"/>
      <c r="K14" s="334"/>
      <c r="L14" s="333"/>
      <c r="M14" s="333"/>
      <c r="N14" s="333"/>
      <c r="O14" s="333"/>
      <c r="P14" s="333"/>
      <c r="Q14" s="333"/>
      <c r="R14" s="333"/>
    </row>
    <row r="15" spans="1:18" s="148" customFormat="1" ht="78">
      <c r="A15" s="3" t="s">
        <v>386</v>
      </c>
      <c r="B15" s="3" t="s">
        <v>387</v>
      </c>
      <c r="C15" s="336" t="s">
        <v>1676</v>
      </c>
      <c r="D15" s="336" t="s">
        <v>542</v>
      </c>
      <c r="E15" s="336" t="s">
        <v>2048</v>
      </c>
      <c r="F15" s="337" t="s">
        <v>1675</v>
      </c>
      <c r="G15" s="333"/>
      <c r="H15" s="334"/>
      <c r="I15" s="334"/>
      <c r="J15" s="334"/>
      <c r="K15" s="334"/>
      <c r="L15" s="333"/>
      <c r="M15" s="333"/>
      <c r="N15" s="333"/>
      <c r="O15" s="333"/>
      <c r="P15" s="333"/>
      <c r="Q15" s="333"/>
      <c r="R15" s="333"/>
    </row>
    <row r="16" spans="1:18" s="93" customFormat="1">
      <c r="A16" s="330" t="s">
        <v>56</v>
      </c>
      <c r="B16" s="330"/>
      <c r="C16" s="338"/>
      <c r="D16" s="331"/>
      <c r="E16" s="331"/>
      <c r="F16" s="332"/>
      <c r="G16" s="333"/>
      <c r="H16" s="334"/>
      <c r="I16" s="334"/>
      <c r="J16" s="334"/>
      <c r="K16" s="334"/>
      <c r="L16" s="333"/>
      <c r="M16" s="333"/>
      <c r="N16" s="333"/>
      <c r="O16" s="333"/>
      <c r="P16" s="333"/>
      <c r="Q16" s="333"/>
      <c r="R16" s="333"/>
    </row>
    <row r="17" spans="1:18" s="325" customFormat="1" ht="104">
      <c r="A17" s="3" t="s">
        <v>388</v>
      </c>
      <c r="B17" s="3" t="s">
        <v>1677</v>
      </c>
      <c r="C17" s="336" t="s">
        <v>543</v>
      </c>
      <c r="D17" s="336" t="s">
        <v>2054</v>
      </c>
      <c r="E17" s="336" t="s">
        <v>2055</v>
      </c>
      <c r="F17" s="337" t="s">
        <v>1678</v>
      </c>
      <c r="G17" s="333"/>
      <c r="H17" s="334"/>
      <c r="I17" s="334"/>
      <c r="J17" s="334"/>
      <c r="K17" s="334"/>
      <c r="L17" s="333"/>
      <c r="M17" s="333"/>
      <c r="N17" s="333"/>
      <c r="O17" s="333"/>
      <c r="P17" s="333"/>
      <c r="Q17" s="333"/>
      <c r="R17" s="333"/>
    </row>
    <row r="18" spans="1:18" s="148" customFormat="1" ht="39">
      <c r="A18" s="3" t="s">
        <v>389</v>
      </c>
      <c r="B18" s="3" t="s">
        <v>1679</v>
      </c>
      <c r="C18" s="336" t="s">
        <v>544</v>
      </c>
      <c r="D18" s="3"/>
      <c r="E18" s="336" t="s">
        <v>2056</v>
      </c>
      <c r="F18" s="337" t="s">
        <v>1680</v>
      </c>
      <c r="G18" s="333"/>
      <c r="H18" s="334"/>
      <c r="I18" s="334"/>
      <c r="J18" s="334"/>
      <c r="K18" s="334"/>
      <c r="L18" s="333"/>
      <c r="M18" s="333"/>
      <c r="N18" s="333"/>
      <c r="O18" s="333"/>
      <c r="P18" s="333"/>
      <c r="Q18" s="333"/>
      <c r="R18" s="333"/>
    </row>
    <row r="19" spans="1:18" s="148" customFormat="1">
      <c r="A19" s="330" t="s">
        <v>57</v>
      </c>
      <c r="B19" s="330"/>
      <c r="C19" s="331"/>
      <c r="D19" s="331"/>
      <c r="E19" s="331"/>
      <c r="F19" s="332"/>
      <c r="G19" s="333"/>
      <c r="H19" s="334"/>
      <c r="I19" s="334"/>
      <c r="J19" s="334"/>
      <c r="K19" s="334"/>
      <c r="L19" s="333"/>
      <c r="M19" s="333"/>
      <c r="N19" s="333"/>
      <c r="O19" s="333"/>
      <c r="P19" s="333"/>
      <c r="Q19" s="333"/>
      <c r="R19" s="333"/>
    </row>
    <row r="20" spans="1:18" s="93" customFormat="1" ht="104">
      <c r="A20" s="3" t="s">
        <v>390</v>
      </c>
      <c r="B20" s="3" t="s">
        <v>1681</v>
      </c>
      <c r="C20" s="336" t="s">
        <v>1682</v>
      </c>
      <c r="D20" s="3"/>
      <c r="E20" s="336" t="s">
        <v>1683</v>
      </c>
      <c r="F20" s="337" t="s">
        <v>1684</v>
      </c>
      <c r="G20" s="333"/>
      <c r="H20" s="334"/>
      <c r="I20" s="334"/>
      <c r="J20" s="334"/>
      <c r="K20" s="334"/>
      <c r="L20" s="333"/>
      <c r="M20" s="333"/>
      <c r="N20" s="333"/>
      <c r="O20" s="333"/>
      <c r="P20" s="333"/>
      <c r="Q20" s="333"/>
      <c r="R20" s="333"/>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6B2B88"/>
  </sheetPr>
  <dimension ref="A1:W64"/>
  <sheetViews>
    <sheetView zoomScale="70" zoomScaleNormal="70" workbookViewId="0">
      <pane xSplit="2" ySplit="9" topLeftCell="C13"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67.1796875" style="329" customWidth="1"/>
    <col min="3" max="4" width="29.6328125" style="329" customWidth="1"/>
    <col min="5" max="5" width="83.453125" style="329" customWidth="1"/>
    <col min="6" max="6" width="31.1796875" style="329" customWidth="1"/>
    <col min="7" max="7" width="24.81640625" style="324" customWidth="1"/>
    <col min="8" max="11" width="8.81640625" style="322"/>
    <col min="12" max="23" width="8.81640625" style="324"/>
    <col min="24" max="16384" width="8.81640625" style="329"/>
  </cols>
  <sheetData>
    <row r="1" spans="1:23" s="322" customFormat="1" ht="26">
      <c r="A1" s="321" t="s">
        <v>370</v>
      </c>
      <c r="C1" s="323"/>
      <c r="G1" s="324"/>
      <c r="L1" s="324"/>
      <c r="M1" s="324"/>
      <c r="N1" s="324"/>
      <c r="O1" s="324"/>
      <c r="P1" s="324"/>
      <c r="Q1" s="324"/>
      <c r="R1" s="324"/>
      <c r="S1" s="324"/>
      <c r="T1" s="324"/>
      <c r="U1" s="324"/>
      <c r="V1" s="324"/>
      <c r="W1" s="324"/>
    </row>
    <row r="2" spans="1:23" s="322" customFormat="1" ht="26">
      <c r="A2" s="321" t="s">
        <v>1685</v>
      </c>
      <c r="C2" s="323"/>
      <c r="G2" s="324"/>
      <c r="L2" s="324"/>
      <c r="M2" s="324"/>
      <c r="N2" s="324"/>
      <c r="O2" s="324"/>
      <c r="P2" s="324"/>
      <c r="Q2" s="324"/>
      <c r="R2" s="324"/>
      <c r="S2" s="324"/>
      <c r="T2" s="324"/>
      <c r="U2" s="324"/>
      <c r="V2" s="324"/>
      <c r="W2" s="324"/>
    </row>
    <row r="3" spans="1:23" s="322" customFormat="1">
      <c r="A3" s="325" t="s">
        <v>1686</v>
      </c>
      <c r="B3" s="322" t="s">
        <v>1687</v>
      </c>
      <c r="G3" s="324"/>
      <c r="L3" s="324"/>
      <c r="M3" s="324"/>
      <c r="N3" s="324"/>
      <c r="O3" s="324"/>
      <c r="P3" s="324"/>
      <c r="Q3" s="324"/>
      <c r="R3" s="324"/>
      <c r="S3" s="324"/>
      <c r="T3" s="324"/>
      <c r="U3" s="324"/>
      <c r="V3" s="324"/>
      <c r="W3" s="324"/>
    </row>
    <row r="4" spans="1:23" s="322" customFormat="1">
      <c r="A4" s="325" t="s">
        <v>417</v>
      </c>
      <c r="B4" s="322" t="s">
        <v>1688</v>
      </c>
      <c r="G4" s="324"/>
      <c r="L4" s="324"/>
      <c r="M4" s="324"/>
      <c r="N4" s="324"/>
      <c r="O4" s="324"/>
      <c r="P4" s="324"/>
      <c r="Q4" s="324"/>
      <c r="R4" s="324"/>
      <c r="S4" s="324"/>
      <c r="T4" s="324"/>
      <c r="U4" s="324"/>
      <c r="V4" s="324"/>
      <c r="W4" s="324"/>
    </row>
    <row r="5" spans="1:23" s="322" customFormat="1">
      <c r="A5" s="322" t="s">
        <v>1689</v>
      </c>
      <c r="B5" s="322" t="s">
        <v>1690</v>
      </c>
      <c r="G5" s="324"/>
      <c r="L5" s="324"/>
      <c r="M5" s="324"/>
      <c r="N5" s="324"/>
      <c r="O5" s="324"/>
      <c r="P5" s="324"/>
      <c r="Q5" s="324"/>
      <c r="R5" s="324"/>
      <c r="S5" s="324"/>
      <c r="T5" s="324"/>
      <c r="U5" s="324"/>
      <c r="V5" s="324"/>
      <c r="W5" s="324"/>
    </row>
    <row r="6" spans="1:23" s="322" customFormat="1">
      <c r="A6" s="322" t="s">
        <v>421</v>
      </c>
      <c r="B6" s="322" t="s">
        <v>1691</v>
      </c>
      <c r="G6" s="324"/>
      <c r="L6" s="324"/>
      <c r="M6" s="324"/>
      <c r="N6" s="324"/>
      <c r="O6" s="324"/>
      <c r="P6" s="324"/>
      <c r="Q6" s="324"/>
      <c r="R6" s="324"/>
      <c r="S6" s="324"/>
      <c r="T6" s="324"/>
      <c r="U6" s="324"/>
      <c r="V6" s="324"/>
      <c r="W6" s="324"/>
    </row>
    <row r="8" spans="1:23">
      <c r="A8" s="326"/>
      <c r="B8" s="326"/>
      <c r="C8" s="326" t="s">
        <v>96</v>
      </c>
      <c r="D8" s="326" t="s">
        <v>562</v>
      </c>
      <c r="E8" s="326" t="s">
        <v>85</v>
      </c>
      <c r="F8" s="326" t="s">
        <v>1664</v>
      </c>
      <c r="G8" s="341" t="s">
        <v>1692</v>
      </c>
      <c r="L8" s="329"/>
      <c r="M8" s="329"/>
      <c r="N8" s="329"/>
      <c r="O8" s="329"/>
      <c r="P8" s="329"/>
      <c r="Q8" s="329"/>
      <c r="R8" s="329"/>
      <c r="S8" s="329"/>
      <c r="T8" s="329"/>
      <c r="U8" s="329"/>
      <c r="V8" s="329"/>
      <c r="W8" s="329"/>
    </row>
    <row r="9" spans="1:23" s="346" customFormat="1">
      <c r="A9" s="342" t="s">
        <v>47</v>
      </c>
      <c r="B9" s="342"/>
      <c r="C9" s="343"/>
      <c r="D9" s="343"/>
      <c r="E9" s="343"/>
      <c r="F9" s="343"/>
      <c r="G9" s="344"/>
      <c r="H9" s="322"/>
      <c r="I9" s="322"/>
      <c r="J9" s="322"/>
      <c r="K9" s="322"/>
      <c r="L9" s="345"/>
      <c r="M9" s="345"/>
      <c r="N9" s="345"/>
      <c r="O9" s="345"/>
      <c r="P9" s="345"/>
      <c r="Q9" s="345"/>
      <c r="R9" s="345"/>
      <c r="S9" s="345"/>
      <c r="T9" s="345"/>
      <c r="U9" s="345"/>
      <c r="V9" s="345"/>
      <c r="W9" s="345"/>
    </row>
    <row r="10" spans="1:23" s="346" customFormat="1" ht="39">
      <c r="A10" s="22" t="s">
        <v>371</v>
      </c>
      <c r="B10" s="22" t="s">
        <v>1693</v>
      </c>
      <c r="C10" s="347" t="s">
        <v>1694</v>
      </c>
      <c r="D10" s="347" t="s">
        <v>1650</v>
      </c>
      <c r="E10" s="347" t="s">
        <v>372</v>
      </c>
      <c r="F10" s="347"/>
      <c r="G10" s="348"/>
      <c r="H10" s="322"/>
      <c r="I10" s="322"/>
      <c r="J10" s="322"/>
      <c r="K10" s="322"/>
      <c r="L10" s="345"/>
      <c r="M10" s="345"/>
      <c r="N10" s="345"/>
      <c r="O10" s="345"/>
      <c r="P10" s="345"/>
      <c r="Q10" s="345"/>
      <c r="R10" s="345"/>
      <c r="S10" s="345"/>
      <c r="T10" s="345"/>
      <c r="U10" s="345"/>
      <c r="V10" s="345"/>
      <c r="W10" s="345"/>
    </row>
    <row r="11" spans="1:23" s="139" customFormat="1">
      <c r="A11" s="342" t="s">
        <v>54</v>
      </c>
      <c r="B11" s="342"/>
      <c r="C11" s="343"/>
      <c r="D11" s="343"/>
      <c r="E11" s="343"/>
      <c r="F11" s="343"/>
      <c r="G11" s="344"/>
      <c r="H11" s="322"/>
      <c r="I11" s="322"/>
      <c r="J11" s="322"/>
      <c r="K11" s="322"/>
      <c r="L11" s="345"/>
      <c r="M11" s="345"/>
      <c r="N11" s="345"/>
      <c r="O11" s="345"/>
      <c r="P11" s="345"/>
      <c r="Q11" s="345"/>
      <c r="R11" s="345"/>
      <c r="S11" s="345"/>
      <c r="T11" s="345"/>
      <c r="U11" s="345"/>
      <c r="V11" s="345"/>
      <c r="W11" s="345"/>
    </row>
    <row r="12" spans="1:23" s="139" customFormat="1" ht="78">
      <c r="A12" s="22" t="s">
        <v>373</v>
      </c>
      <c r="B12" s="22" t="s">
        <v>1695</v>
      </c>
      <c r="C12" s="347" t="s">
        <v>1696</v>
      </c>
      <c r="D12" s="347" t="s">
        <v>374</v>
      </c>
      <c r="E12" s="347" t="s">
        <v>1651</v>
      </c>
      <c r="F12" s="22"/>
      <c r="G12" s="348" t="s">
        <v>1697</v>
      </c>
      <c r="H12" s="322"/>
      <c r="I12" s="322"/>
      <c r="J12" s="322"/>
      <c r="K12" s="322"/>
      <c r="L12" s="345"/>
      <c r="M12" s="345"/>
      <c r="N12" s="345"/>
      <c r="O12" s="345"/>
      <c r="P12" s="345"/>
      <c r="Q12" s="345"/>
      <c r="R12" s="345"/>
      <c r="S12" s="345"/>
      <c r="T12" s="345"/>
      <c r="U12" s="345"/>
      <c r="V12" s="345"/>
      <c r="W12" s="345"/>
    </row>
    <row r="13" spans="1:23" s="137" customFormat="1" ht="26">
      <c r="A13" s="22" t="s">
        <v>375</v>
      </c>
      <c r="B13" s="22" t="s">
        <v>1698</v>
      </c>
      <c r="C13" s="347" t="s">
        <v>539</v>
      </c>
      <c r="D13" s="347" t="s">
        <v>538</v>
      </c>
      <c r="E13" s="347" t="s">
        <v>1652</v>
      </c>
      <c r="F13" s="347"/>
      <c r="G13" s="348"/>
      <c r="H13" s="322"/>
      <c r="I13" s="322"/>
      <c r="J13" s="322"/>
      <c r="K13" s="322"/>
      <c r="L13" s="345"/>
      <c r="M13" s="345"/>
      <c r="N13" s="345"/>
      <c r="O13" s="345"/>
      <c r="P13" s="345"/>
      <c r="Q13" s="345"/>
      <c r="R13" s="345"/>
      <c r="S13" s="345"/>
      <c r="T13" s="345"/>
      <c r="U13" s="345"/>
      <c r="V13" s="345"/>
      <c r="W13" s="345"/>
    </row>
    <row r="14" spans="1:23" s="346" customFormat="1">
      <c r="A14" s="342" t="s">
        <v>56</v>
      </c>
      <c r="B14" s="342"/>
      <c r="C14" s="343"/>
      <c r="D14" s="343"/>
      <c r="E14" s="343"/>
      <c r="F14" s="343"/>
      <c r="G14" s="344"/>
      <c r="H14" s="322"/>
      <c r="I14" s="322"/>
      <c r="J14" s="322"/>
      <c r="K14" s="322"/>
      <c r="L14" s="345"/>
      <c r="M14" s="345"/>
      <c r="N14" s="345"/>
      <c r="O14" s="345"/>
      <c r="P14" s="345"/>
      <c r="Q14" s="345"/>
      <c r="R14" s="345"/>
      <c r="S14" s="345"/>
      <c r="T14" s="345"/>
      <c r="U14" s="345"/>
      <c r="V14" s="345"/>
      <c r="W14" s="345"/>
    </row>
    <row r="15" spans="1:23" s="346" customFormat="1" ht="65">
      <c r="A15" s="22" t="s">
        <v>376</v>
      </c>
      <c r="B15" s="22" t="s">
        <v>1699</v>
      </c>
      <c r="C15" s="347" t="s">
        <v>2057</v>
      </c>
      <c r="D15" s="347" t="s">
        <v>2058</v>
      </c>
      <c r="E15" s="347" t="s">
        <v>2059</v>
      </c>
      <c r="F15" s="347" t="s">
        <v>1700</v>
      </c>
      <c r="G15" s="349" t="s">
        <v>1701</v>
      </c>
      <c r="H15" s="322"/>
      <c r="I15" s="322"/>
      <c r="J15" s="322"/>
      <c r="K15" s="322"/>
      <c r="L15" s="345"/>
      <c r="M15" s="345"/>
      <c r="N15" s="345"/>
      <c r="O15" s="345"/>
      <c r="P15" s="345"/>
      <c r="Q15" s="345"/>
      <c r="R15" s="345"/>
      <c r="S15" s="345"/>
      <c r="T15" s="345"/>
      <c r="U15" s="345"/>
      <c r="V15" s="345"/>
      <c r="W15" s="345"/>
    </row>
    <row r="16" spans="1:23" s="139" customFormat="1" ht="26">
      <c r="A16" s="22" t="s">
        <v>377</v>
      </c>
      <c r="B16" s="22" t="s">
        <v>378</v>
      </c>
      <c r="C16" s="347" t="s">
        <v>1654</v>
      </c>
      <c r="D16" s="347" t="s">
        <v>1653</v>
      </c>
      <c r="E16" s="347" t="s">
        <v>1655</v>
      </c>
      <c r="F16" s="347"/>
      <c r="G16" s="349" t="s">
        <v>1702</v>
      </c>
      <c r="H16" s="322"/>
      <c r="I16" s="322"/>
      <c r="J16" s="322"/>
      <c r="K16" s="322"/>
      <c r="L16" s="345"/>
      <c r="M16" s="345"/>
      <c r="N16" s="345"/>
      <c r="O16" s="345"/>
      <c r="P16" s="345"/>
      <c r="Q16" s="345"/>
      <c r="R16" s="345"/>
      <c r="S16" s="345"/>
      <c r="T16" s="345"/>
      <c r="U16" s="345"/>
      <c r="V16" s="345"/>
      <c r="W16" s="345"/>
    </row>
    <row r="17" spans="1:23" s="139" customFormat="1" ht="39">
      <c r="A17" s="22" t="s">
        <v>379</v>
      </c>
      <c r="B17" s="22" t="s">
        <v>1703</v>
      </c>
      <c r="C17" s="347" t="s">
        <v>1704</v>
      </c>
      <c r="D17" s="347" t="s">
        <v>1656</v>
      </c>
      <c r="E17" s="347" t="s">
        <v>1657</v>
      </c>
      <c r="F17" s="347"/>
      <c r="G17" s="348"/>
      <c r="H17" s="322"/>
      <c r="I17" s="322"/>
      <c r="J17" s="322"/>
      <c r="K17" s="322"/>
      <c r="L17" s="345"/>
      <c r="M17" s="345"/>
      <c r="N17" s="345"/>
      <c r="O17" s="345"/>
      <c r="P17" s="345"/>
      <c r="Q17" s="345"/>
      <c r="R17" s="345"/>
      <c r="S17" s="345"/>
      <c r="T17" s="345"/>
      <c r="U17" s="345"/>
      <c r="V17" s="345"/>
      <c r="W17" s="345"/>
    </row>
    <row r="18" spans="1:23" s="339" customFormat="1">
      <c r="G18" s="324"/>
      <c r="H18" s="322"/>
      <c r="I18" s="322"/>
      <c r="J18" s="322"/>
      <c r="K18" s="322"/>
      <c r="L18" s="324"/>
      <c r="M18" s="324"/>
      <c r="N18" s="324"/>
      <c r="O18" s="324"/>
      <c r="P18" s="324"/>
      <c r="Q18" s="324"/>
      <c r="R18" s="324"/>
      <c r="S18" s="324"/>
      <c r="T18" s="324"/>
      <c r="U18" s="324"/>
      <c r="V18" s="324"/>
      <c r="W18" s="324"/>
    </row>
    <row r="19" spans="1:23" s="339" customFormat="1">
      <c r="G19" s="324"/>
      <c r="H19" s="322"/>
      <c r="I19" s="322"/>
      <c r="J19" s="322"/>
      <c r="K19" s="322"/>
      <c r="L19" s="324"/>
      <c r="M19" s="324"/>
      <c r="N19" s="324"/>
      <c r="O19" s="324"/>
      <c r="P19" s="324"/>
      <c r="Q19" s="324"/>
      <c r="R19" s="324"/>
      <c r="S19" s="324"/>
      <c r="T19" s="324"/>
      <c r="U19" s="324"/>
      <c r="V19" s="324"/>
      <c r="W19" s="324"/>
    </row>
    <row r="20" spans="1:23" s="339" customFormat="1">
      <c r="G20" s="324"/>
      <c r="H20" s="322"/>
      <c r="I20" s="322"/>
      <c r="J20" s="322"/>
      <c r="K20" s="322"/>
      <c r="L20" s="324"/>
      <c r="M20" s="324"/>
      <c r="N20" s="324"/>
      <c r="O20" s="324"/>
      <c r="P20" s="324"/>
      <c r="Q20" s="324"/>
      <c r="R20" s="324"/>
      <c r="S20" s="324"/>
      <c r="T20" s="324"/>
      <c r="U20" s="324"/>
      <c r="V20" s="324"/>
      <c r="W20" s="324"/>
    </row>
    <row r="21" spans="1:23" s="339" customFormat="1">
      <c r="G21" s="324"/>
      <c r="H21" s="322"/>
      <c r="I21" s="322"/>
      <c r="J21" s="322"/>
      <c r="K21" s="322"/>
      <c r="L21" s="324"/>
      <c r="M21" s="324"/>
      <c r="N21" s="324"/>
      <c r="O21" s="324"/>
      <c r="P21" s="324"/>
      <c r="Q21" s="324"/>
      <c r="R21" s="324"/>
      <c r="S21" s="324"/>
      <c r="T21" s="324"/>
      <c r="U21" s="324"/>
      <c r="V21" s="324"/>
      <c r="W21" s="324"/>
    </row>
    <row r="22" spans="1:23" s="339" customFormat="1">
      <c r="G22" s="324"/>
      <c r="H22" s="322"/>
      <c r="I22" s="322"/>
      <c r="J22" s="322"/>
      <c r="K22" s="322"/>
      <c r="L22" s="324"/>
      <c r="M22" s="324"/>
      <c r="N22" s="324"/>
      <c r="O22" s="324"/>
      <c r="P22" s="324"/>
      <c r="Q22" s="324"/>
      <c r="R22" s="324"/>
      <c r="S22" s="324"/>
      <c r="T22" s="324"/>
      <c r="U22" s="324"/>
      <c r="V22" s="324"/>
      <c r="W22" s="324"/>
    </row>
    <row r="23" spans="1:23" s="339" customFormat="1">
      <c r="G23" s="324"/>
      <c r="H23" s="322"/>
      <c r="I23" s="322"/>
      <c r="J23" s="322"/>
      <c r="K23" s="322"/>
      <c r="L23" s="324"/>
      <c r="M23" s="324"/>
      <c r="N23" s="324"/>
      <c r="O23" s="324"/>
      <c r="P23" s="324"/>
      <c r="Q23" s="324"/>
      <c r="R23" s="324"/>
      <c r="S23" s="324"/>
      <c r="T23" s="324"/>
      <c r="U23" s="324"/>
      <c r="V23" s="324"/>
      <c r="W23" s="324"/>
    </row>
    <row r="24" spans="1:23" s="339" customFormat="1">
      <c r="G24" s="324"/>
      <c r="H24" s="322"/>
      <c r="I24" s="322"/>
      <c r="J24" s="322"/>
      <c r="K24" s="322"/>
      <c r="L24" s="324"/>
      <c r="M24" s="324"/>
      <c r="N24" s="324"/>
      <c r="O24" s="324"/>
      <c r="P24" s="324"/>
      <c r="Q24" s="324"/>
      <c r="R24" s="324"/>
      <c r="S24" s="324"/>
      <c r="T24" s="324"/>
      <c r="U24" s="324"/>
      <c r="V24" s="324"/>
      <c r="W24" s="324"/>
    </row>
    <row r="25" spans="1:23" s="339" customFormat="1">
      <c r="G25" s="324"/>
      <c r="H25" s="322"/>
      <c r="I25" s="322"/>
      <c r="J25" s="322"/>
      <c r="K25" s="322"/>
      <c r="L25" s="324"/>
      <c r="M25" s="324"/>
      <c r="N25" s="324"/>
      <c r="O25" s="324"/>
      <c r="P25" s="324"/>
      <c r="Q25" s="324"/>
      <c r="R25" s="324"/>
      <c r="S25" s="324"/>
      <c r="T25" s="324"/>
      <c r="U25" s="324"/>
      <c r="V25" s="324"/>
      <c r="W25" s="324"/>
    </row>
    <row r="26" spans="1:23" s="339" customFormat="1">
      <c r="G26" s="324"/>
      <c r="H26" s="322"/>
      <c r="I26" s="322"/>
      <c r="J26" s="322"/>
      <c r="K26" s="322"/>
      <c r="L26" s="324"/>
      <c r="M26" s="324"/>
      <c r="N26" s="324"/>
      <c r="O26" s="324"/>
      <c r="P26" s="324"/>
      <c r="Q26" s="324"/>
      <c r="R26" s="324"/>
      <c r="S26" s="324"/>
      <c r="T26" s="324"/>
      <c r="U26" s="324"/>
      <c r="V26" s="324"/>
      <c r="W26" s="324"/>
    </row>
    <row r="27" spans="1:23" s="339" customFormat="1">
      <c r="G27" s="324"/>
      <c r="H27" s="322"/>
      <c r="I27" s="322"/>
      <c r="J27" s="322"/>
      <c r="K27" s="322"/>
      <c r="L27" s="324"/>
      <c r="M27" s="324"/>
      <c r="N27" s="324"/>
      <c r="O27" s="324"/>
      <c r="P27" s="324"/>
      <c r="Q27" s="324"/>
      <c r="R27" s="324"/>
      <c r="S27" s="324"/>
      <c r="T27" s="324"/>
      <c r="U27" s="324"/>
      <c r="V27" s="324"/>
      <c r="W27" s="324"/>
    </row>
    <row r="28" spans="1:23" s="339" customFormat="1">
      <c r="G28" s="324"/>
      <c r="H28" s="322"/>
      <c r="I28" s="322"/>
      <c r="J28" s="322"/>
      <c r="K28" s="322"/>
      <c r="L28" s="324"/>
      <c r="M28" s="324"/>
      <c r="N28" s="324"/>
      <c r="O28" s="324"/>
      <c r="P28" s="324"/>
      <c r="Q28" s="324"/>
      <c r="R28" s="324"/>
      <c r="S28" s="324"/>
      <c r="T28" s="324"/>
      <c r="U28" s="324"/>
      <c r="V28" s="324"/>
      <c r="W28" s="324"/>
    </row>
    <row r="29" spans="1:23" s="339" customFormat="1">
      <c r="G29" s="324"/>
      <c r="H29" s="322"/>
      <c r="I29" s="322"/>
      <c r="J29" s="322"/>
      <c r="K29" s="322"/>
      <c r="L29" s="324"/>
      <c r="M29" s="324"/>
      <c r="N29" s="324"/>
      <c r="O29" s="324"/>
      <c r="P29" s="324"/>
      <c r="Q29" s="324"/>
      <c r="R29" s="324"/>
      <c r="S29" s="324"/>
      <c r="T29" s="324"/>
      <c r="U29" s="324"/>
      <c r="V29" s="324"/>
      <c r="W29" s="324"/>
    </row>
    <row r="30" spans="1:23" s="339" customFormat="1">
      <c r="G30" s="324"/>
      <c r="H30" s="322"/>
      <c r="I30" s="322"/>
      <c r="J30" s="322"/>
      <c r="K30" s="322"/>
      <c r="L30" s="324"/>
      <c r="M30" s="324"/>
      <c r="N30" s="324"/>
      <c r="O30" s="324"/>
      <c r="P30" s="324"/>
      <c r="Q30" s="324"/>
      <c r="R30" s="324"/>
      <c r="S30" s="324"/>
      <c r="T30" s="324"/>
      <c r="U30" s="324"/>
      <c r="V30" s="324"/>
      <c r="W30" s="324"/>
    </row>
    <row r="31" spans="1:23" s="339" customFormat="1">
      <c r="G31" s="324"/>
      <c r="H31" s="322"/>
      <c r="I31" s="322"/>
      <c r="J31" s="322"/>
      <c r="K31" s="322"/>
      <c r="L31" s="324"/>
      <c r="M31" s="324"/>
      <c r="N31" s="324"/>
      <c r="O31" s="324"/>
      <c r="P31" s="324"/>
      <c r="Q31" s="324"/>
      <c r="R31" s="324"/>
      <c r="S31" s="324"/>
      <c r="T31" s="324"/>
      <c r="U31" s="324"/>
      <c r="V31" s="324"/>
      <c r="W31" s="324"/>
    </row>
    <row r="32" spans="1:23" s="339" customFormat="1">
      <c r="G32" s="324"/>
      <c r="H32" s="322"/>
      <c r="I32" s="322"/>
      <c r="J32" s="322"/>
      <c r="K32" s="322"/>
      <c r="L32" s="324"/>
      <c r="M32" s="324"/>
      <c r="N32" s="324"/>
      <c r="O32" s="324"/>
      <c r="P32" s="324"/>
      <c r="Q32" s="324"/>
      <c r="R32" s="324"/>
      <c r="S32" s="324"/>
      <c r="T32" s="324"/>
      <c r="U32" s="324"/>
      <c r="V32" s="324"/>
      <c r="W32" s="324"/>
    </row>
    <row r="33" spans="7:23" s="339" customFormat="1">
      <c r="G33" s="324"/>
      <c r="H33" s="322"/>
      <c r="I33" s="322"/>
      <c r="J33" s="322"/>
      <c r="K33" s="322"/>
      <c r="L33" s="324"/>
      <c r="M33" s="324"/>
      <c r="N33" s="324"/>
      <c r="O33" s="324"/>
      <c r="P33" s="324"/>
      <c r="Q33" s="324"/>
      <c r="R33" s="324"/>
      <c r="S33" s="324"/>
      <c r="T33" s="324"/>
      <c r="U33" s="324"/>
      <c r="V33" s="324"/>
      <c r="W33" s="324"/>
    </row>
    <row r="34" spans="7:23" s="339" customFormat="1">
      <c r="G34" s="324"/>
      <c r="H34" s="322"/>
      <c r="I34" s="322"/>
      <c r="J34" s="322"/>
      <c r="K34" s="322"/>
      <c r="L34" s="324"/>
      <c r="M34" s="324"/>
      <c r="N34" s="324"/>
      <c r="O34" s="324"/>
      <c r="P34" s="324"/>
      <c r="Q34" s="324"/>
      <c r="R34" s="324"/>
      <c r="S34" s="324"/>
      <c r="T34" s="324"/>
      <c r="U34" s="324"/>
      <c r="V34" s="324"/>
      <c r="W34" s="324"/>
    </row>
    <row r="35" spans="7:23" s="339" customFormat="1">
      <c r="G35" s="324"/>
      <c r="H35" s="322"/>
      <c r="I35" s="322"/>
      <c r="J35" s="322"/>
      <c r="K35" s="322"/>
      <c r="L35" s="324"/>
      <c r="M35" s="324"/>
      <c r="N35" s="324"/>
      <c r="O35" s="324"/>
      <c r="P35" s="324"/>
      <c r="Q35" s="324"/>
      <c r="R35" s="324"/>
      <c r="S35" s="324"/>
      <c r="T35" s="324"/>
      <c r="U35" s="324"/>
      <c r="V35" s="324"/>
      <c r="W35" s="324"/>
    </row>
    <row r="36" spans="7:23" s="339" customFormat="1">
      <c r="G36" s="324"/>
      <c r="H36" s="322"/>
      <c r="I36" s="322"/>
      <c r="J36" s="322"/>
      <c r="K36" s="322"/>
      <c r="L36" s="324"/>
      <c r="M36" s="324"/>
      <c r="N36" s="324"/>
      <c r="O36" s="324"/>
      <c r="P36" s="324"/>
      <c r="Q36" s="324"/>
      <c r="R36" s="324"/>
      <c r="S36" s="324"/>
      <c r="T36" s="324"/>
      <c r="U36" s="324"/>
      <c r="V36" s="324"/>
      <c r="W36" s="324"/>
    </row>
    <row r="37" spans="7:23" s="339" customFormat="1">
      <c r="G37" s="324"/>
      <c r="H37" s="322"/>
      <c r="I37" s="322"/>
      <c r="J37" s="322"/>
      <c r="K37" s="322"/>
      <c r="L37" s="324"/>
      <c r="M37" s="324"/>
      <c r="N37" s="324"/>
      <c r="O37" s="324"/>
      <c r="P37" s="324"/>
      <c r="Q37" s="324"/>
      <c r="R37" s="324"/>
      <c r="S37" s="324"/>
      <c r="T37" s="324"/>
      <c r="U37" s="324"/>
      <c r="V37" s="324"/>
      <c r="W37" s="324"/>
    </row>
    <row r="38" spans="7:23" s="339" customFormat="1">
      <c r="G38" s="324"/>
      <c r="H38" s="322"/>
      <c r="I38" s="322"/>
      <c r="J38" s="322"/>
      <c r="K38" s="322"/>
      <c r="L38" s="324"/>
      <c r="M38" s="324"/>
      <c r="N38" s="324"/>
      <c r="O38" s="324"/>
      <c r="P38" s="324"/>
      <c r="Q38" s="324"/>
      <c r="R38" s="324"/>
      <c r="S38" s="324"/>
      <c r="T38" s="324"/>
      <c r="U38" s="324"/>
      <c r="V38" s="324"/>
      <c r="W38" s="324"/>
    </row>
    <row r="39" spans="7:23" s="339" customFormat="1">
      <c r="G39" s="324"/>
      <c r="H39" s="322"/>
      <c r="I39" s="322"/>
      <c r="J39" s="322"/>
      <c r="K39" s="322"/>
      <c r="L39" s="324"/>
      <c r="M39" s="324"/>
      <c r="N39" s="324"/>
      <c r="O39" s="324"/>
      <c r="P39" s="324"/>
      <c r="Q39" s="324"/>
      <c r="R39" s="324"/>
      <c r="S39" s="324"/>
      <c r="T39" s="324"/>
      <c r="U39" s="324"/>
      <c r="V39" s="324"/>
      <c r="W39" s="324"/>
    </row>
    <row r="40" spans="7:23" s="339" customFormat="1">
      <c r="G40" s="324"/>
      <c r="H40" s="322"/>
      <c r="I40" s="322"/>
      <c r="J40" s="322"/>
      <c r="K40" s="322"/>
      <c r="L40" s="324"/>
      <c r="M40" s="324"/>
      <c r="N40" s="324"/>
      <c r="O40" s="324"/>
      <c r="P40" s="324"/>
      <c r="Q40" s="324"/>
      <c r="R40" s="324"/>
      <c r="S40" s="324"/>
      <c r="T40" s="324"/>
      <c r="U40" s="324"/>
      <c r="V40" s="324"/>
      <c r="W40" s="324"/>
    </row>
    <row r="41" spans="7:23" s="339" customFormat="1">
      <c r="G41" s="324"/>
      <c r="H41" s="322"/>
      <c r="I41" s="322"/>
      <c r="J41" s="322"/>
      <c r="K41" s="322"/>
      <c r="L41" s="324"/>
      <c r="M41" s="324"/>
      <c r="N41" s="324"/>
      <c r="O41" s="324"/>
      <c r="P41" s="324"/>
      <c r="Q41" s="324"/>
      <c r="R41" s="324"/>
      <c r="S41" s="324"/>
      <c r="T41" s="324"/>
      <c r="U41" s="324"/>
      <c r="V41" s="324"/>
      <c r="W41" s="324"/>
    </row>
    <row r="42" spans="7:23" s="339" customFormat="1">
      <c r="G42" s="324"/>
      <c r="H42" s="322"/>
      <c r="I42" s="322"/>
      <c r="J42" s="322"/>
      <c r="K42" s="322"/>
      <c r="L42" s="324"/>
      <c r="M42" s="324"/>
      <c r="N42" s="324"/>
      <c r="O42" s="324"/>
      <c r="P42" s="324"/>
      <c r="Q42" s="324"/>
      <c r="R42" s="324"/>
      <c r="S42" s="324"/>
      <c r="T42" s="324"/>
      <c r="U42" s="324"/>
      <c r="V42" s="324"/>
      <c r="W42" s="324"/>
    </row>
    <row r="43" spans="7:23" s="339" customFormat="1">
      <c r="G43" s="324"/>
      <c r="H43" s="322"/>
      <c r="I43" s="322"/>
      <c r="J43" s="322"/>
      <c r="K43" s="322"/>
      <c r="L43" s="324"/>
      <c r="M43" s="324"/>
      <c r="N43" s="324"/>
      <c r="O43" s="324"/>
      <c r="P43" s="324"/>
      <c r="Q43" s="324"/>
      <c r="R43" s="324"/>
      <c r="S43" s="324"/>
      <c r="T43" s="324"/>
      <c r="U43" s="324"/>
      <c r="V43" s="324"/>
      <c r="W43" s="324"/>
    </row>
    <row r="44" spans="7:23" s="340" customFormat="1">
      <c r="G44" s="324"/>
      <c r="H44" s="322"/>
      <c r="I44" s="322"/>
      <c r="J44" s="322"/>
      <c r="K44" s="322"/>
      <c r="L44" s="324"/>
      <c r="M44" s="324"/>
      <c r="N44" s="324"/>
      <c r="O44" s="324"/>
      <c r="P44" s="324"/>
      <c r="Q44" s="324"/>
      <c r="R44" s="324"/>
      <c r="S44" s="324"/>
      <c r="T44" s="324"/>
      <c r="U44" s="324"/>
      <c r="V44" s="324"/>
      <c r="W44" s="324"/>
    </row>
    <row r="45" spans="7:23" s="340" customFormat="1">
      <c r="G45" s="324"/>
      <c r="H45" s="322"/>
      <c r="I45" s="322"/>
      <c r="J45" s="322"/>
      <c r="K45" s="322"/>
      <c r="L45" s="324"/>
      <c r="M45" s="324"/>
      <c r="N45" s="324"/>
      <c r="O45" s="324"/>
      <c r="P45" s="324"/>
      <c r="Q45" s="324"/>
      <c r="R45" s="324"/>
      <c r="S45" s="324"/>
      <c r="T45" s="324"/>
      <c r="U45" s="324"/>
      <c r="V45" s="324"/>
      <c r="W45" s="324"/>
    </row>
    <row r="46" spans="7:23" s="340" customFormat="1">
      <c r="G46" s="324"/>
      <c r="H46" s="322"/>
      <c r="I46" s="322"/>
      <c r="J46" s="322"/>
      <c r="K46" s="322"/>
      <c r="L46" s="324"/>
      <c r="M46" s="324"/>
      <c r="N46" s="324"/>
      <c r="O46" s="324"/>
      <c r="P46" s="324"/>
      <c r="Q46" s="324"/>
      <c r="R46" s="324"/>
      <c r="S46" s="324"/>
      <c r="T46" s="324"/>
      <c r="U46" s="324"/>
      <c r="V46" s="324"/>
      <c r="W46" s="324"/>
    </row>
    <row r="47" spans="7:23" s="340" customFormat="1">
      <c r="G47" s="324"/>
      <c r="H47" s="322"/>
      <c r="I47" s="322"/>
      <c r="J47" s="322"/>
      <c r="K47" s="322"/>
      <c r="L47" s="324"/>
      <c r="M47" s="324"/>
      <c r="N47" s="324"/>
      <c r="O47" s="324"/>
      <c r="P47" s="324"/>
      <c r="Q47" s="324"/>
      <c r="R47" s="324"/>
      <c r="S47" s="324"/>
      <c r="T47" s="324"/>
      <c r="U47" s="324"/>
      <c r="V47" s="324"/>
      <c r="W47" s="324"/>
    </row>
    <row r="48" spans="7:23" s="340" customFormat="1">
      <c r="G48" s="324"/>
      <c r="H48" s="322"/>
      <c r="I48" s="322"/>
      <c r="J48" s="322"/>
      <c r="K48" s="322"/>
      <c r="L48" s="324"/>
      <c r="M48" s="324"/>
      <c r="N48" s="324"/>
      <c r="O48" s="324"/>
      <c r="P48" s="324"/>
      <c r="Q48" s="324"/>
      <c r="R48" s="324"/>
      <c r="S48" s="324"/>
      <c r="T48" s="324"/>
      <c r="U48" s="324"/>
      <c r="V48" s="324"/>
      <c r="W48" s="324"/>
    </row>
    <row r="49" spans="7:23" s="340" customFormat="1">
      <c r="G49" s="324"/>
      <c r="H49" s="322"/>
      <c r="I49" s="322"/>
      <c r="J49" s="322"/>
      <c r="K49" s="322"/>
      <c r="L49" s="324"/>
      <c r="M49" s="324"/>
      <c r="N49" s="324"/>
      <c r="O49" s="324"/>
      <c r="P49" s="324"/>
      <c r="Q49" s="324"/>
      <c r="R49" s="324"/>
      <c r="S49" s="324"/>
      <c r="T49" s="324"/>
      <c r="U49" s="324"/>
      <c r="V49" s="324"/>
      <c r="W49" s="324"/>
    </row>
    <row r="50" spans="7:23" s="340" customFormat="1">
      <c r="G50" s="324"/>
      <c r="H50" s="322"/>
      <c r="I50" s="322"/>
      <c r="J50" s="322"/>
      <c r="K50" s="322"/>
      <c r="L50" s="324"/>
      <c r="M50" s="324"/>
      <c r="N50" s="324"/>
      <c r="O50" s="324"/>
      <c r="P50" s="324"/>
      <c r="Q50" s="324"/>
      <c r="R50" s="324"/>
      <c r="S50" s="324"/>
      <c r="T50" s="324"/>
      <c r="U50" s="324"/>
      <c r="V50" s="324"/>
      <c r="W50" s="324"/>
    </row>
    <row r="51" spans="7:23" s="340" customFormat="1">
      <c r="G51" s="324"/>
      <c r="H51" s="322"/>
      <c r="I51" s="322"/>
      <c r="J51" s="322"/>
      <c r="K51" s="322"/>
      <c r="L51" s="324"/>
      <c r="M51" s="324"/>
      <c r="N51" s="324"/>
      <c r="O51" s="324"/>
      <c r="P51" s="324"/>
      <c r="Q51" s="324"/>
      <c r="R51" s="324"/>
      <c r="S51" s="324"/>
      <c r="T51" s="324"/>
      <c r="U51" s="324"/>
      <c r="V51" s="324"/>
      <c r="W51" s="324"/>
    </row>
    <row r="52" spans="7:23" s="340" customFormat="1">
      <c r="G52" s="324"/>
      <c r="H52" s="322"/>
      <c r="I52" s="322"/>
      <c r="J52" s="322"/>
      <c r="K52" s="322"/>
      <c r="L52" s="324"/>
      <c r="M52" s="324"/>
      <c r="N52" s="324"/>
      <c r="O52" s="324"/>
      <c r="P52" s="324"/>
      <c r="Q52" s="324"/>
      <c r="R52" s="324"/>
      <c r="S52" s="324"/>
      <c r="T52" s="324"/>
      <c r="U52" s="324"/>
      <c r="V52" s="324"/>
      <c r="W52" s="324"/>
    </row>
    <row r="53" spans="7:23" s="340" customFormat="1">
      <c r="G53" s="324"/>
      <c r="H53" s="322"/>
      <c r="I53" s="322"/>
      <c r="J53" s="322"/>
      <c r="K53" s="322"/>
      <c r="L53" s="324"/>
      <c r="M53" s="324"/>
      <c r="N53" s="324"/>
      <c r="O53" s="324"/>
      <c r="P53" s="324"/>
      <c r="Q53" s="324"/>
      <c r="R53" s="324"/>
      <c r="S53" s="324"/>
      <c r="T53" s="324"/>
      <c r="U53" s="324"/>
      <c r="V53" s="324"/>
      <c r="W53" s="324"/>
    </row>
    <row r="54" spans="7:23" s="340" customFormat="1">
      <c r="G54" s="324"/>
      <c r="H54" s="322"/>
      <c r="I54" s="322"/>
      <c r="J54" s="322"/>
      <c r="K54" s="322"/>
      <c r="L54" s="324"/>
      <c r="M54" s="324"/>
      <c r="N54" s="324"/>
      <c r="O54" s="324"/>
      <c r="P54" s="324"/>
      <c r="Q54" s="324"/>
      <c r="R54" s="324"/>
      <c r="S54" s="324"/>
      <c r="T54" s="324"/>
      <c r="U54" s="324"/>
      <c r="V54" s="324"/>
      <c r="W54" s="324"/>
    </row>
    <row r="55" spans="7:23" s="340" customFormat="1">
      <c r="G55" s="324"/>
      <c r="H55" s="322"/>
      <c r="I55" s="322"/>
      <c r="J55" s="322"/>
      <c r="K55" s="322"/>
      <c r="L55" s="324"/>
      <c r="M55" s="324"/>
      <c r="N55" s="324"/>
      <c r="O55" s="324"/>
      <c r="P55" s="324"/>
      <c r="Q55" s="324"/>
      <c r="R55" s="324"/>
      <c r="S55" s="324"/>
      <c r="T55" s="324"/>
      <c r="U55" s="324"/>
      <c r="V55" s="324"/>
      <c r="W55" s="324"/>
    </row>
    <row r="56" spans="7:23" s="340" customFormat="1">
      <c r="G56" s="324"/>
      <c r="H56" s="322"/>
      <c r="I56" s="322"/>
      <c r="J56" s="322"/>
      <c r="K56" s="322"/>
      <c r="L56" s="324"/>
      <c r="M56" s="324"/>
      <c r="N56" s="324"/>
      <c r="O56" s="324"/>
      <c r="P56" s="324"/>
      <c r="Q56" s="324"/>
      <c r="R56" s="324"/>
      <c r="S56" s="324"/>
      <c r="T56" s="324"/>
      <c r="U56" s="324"/>
      <c r="V56" s="324"/>
      <c r="W56" s="324"/>
    </row>
    <row r="57" spans="7:23" s="340" customFormat="1">
      <c r="G57" s="324"/>
      <c r="H57" s="322"/>
      <c r="I57" s="322"/>
      <c r="J57" s="322"/>
      <c r="K57" s="322"/>
      <c r="L57" s="324"/>
      <c r="M57" s="324"/>
      <c r="N57" s="324"/>
      <c r="O57" s="324"/>
      <c r="P57" s="324"/>
      <c r="Q57" s="324"/>
      <c r="R57" s="324"/>
      <c r="S57" s="324"/>
      <c r="T57" s="324"/>
      <c r="U57" s="324"/>
      <c r="V57" s="324"/>
      <c r="W57" s="324"/>
    </row>
    <row r="58" spans="7:23" s="340" customFormat="1">
      <c r="G58" s="324"/>
      <c r="H58" s="322"/>
      <c r="I58" s="322"/>
      <c r="J58" s="322"/>
      <c r="K58" s="322"/>
      <c r="L58" s="324"/>
      <c r="M58" s="324"/>
      <c r="N58" s="324"/>
      <c r="O58" s="324"/>
      <c r="P58" s="324"/>
      <c r="Q58" s="324"/>
      <c r="R58" s="324"/>
      <c r="S58" s="324"/>
      <c r="T58" s="324"/>
      <c r="U58" s="324"/>
      <c r="V58" s="324"/>
      <c r="W58" s="324"/>
    </row>
    <row r="59" spans="7:23" s="340" customFormat="1">
      <c r="G59" s="324"/>
      <c r="H59" s="322"/>
      <c r="I59" s="322"/>
      <c r="J59" s="322"/>
      <c r="K59" s="322"/>
      <c r="L59" s="324"/>
      <c r="M59" s="324"/>
      <c r="N59" s="324"/>
      <c r="O59" s="324"/>
      <c r="P59" s="324"/>
      <c r="Q59" s="324"/>
      <c r="R59" s="324"/>
      <c r="S59" s="324"/>
      <c r="T59" s="324"/>
      <c r="U59" s="324"/>
      <c r="V59" s="324"/>
      <c r="W59" s="324"/>
    </row>
    <row r="60" spans="7:23" s="340" customFormat="1">
      <c r="G60" s="324"/>
      <c r="H60" s="322"/>
      <c r="I60" s="322"/>
      <c r="J60" s="322"/>
      <c r="K60" s="322"/>
      <c r="L60" s="324"/>
      <c r="M60" s="324"/>
      <c r="N60" s="324"/>
      <c r="O60" s="324"/>
      <c r="P60" s="324"/>
      <c r="Q60" s="324"/>
      <c r="R60" s="324"/>
      <c r="S60" s="324"/>
      <c r="T60" s="324"/>
      <c r="U60" s="324"/>
      <c r="V60" s="324"/>
      <c r="W60" s="324"/>
    </row>
    <row r="61" spans="7:23" s="340" customFormat="1">
      <c r="G61" s="324"/>
      <c r="H61" s="322"/>
      <c r="I61" s="322"/>
      <c r="J61" s="322"/>
      <c r="K61" s="322"/>
      <c r="L61" s="324"/>
      <c r="M61" s="324"/>
      <c r="N61" s="324"/>
      <c r="O61" s="324"/>
      <c r="P61" s="324"/>
      <c r="Q61" s="324"/>
      <c r="R61" s="324"/>
      <c r="S61" s="324"/>
      <c r="T61" s="324"/>
      <c r="U61" s="324"/>
      <c r="V61" s="324"/>
      <c r="W61" s="324"/>
    </row>
    <row r="62" spans="7:23" s="340" customFormat="1">
      <c r="G62" s="324"/>
      <c r="H62" s="322"/>
      <c r="I62" s="322"/>
      <c r="J62" s="322"/>
      <c r="K62" s="322"/>
      <c r="L62" s="324"/>
      <c r="M62" s="324"/>
      <c r="N62" s="324"/>
      <c r="O62" s="324"/>
      <c r="P62" s="324"/>
      <c r="Q62" s="324"/>
      <c r="R62" s="324"/>
      <c r="S62" s="324"/>
      <c r="T62" s="324"/>
      <c r="U62" s="324"/>
      <c r="V62" s="324"/>
      <c r="W62" s="324"/>
    </row>
    <row r="63" spans="7:23" s="340" customFormat="1">
      <c r="G63" s="324"/>
      <c r="H63" s="322"/>
      <c r="I63" s="322"/>
      <c r="J63" s="322"/>
      <c r="K63" s="322"/>
      <c r="L63" s="324"/>
      <c r="M63" s="324"/>
      <c r="N63" s="324"/>
      <c r="O63" s="324"/>
      <c r="P63" s="324"/>
      <c r="Q63" s="324"/>
      <c r="R63" s="324"/>
      <c r="S63" s="324"/>
      <c r="T63" s="324"/>
      <c r="U63" s="324"/>
      <c r="V63" s="324"/>
      <c r="W63" s="324"/>
    </row>
    <row r="64" spans="7:23" s="340" customFormat="1">
      <c r="G64" s="324"/>
      <c r="H64" s="322"/>
      <c r="I64" s="322"/>
      <c r="J64" s="322"/>
      <c r="K64" s="322"/>
      <c r="L64" s="324"/>
      <c r="M64" s="324"/>
      <c r="N64" s="324"/>
      <c r="O64" s="324"/>
      <c r="P64" s="324"/>
      <c r="Q64" s="324"/>
      <c r="R64" s="324"/>
      <c r="S64" s="324"/>
      <c r="T64" s="324"/>
      <c r="U64" s="324"/>
      <c r="V64" s="324"/>
      <c r="W64" s="324"/>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zoomScale="55" zoomScaleNormal="55" workbookViewId="0">
      <selection activeCell="E15" sqref="E15"/>
    </sheetView>
  </sheetViews>
  <sheetFormatPr defaultColWidth="8.81640625" defaultRowHeight="13"/>
  <cols>
    <col min="1" max="1" width="10.1796875" style="329" customWidth="1"/>
    <col min="2" max="2" width="87.1796875" style="329" customWidth="1"/>
    <col min="3" max="4" width="22" style="329" customWidth="1"/>
    <col min="5" max="6" width="82.81640625" style="329" customWidth="1"/>
    <col min="7" max="7" width="24.1796875" style="324" customWidth="1"/>
    <col min="8" max="8" width="8.81640625" style="324"/>
    <col min="9" max="9" width="8.81640625" style="322"/>
    <col min="10" max="22" width="8.81640625" style="324"/>
    <col min="23" max="16384" width="8.81640625" style="329"/>
  </cols>
  <sheetData>
    <row r="1" spans="1:22" s="322" customFormat="1" ht="26">
      <c r="A1" s="321" t="s">
        <v>351</v>
      </c>
      <c r="C1" s="323"/>
      <c r="G1" s="324"/>
      <c r="H1" s="324"/>
      <c r="J1" s="324"/>
      <c r="K1" s="324"/>
      <c r="L1" s="324"/>
      <c r="M1" s="324"/>
      <c r="N1" s="324"/>
      <c r="O1" s="324"/>
      <c r="P1" s="324"/>
      <c r="Q1" s="324"/>
      <c r="R1" s="324"/>
      <c r="S1" s="324"/>
      <c r="T1" s="324"/>
      <c r="U1" s="324"/>
      <c r="V1" s="324"/>
    </row>
    <row r="2" spans="1:22" s="322" customFormat="1" ht="26">
      <c r="A2" s="321" t="s">
        <v>1705</v>
      </c>
      <c r="C2" s="323"/>
      <c r="G2" s="324"/>
      <c r="H2" s="324"/>
      <c r="J2" s="324"/>
      <c r="K2" s="324"/>
      <c r="L2" s="324"/>
      <c r="M2" s="324"/>
      <c r="N2" s="324"/>
      <c r="O2" s="324"/>
      <c r="P2" s="324"/>
      <c r="Q2" s="324"/>
      <c r="R2" s="324"/>
      <c r="S2" s="324"/>
      <c r="T2" s="324"/>
      <c r="U2" s="324"/>
      <c r="V2" s="324"/>
    </row>
    <row r="3" spans="1:22" s="322" customFormat="1">
      <c r="A3" s="325" t="s">
        <v>1686</v>
      </c>
      <c r="B3" s="322" t="s">
        <v>1706</v>
      </c>
      <c r="G3" s="324"/>
      <c r="H3" s="324"/>
      <c r="J3" s="324"/>
      <c r="K3" s="324"/>
      <c r="L3" s="324"/>
      <c r="M3" s="324"/>
      <c r="N3" s="324"/>
      <c r="O3" s="324"/>
      <c r="P3" s="324"/>
      <c r="Q3" s="324"/>
      <c r="R3" s="324"/>
      <c r="S3" s="324"/>
      <c r="T3" s="324"/>
      <c r="U3" s="324"/>
      <c r="V3" s="324"/>
    </row>
    <row r="4" spans="1:22" s="322" customFormat="1">
      <c r="A4" s="325" t="s">
        <v>417</v>
      </c>
      <c r="B4" s="322" t="s">
        <v>1707</v>
      </c>
      <c r="G4" s="324"/>
      <c r="H4" s="324"/>
      <c r="J4" s="324"/>
      <c r="K4" s="324"/>
      <c r="L4" s="324"/>
      <c r="M4" s="324"/>
      <c r="N4" s="324"/>
      <c r="O4" s="324"/>
      <c r="P4" s="324"/>
      <c r="Q4" s="324"/>
      <c r="R4" s="324"/>
      <c r="S4" s="324"/>
      <c r="T4" s="324"/>
      <c r="U4" s="324"/>
      <c r="V4" s="324"/>
    </row>
    <row r="5" spans="1:22" s="322" customFormat="1">
      <c r="A5" s="322" t="s">
        <v>1689</v>
      </c>
      <c r="B5" s="322" t="s">
        <v>1708</v>
      </c>
      <c r="G5" s="324"/>
      <c r="H5" s="324"/>
      <c r="J5" s="324"/>
      <c r="K5" s="324"/>
      <c r="L5" s="324"/>
      <c r="M5" s="324"/>
      <c r="N5" s="324"/>
      <c r="O5" s="324"/>
      <c r="P5" s="324"/>
      <c r="Q5" s="324"/>
      <c r="R5" s="324"/>
      <c r="S5" s="324"/>
      <c r="T5" s="324"/>
      <c r="U5" s="324"/>
      <c r="V5" s="324"/>
    </row>
    <row r="6" spans="1:22" s="322" customFormat="1">
      <c r="A6" s="322" t="s">
        <v>421</v>
      </c>
      <c r="B6" s="322" t="s">
        <v>1709</v>
      </c>
      <c r="G6" s="324"/>
      <c r="H6" s="324"/>
      <c r="J6" s="324"/>
      <c r="K6" s="324"/>
      <c r="L6" s="324"/>
      <c r="M6" s="324"/>
      <c r="N6" s="324"/>
      <c r="O6" s="324"/>
      <c r="P6" s="324"/>
      <c r="Q6" s="324"/>
      <c r="R6" s="324"/>
      <c r="S6" s="324"/>
      <c r="T6" s="324"/>
      <c r="U6" s="324"/>
      <c r="V6" s="324"/>
    </row>
    <row r="8" spans="1:22" s="322" customFormat="1">
      <c r="A8" s="350"/>
      <c r="B8" s="350"/>
      <c r="C8" s="350" t="s">
        <v>96</v>
      </c>
      <c r="D8" s="350" t="s">
        <v>562</v>
      </c>
      <c r="E8" s="350" t="s">
        <v>85</v>
      </c>
      <c r="F8" s="350"/>
      <c r="G8" s="350" t="s">
        <v>1692</v>
      </c>
    </row>
    <row r="9" spans="1:22" s="325" customFormat="1">
      <c r="A9" s="351" t="s">
        <v>47</v>
      </c>
      <c r="B9" s="352"/>
      <c r="C9" s="353"/>
      <c r="D9" s="353"/>
      <c r="E9" s="353"/>
      <c r="F9" s="353"/>
      <c r="G9" s="353"/>
      <c r="I9" s="322"/>
    </row>
    <row r="10" spans="1:22" s="325" customFormat="1" ht="78">
      <c r="A10" s="3" t="s">
        <v>352</v>
      </c>
      <c r="B10" s="3" t="s">
        <v>1710</v>
      </c>
      <c r="C10" s="336" t="s">
        <v>1711</v>
      </c>
      <c r="D10" s="336" t="s">
        <v>528</v>
      </c>
      <c r="E10" s="336" t="s">
        <v>353</v>
      </c>
      <c r="F10" s="336"/>
      <c r="G10" s="3"/>
      <c r="I10" s="322"/>
    </row>
    <row r="11" spans="1:22" s="148" customFormat="1">
      <c r="A11" s="330" t="s">
        <v>54</v>
      </c>
      <c r="B11" s="330"/>
      <c r="C11" s="331"/>
      <c r="D11" s="331"/>
      <c r="E11" s="331"/>
      <c r="F11" s="331"/>
      <c r="G11" s="331"/>
      <c r="H11" s="325"/>
      <c r="I11" s="322"/>
      <c r="J11" s="325"/>
      <c r="K11" s="325"/>
      <c r="L11" s="325"/>
      <c r="M11" s="325"/>
      <c r="N11" s="325"/>
      <c r="O11" s="325"/>
      <c r="P11" s="325"/>
      <c r="Q11" s="325"/>
      <c r="R11" s="325"/>
      <c r="S11" s="325"/>
      <c r="T11" s="325"/>
      <c r="U11" s="325"/>
      <c r="V11" s="325"/>
    </row>
    <row r="12" spans="1:22" s="148" customFormat="1" ht="39">
      <c r="A12" s="3" t="s">
        <v>354</v>
      </c>
      <c r="B12" s="3" t="s">
        <v>355</v>
      </c>
      <c r="C12" s="336" t="s">
        <v>530</v>
      </c>
      <c r="D12" s="336" t="s">
        <v>529</v>
      </c>
      <c r="E12" s="336" t="s">
        <v>1645</v>
      </c>
      <c r="F12" s="336"/>
      <c r="G12" s="3"/>
      <c r="H12" s="325"/>
      <c r="I12" s="322"/>
      <c r="J12" s="325"/>
      <c r="K12" s="325"/>
      <c r="L12" s="325"/>
      <c r="M12" s="325"/>
      <c r="N12" s="325"/>
      <c r="O12" s="325"/>
      <c r="P12" s="325"/>
      <c r="Q12" s="325"/>
      <c r="R12" s="325"/>
      <c r="S12" s="325"/>
      <c r="T12" s="325"/>
      <c r="U12" s="325"/>
      <c r="V12" s="325"/>
    </row>
    <row r="13" spans="1:22" s="93" customFormat="1" ht="39">
      <c r="A13" s="3" t="s">
        <v>356</v>
      </c>
      <c r="B13" s="3" t="s">
        <v>1712</v>
      </c>
      <c r="C13" s="336" t="s">
        <v>532</v>
      </c>
      <c r="D13" s="336" t="s">
        <v>531</v>
      </c>
      <c r="E13" s="336" t="s">
        <v>1646</v>
      </c>
      <c r="F13" s="336"/>
      <c r="G13" s="3"/>
      <c r="H13" s="325"/>
      <c r="I13" s="322"/>
      <c r="J13" s="325"/>
      <c r="K13" s="325"/>
      <c r="L13" s="325"/>
      <c r="M13" s="325"/>
      <c r="N13" s="325"/>
      <c r="O13" s="325"/>
      <c r="P13" s="325"/>
      <c r="Q13" s="325"/>
      <c r="R13" s="325"/>
      <c r="S13" s="325"/>
      <c r="T13" s="325"/>
      <c r="U13" s="325"/>
      <c r="V13" s="325"/>
    </row>
    <row r="14" spans="1:22" s="325" customFormat="1" ht="65">
      <c r="A14" s="354" t="s">
        <v>357</v>
      </c>
      <c r="B14" s="355" t="s">
        <v>1713</v>
      </c>
      <c r="C14" s="336" t="s">
        <v>1714</v>
      </c>
      <c r="D14" s="336" t="s">
        <v>1715</v>
      </c>
      <c r="E14" s="336" t="s">
        <v>1716</v>
      </c>
      <c r="F14" s="336" t="s">
        <v>1717</v>
      </c>
      <c r="G14" s="3"/>
      <c r="I14" s="322"/>
    </row>
    <row r="15" spans="1:22" s="325" customFormat="1" ht="104">
      <c r="A15" s="3" t="s">
        <v>358</v>
      </c>
      <c r="B15" s="3" t="s">
        <v>1718</v>
      </c>
      <c r="C15" s="336" t="s">
        <v>1719</v>
      </c>
      <c r="D15" s="336" t="s">
        <v>533</v>
      </c>
      <c r="E15" s="336" t="s">
        <v>1647</v>
      </c>
      <c r="F15" s="336"/>
      <c r="G15" s="3"/>
      <c r="I15" s="322"/>
    </row>
    <row r="16" spans="1:22" s="148" customFormat="1" ht="52">
      <c r="A16" s="3" t="s">
        <v>359</v>
      </c>
      <c r="B16" s="3" t="s">
        <v>1720</v>
      </c>
      <c r="C16" s="336" t="s">
        <v>534</v>
      </c>
      <c r="D16" s="336" t="s">
        <v>1721</v>
      </c>
      <c r="E16" s="336" t="s">
        <v>1648</v>
      </c>
      <c r="F16" s="336"/>
      <c r="G16" s="3"/>
      <c r="H16" s="325"/>
      <c r="I16" s="322"/>
      <c r="J16" s="325"/>
      <c r="K16" s="325"/>
      <c r="L16" s="325"/>
      <c r="M16" s="325"/>
      <c r="N16" s="325"/>
      <c r="O16" s="325"/>
      <c r="P16" s="325"/>
      <c r="Q16" s="325"/>
      <c r="R16" s="325"/>
      <c r="S16" s="325"/>
      <c r="T16" s="325"/>
      <c r="U16" s="325"/>
      <c r="V16" s="325"/>
    </row>
    <row r="17" spans="1:22" s="148" customFormat="1" ht="65">
      <c r="A17" s="3" t="s">
        <v>360</v>
      </c>
      <c r="B17" s="3" t="s">
        <v>1722</v>
      </c>
      <c r="C17" s="336" t="s">
        <v>536</v>
      </c>
      <c r="D17" s="336" t="s">
        <v>535</v>
      </c>
      <c r="E17" s="336" t="s">
        <v>1649</v>
      </c>
      <c r="F17" s="336"/>
      <c r="G17" s="3"/>
      <c r="H17" s="325"/>
      <c r="I17" s="322"/>
      <c r="J17" s="325"/>
      <c r="K17" s="325"/>
      <c r="L17" s="325"/>
      <c r="M17" s="325"/>
      <c r="N17" s="325"/>
      <c r="O17" s="325"/>
      <c r="P17" s="325"/>
      <c r="Q17" s="325"/>
      <c r="R17" s="325"/>
      <c r="S17" s="325"/>
      <c r="T17" s="325"/>
      <c r="U17" s="325"/>
      <c r="V17" s="325"/>
    </row>
    <row r="18" spans="1:22" s="322" customFormat="1"/>
    <row r="19" spans="1:22" s="339" customFormat="1">
      <c r="G19" s="324"/>
      <c r="H19" s="324"/>
      <c r="I19" s="322"/>
      <c r="J19" s="324"/>
      <c r="K19" s="324"/>
      <c r="L19" s="324"/>
      <c r="M19" s="324"/>
      <c r="N19" s="324"/>
      <c r="O19" s="324"/>
      <c r="P19" s="324"/>
      <c r="Q19" s="324"/>
      <c r="R19" s="324"/>
      <c r="S19" s="324"/>
      <c r="T19" s="324"/>
      <c r="U19" s="324"/>
      <c r="V19" s="324"/>
    </row>
    <row r="20" spans="1:22" s="339" customFormat="1">
      <c r="G20" s="324"/>
      <c r="H20" s="324"/>
      <c r="I20" s="322"/>
      <c r="J20" s="324"/>
      <c r="K20" s="324"/>
      <c r="L20" s="324"/>
      <c r="M20" s="324"/>
      <c r="N20" s="324"/>
      <c r="O20" s="324"/>
      <c r="P20" s="324"/>
      <c r="Q20" s="324"/>
      <c r="R20" s="324"/>
      <c r="S20" s="324"/>
      <c r="T20" s="324"/>
      <c r="U20" s="324"/>
      <c r="V20" s="324"/>
    </row>
    <row r="21" spans="1:22" s="339" customFormat="1">
      <c r="G21" s="324"/>
      <c r="H21" s="324"/>
      <c r="I21" s="322"/>
      <c r="J21" s="324"/>
      <c r="K21" s="324"/>
      <c r="L21" s="324"/>
      <c r="M21" s="324"/>
      <c r="N21" s="324"/>
      <c r="O21" s="324"/>
      <c r="P21" s="324"/>
      <c r="Q21" s="324"/>
      <c r="R21" s="324"/>
      <c r="S21" s="324"/>
      <c r="T21" s="324"/>
      <c r="U21" s="324"/>
      <c r="V21" s="324"/>
    </row>
    <row r="22" spans="1:22" s="339" customFormat="1">
      <c r="G22" s="324"/>
      <c r="H22" s="324"/>
      <c r="I22" s="322"/>
      <c r="J22" s="324"/>
      <c r="K22" s="324"/>
      <c r="L22" s="324"/>
      <c r="M22" s="324"/>
      <c r="N22" s="324"/>
      <c r="O22" s="324"/>
      <c r="P22" s="324"/>
      <c r="Q22" s="324"/>
      <c r="R22" s="324"/>
      <c r="S22" s="324"/>
      <c r="T22" s="324"/>
      <c r="U22" s="324"/>
      <c r="V22" s="324"/>
    </row>
    <row r="23" spans="1:22" s="339" customFormat="1">
      <c r="G23" s="324"/>
      <c r="H23" s="324"/>
      <c r="I23" s="322"/>
      <c r="J23" s="324"/>
      <c r="K23" s="324"/>
      <c r="L23" s="324"/>
      <c r="M23" s="324"/>
      <c r="N23" s="324"/>
      <c r="O23" s="324"/>
      <c r="P23" s="324"/>
      <c r="Q23" s="324"/>
      <c r="R23" s="324"/>
      <c r="S23" s="324"/>
      <c r="T23" s="324"/>
      <c r="U23" s="324"/>
      <c r="V23" s="324"/>
    </row>
    <row r="24" spans="1:22" s="339" customFormat="1">
      <c r="G24" s="324"/>
      <c r="H24" s="324"/>
      <c r="I24" s="322"/>
      <c r="J24" s="324"/>
      <c r="K24" s="324"/>
      <c r="L24" s="324"/>
      <c r="M24" s="324"/>
      <c r="N24" s="324"/>
      <c r="O24" s="324"/>
      <c r="P24" s="324"/>
      <c r="Q24" s="324"/>
      <c r="R24" s="324"/>
      <c r="S24" s="324"/>
      <c r="T24" s="324"/>
      <c r="U24" s="324"/>
      <c r="V24" s="324"/>
    </row>
    <row r="25" spans="1:22" s="339" customFormat="1">
      <c r="G25" s="324"/>
      <c r="H25" s="324"/>
      <c r="I25" s="322"/>
      <c r="J25" s="324"/>
      <c r="K25" s="324"/>
      <c r="L25" s="324"/>
      <c r="M25" s="324"/>
      <c r="N25" s="324"/>
      <c r="O25" s="324"/>
      <c r="P25" s="324"/>
      <c r="Q25" s="324"/>
      <c r="R25" s="324"/>
      <c r="S25" s="324"/>
      <c r="T25" s="324"/>
      <c r="U25" s="324"/>
      <c r="V25" s="324"/>
    </row>
    <row r="26" spans="1:22" s="339" customFormat="1">
      <c r="G26" s="324"/>
      <c r="H26" s="324"/>
      <c r="I26" s="322"/>
      <c r="J26" s="324"/>
      <c r="K26" s="324"/>
      <c r="L26" s="324"/>
      <c r="M26" s="324"/>
      <c r="N26" s="324"/>
      <c r="O26" s="324"/>
      <c r="P26" s="324"/>
      <c r="Q26" s="324"/>
      <c r="R26" s="324"/>
      <c r="S26" s="324"/>
      <c r="T26" s="324"/>
      <c r="U26" s="324"/>
      <c r="V26" s="324"/>
    </row>
    <row r="27" spans="1:22" s="339" customFormat="1">
      <c r="G27" s="324"/>
      <c r="H27" s="324"/>
      <c r="I27" s="322"/>
      <c r="J27" s="324"/>
      <c r="K27" s="324"/>
      <c r="L27" s="324"/>
      <c r="M27" s="324"/>
      <c r="N27" s="324"/>
      <c r="O27" s="324"/>
      <c r="P27" s="324"/>
      <c r="Q27" s="324"/>
      <c r="R27" s="324"/>
      <c r="S27" s="324"/>
      <c r="T27" s="324"/>
      <c r="U27" s="324"/>
      <c r="V27" s="324"/>
    </row>
    <row r="28" spans="1:22" s="339" customFormat="1">
      <c r="G28" s="324"/>
      <c r="H28" s="324"/>
      <c r="I28" s="322"/>
      <c r="J28" s="324"/>
      <c r="K28" s="324"/>
      <c r="L28" s="324"/>
      <c r="M28" s="324"/>
      <c r="N28" s="324"/>
      <c r="O28" s="324"/>
      <c r="P28" s="324"/>
      <c r="Q28" s="324"/>
      <c r="R28" s="324"/>
      <c r="S28" s="324"/>
      <c r="T28" s="324"/>
      <c r="U28" s="324"/>
      <c r="V28" s="324"/>
    </row>
    <row r="29" spans="1:22" s="339" customFormat="1">
      <c r="G29" s="324"/>
      <c r="H29" s="324"/>
      <c r="I29" s="322"/>
      <c r="J29" s="324"/>
      <c r="K29" s="324"/>
      <c r="L29" s="324"/>
      <c r="M29" s="324"/>
      <c r="N29" s="324"/>
      <c r="O29" s="324"/>
      <c r="P29" s="324"/>
      <c r="Q29" s="324"/>
      <c r="R29" s="324"/>
      <c r="S29" s="324"/>
      <c r="T29" s="324"/>
      <c r="U29" s="324"/>
      <c r="V29" s="324"/>
    </row>
    <row r="30" spans="1:22" s="339" customFormat="1">
      <c r="G30" s="324"/>
      <c r="H30" s="324"/>
      <c r="I30" s="322"/>
      <c r="J30" s="324"/>
      <c r="K30" s="324"/>
      <c r="L30" s="324"/>
      <c r="M30" s="324"/>
      <c r="N30" s="324"/>
      <c r="O30" s="324"/>
      <c r="P30" s="324"/>
      <c r="Q30" s="324"/>
      <c r="R30" s="324"/>
      <c r="S30" s="324"/>
      <c r="T30" s="324"/>
      <c r="U30" s="324"/>
      <c r="V30" s="324"/>
    </row>
    <row r="31" spans="1:22" s="339" customFormat="1">
      <c r="G31" s="324"/>
      <c r="H31" s="324"/>
      <c r="I31" s="322"/>
      <c r="J31" s="324"/>
      <c r="K31" s="324"/>
      <c r="L31" s="324"/>
      <c r="M31" s="324"/>
      <c r="N31" s="324"/>
      <c r="O31" s="324"/>
      <c r="P31" s="324"/>
      <c r="Q31" s="324"/>
      <c r="R31" s="324"/>
      <c r="S31" s="324"/>
      <c r="T31" s="324"/>
      <c r="U31" s="324"/>
      <c r="V31" s="324"/>
    </row>
    <row r="32" spans="1:22" s="339" customFormat="1">
      <c r="G32" s="324"/>
      <c r="H32" s="324"/>
      <c r="I32" s="322"/>
      <c r="J32" s="324"/>
      <c r="K32" s="324"/>
      <c r="L32" s="324"/>
      <c r="M32" s="324"/>
      <c r="N32" s="324"/>
      <c r="O32" s="324"/>
      <c r="P32" s="324"/>
      <c r="Q32" s="324"/>
      <c r="R32" s="324"/>
      <c r="S32" s="324"/>
      <c r="T32" s="324"/>
      <c r="U32" s="324"/>
      <c r="V32" s="324"/>
    </row>
    <row r="33" spans="7:22" s="339" customFormat="1">
      <c r="G33" s="324"/>
      <c r="H33" s="324"/>
      <c r="I33" s="322"/>
      <c r="J33" s="324"/>
      <c r="K33" s="324"/>
      <c r="L33" s="324"/>
      <c r="M33" s="324"/>
      <c r="N33" s="324"/>
      <c r="O33" s="324"/>
      <c r="P33" s="324"/>
      <c r="Q33" s="324"/>
      <c r="R33" s="324"/>
      <c r="S33" s="324"/>
      <c r="T33" s="324"/>
      <c r="U33" s="324"/>
      <c r="V33" s="324"/>
    </row>
    <row r="34" spans="7:22" s="339" customFormat="1">
      <c r="G34" s="324"/>
      <c r="H34" s="324"/>
      <c r="I34" s="322"/>
      <c r="J34" s="324"/>
      <c r="K34" s="324"/>
      <c r="L34" s="324"/>
      <c r="M34" s="324"/>
      <c r="N34" s="324"/>
      <c r="O34" s="324"/>
      <c r="P34" s="324"/>
      <c r="Q34" s="324"/>
      <c r="R34" s="324"/>
      <c r="S34" s="324"/>
      <c r="T34" s="324"/>
      <c r="U34" s="324"/>
      <c r="V34" s="324"/>
    </row>
    <row r="35" spans="7:22" s="339" customFormat="1">
      <c r="G35" s="324"/>
      <c r="H35" s="324"/>
      <c r="I35" s="322"/>
      <c r="J35" s="324"/>
      <c r="K35" s="324"/>
      <c r="L35" s="324"/>
      <c r="M35" s="324"/>
      <c r="N35" s="324"/>
      <c r="O35" s="324"/>
      <c r="P35" s="324"/>
      <c r="Q35" s="324"/>
      <c r="R35" s="324"/>
      <c r="S35" s="324"/>
      <c r="T35" s="324"/>
      <c r="U35" s="324"/>
      <c r="V35" s="324"/>
    </row>
    <row r="36" spans="7:22" s="339" customFormat="1">
      <c r="G36" s="324"/>
      <c r="H36" s="324"/>
      <c r="I36" s="322"/>
      <c r="J36" s="324"/>
      <c r="K36" s="324"/>
      <c r="L36" s="324"/>
      <c r="M36" s="324"/>
      <c r="N36" s="324"/>
      <c r="O36" s="324"/>
      <c r="P36" s="324"/>
      <c r="Q36" s="324"/>
      <c r="R36" s="324"/>
      <c r="S36" s="324"/>
      <c r="T36" s="324"/>
      <c r="U36" s="324"/>
      <c r="V36" s="324"/>
    </row>
    <row r="37" spans="7:22" s="339" customFormat="1">
      <c r="G37" s="324"/>
      <c r="H37" s="324"/>
      <c r="I37" s="322"/>
      <c r="J37" s="324"/>
      <c r="K37" s="324"/>
      <c r="L37" s="324"/>
      <c r="M37" s="324"/>
      <c r="N37" s="324"/>
      <c r="O37" s="324"/>
      <c r="P37" s="324"/>
      <c r="Q37" s="324"/>
      <c r="R37" s="324"/>
      <c r="S37" s="324"/>
      <c r="T37" s="324"/>
      <c r="U37" s="324"/>
      <c r="V37" s="324"/>
    </row>
    <row r="38" spans="7:22" s="340" customFormat="1">
      <c r="G38" s="324"/>
      <c r="H38" s="324"/>
      <c r="I38" s="322"/>
      <c r="J38" s="324"/>
      <c r="K38" s="324"/>
      <c r="L38" s="324"/>
      <c r="M38" s="324"/>
      <c r="N38" s="324"/>
      <c r="O38" s="324"/>
      <c r="P38" s="324"/>
      <c r="Q38" s="324"/>
      <c r="R38" s="324"/>
      <c r="S38" s="324"/>
      <c r="T38" s="324"/>
      <c r="U38" s="324"/>
      <c r="V38" s="324"/>
    </row>
    <row r="39" spans="7:22" s="340" customFormat="1">
      <c r="G39" s="324"/>
      <c r="H39" s="324"/>
      <c r="I39" s="322"/>
      <c r="J39" s="324"/>
      <c r="K39" s="324"/>
      <c r="L39" s="324"/>
      <c r="M39" s="324"/>
      <c r="N39" s="324"/>
      <c r="O39" s="324"/>
      <c r="P39" s="324"/>
      <c r="Q39" s="324"/>
      <c r="R39" s="324"/>
      <c r="S39" s="324"/>
      <c r="T39" s="324"/>
      <c r="U39" s="324"/>
      <c r="V39" s="324"/>
    </row>
    <row r="40" spans="7:22" s="340" customFormat="1">
      <c r="G40" s="324"/>
      <c r="H40" s="324"/>
      <c r="I40" s="322"/>
      <c r="J40" s="324"/>
      <c r="K40" s="324"/>
      <c r="L40" s="324"/>
      <c r="M40" s="324"/>
      <c r="N40" s="324"/>
      <c r="O40" s="324"/>
      <c r="P40" s="324"/>
      <c r="Q40" s="324"/>
      <c r="R40" s="324"/>
      <c r="S40" s="324"/>
      <c r="T40" s="324"/>
      <c r="U40" s="324"/>
      <c r="V40" s="324"/>
    </row>
    <row r="41" spans="7:22" s="340" customFormat="1">
      <c r="G41" s="324"/>
      <c r="H41" s="324"/>
      <c r="I41" s="322"/>
      <c r="J41" s="324"/>
      <c r="K41" s="324"/>
      <c r="L41" s="324"/>
      <c r="M41" s="324"/>
      <c r="N41" s="324"/>
      <c r="O41" s="324"/>
      <c r="P41" s="324"/>
      <c r="Q41" s="324"/>
      <c r="R41" s="324"/>
      <c r="S41" s="324"/>
      <c r="T41" s="324"/>
      <c r="U41" s="324"/>
      <c r="V41" s="324"/>
    </row>
    <row r="42" spans="7:22" s="340" customFormat="1">
      <c r="G42" s="324"/>
      <c r="H42" s="324"/>
      <c r="I42" s="322"/>
      <c r="J42" s="324"/>
      <c r="K42" s="324"/>
      <c r="L42" s="324"/>
      <c r="M42" s="324"/>
      <c r="N42" s="324"/>
      <c r="O42" s="324"/>
      <c r="P42" s="324"/>
      <c r="Q42" s="324"/>
      <c r="R42" s="324"/>
      <c r="S42" s="324"/>
      <c r="T42" s="324"/>
      <c r="U42" s="324"/>
      <c r="V42" s="324"/>
    </row>
    <row r="43" spans="7:22" s="340" customFormat="1">
      <c r="G43" s="324"/>
      <c r="H43" s="324"/>
      <c r="I43" s="322"/>
      <c r="J43" s="324"/>
      <c r="K43" s="324"/>
      <c r="L43" s="324"/>
      <c r="M43" s="324"/>
      <c r="N43" s="324"/>
      <c r="O43" s="324"/>
      <c r="P43" s="324"/>
      <c r="Q43" s="324"/>
      <c r="R43" s="324"/>
      <c r="S43" s="324"/>
      <c r="T43" s="324"/>
      <c r="U43" s="324"/>
      <c r="V43" s="324"/>
    </row>
    <row r="44" spans="7:22" s="340" customFormat="1">
      <c r="G44" s="324"/>
      <c r="H44" s="324"/>
      <c r="I44" s="322"/>
      <c r="J44" s="324"/>
      <c r="K44" s="324"/>
      <c r="L44" s="324"/>
      <c r="M44" s="324"/>
      <c r="N44" s="324"/>
      <c r="O44" s="324"/>
      <c r="P44" s="324"/>
      <c r="Q44" s="324"/>
      <c r="R44" s="324"/>
      <c r="S44" s="324"/>
      <c r="T44" s="324"/>
      <c r="U44" s="324"/>
      <c r="V44" s="324"/>
    </row>
    <row r="45" spans="7:22" s="340" customFormat="1">
      <c r="G45" s="324"/>
      <c r="H45" s="324"/>
      <c r="I45" s="322"/>
      <c r="J45" s="324"/>
      <c r="K45" s="324"/>
      <c r="L45" s="324"/>
      <c r="M45" s="324"/>
      <c r="N45" s="324"/>
      <c r="O45" s="324"/>
      <c r="P45" s="324"/>
      <c r="Q45" s="324"/>
      <c r="R45" s="324"/>
      <c r="S45" s="324"/>
      <c r="T45" s="324"/>
      <c r="U45" s="324"/>
      <c r="V45" s="324"/>
    </row>
    <row r="46" spans="7:22" s="340" customFormat="1">
      <c r="G46" s="324"/>
      <c r="H46" s="324"/>
      <c r="I46" s="322"/>
      <c r="J46" s="324"/>
      <c r="K46" s="324"/>
      <c r="L46" s="324"/>
      <c r="M46" s="324"/>
      <c r="N46" s="324"/>
      <c r="O46" s="324"/>
      <c r="P46" s="324"/>
      <c r="Q46" s="324"/>
      <c r="R46" s="324"/>
      <c r="S46" s="324"/>
      <c r="T46" s="324"/>
      <c r="U46" s="324"/>
      <c r="V46" s="324"/>
    </row>
    <row r="47" spans="7:22" s="340" customFormat="1">
      <c r="G47" s="324"/>
      <c r="H47" s="324"/>
      <c r="I47" s="322"/>
      <c r="J47" s="324"/>
      <c r="K47" s="324"/>
      <c r="L47" s="324"/>
      <c r="M47" s="324"/>
      <c r="N47" s="324"/>
      <c r="O47" s="324"/>
      <c r="P47" s="324"/>
      <c r="Q47" s="324"/>
      <c r="R47" s="324"/>
      <c r="S47" s="324"/>
      <c r="T47" s="324"/>
      <c r="U47" s="324"/>
      <c r="V47" s="324"/>
    </row>
    <row r="48" spans="7:22" s="340" customFormat="1">
      <c r="G48" s="324"/>
      <c r="H48" s="324"/>
      <c r="I48" s="322"/>
      <c r="J48" s="324"/>
      <c r="K48" s="324"/>
      <c r="L48" s="324"/>
      <c r="M48" s="324"/>
      <c r="N48" s="324"/>
      <c r="O48" s="324"/>
      <c r="P48" s="324"/>
      <c r="Q48" s="324"/>
      <c r="R48" s="324"/>
      <c r="S48" s="324"/>
      <c r="T48" s="324"/>
      <c r="U48" s="324"/>
      <c r="V48" s="324"/>
    </row>
    <row r="49" spans="7:22" s="340" customFormat="1">
      <c r="G49" s="324"/>
      <c r="H49" s="324"/>
      <c r="I49" s="322"/>
      <c r="J49" s="324"/>
      <c r="K49" s="324"/>
      <c r="L49" s="324"/>
      <c r="M49" s="324"/>
      <c r="N49" s="324"/>
      <c r="O49" s="324"/>
      <c r="P49" s="324"/>
      <c r="Q49" s="324"/>
      <c r="R49" s="324"/>
      <c r="S49" s="324"/>
      <c r="T49" s="324"/>
      <c r="U49" s="324"/>
      <c r="V49" s="324"/>
    </row>
    <row r="50" spans="7:22" s="340" customFormat="1">
      <c r="G50" s="324"/>
      <c r="H50" s="324"/>
      <c r="I50" s="322"/>
      <c r="J50" s="324"/>
      <c r="K50" s="324"/>
      <c r="L50" s="324"/>
      <c r="M50" s="324"/>
      <c r="N50" s="324"/>
      <c r="O50" s="324"/>
      <c r="P50" s="324"/>
      <c r="Q50" s="324"/>
      <c r="R50" s="324"/>
      <c r="S50" s="324"/>
      <c r="T50" s="324"/>
      <c r="U50" s="324"/>
      <c r="V50" s="324"/>
    </row>
    <row r="51" spans="7:22" s="340" customFormat="1">
      <c r="G51" s="324"/>
      <c r="H51" s="324"/>
      <c r="I51" s="322"/>
      <c r="J51" s="324"/>
      <c r="K51" s="324"/>
      <c r="L51" s="324"/>
      <c r="M51" s="324"/>
      <c r="N51" s="324"/>
      <c r="O51" s="324"/>
      <c r="P51" s="324"/>
      <c r="Q51" s="324"/>
      <c r="R51" s="324"/>
      <c r="S51" s="324"/>
      <c r="T51" s="324"/>
      <c r="U51" s="324"/>
      <c r="V51" s="324"/>
    </row>
    <row r="52" spans="7:22" s="340" customFormat="1">
      <c r="G52" s="324"/>
      <c r="H52" s="324"/>
      <c r="I52" s="322"/>
      <c r="J52" s="324"/>
      <c r="K52" s="324"/>
      <c r="L52" s="324"/>
      <c r="M52" s="324"/>
      <c r="N52" s="324"/>
      <c r="O52" s="324"/>
      <c r="P52" s="324"/>
      <c r="Q52" s="324"/>
      <c r="R52" s="324"/>
      <c r="S52" s="324"/>
      <c r="T52" s="324"/>
      <c r="U52" s="324"/>
      <c r="V52" s="324"/>
    </row>
    <row r="53" spans="7:22" s="340" customFormat="1">
      <c r="G53" s="324"/>
      <c r="H53" s="324"/>
      <c r="I53" s="322"/>
      <c r="J53" s="324"/>
      <c r="K53" s="324"/>
      <c r="L53" s="324"/>
      <c r="M53" s="324"/>
      <c r="N53" s="324"/>
      <c r="O53" s="324"/>
      <c r="P53" s="324"/>
      <c r="Q53" s="324"/>
      <c r="R53" s="324"/>
      <c r="S53" s="324"/>
      <c r="T53" s="324"/>
      <c r="U53" s="324"/>
      <c r="V53" s="324"/>
    </row>
    <row r="54" spans="7:22" s="340" customFormat="1">
      <c r="G54" s="324"/>
      <c r="H54" s="324"/>
      <c r="I54" s="322"/>
      <c r="J54" s="324"/>
      <c r="K54" s="324"/>
      <c r="L54" s="324"/>
      <c r="M54" s="324"/>
      <c r="N54" s="324"/>
      <c r="O54" s="324"/>
      <c r="P54" s="324"/>
      <c r="Q54" s="324"/>
      <c r="R54" s="324"/>
      <c r="S54" s="324"/>
      <c r="T54" s="324"/>
      <c r="U54" s="324"/>
      <c r="V54" s="324"/>
    </row>
    <row r="55" spans="7:22" s="340" customFormat="1">
      <c r="G55" s="324"/>
      <c r="H55" s="324"/>
      <c r="I55" s="322"/>
      <c r="J55" s="324"/>
      <c r="K55" s="324"/>
      <c r="L55" s="324"/>
      <c r="M55" s="324"/>
      <c r="N55" s="324"/>
      <c r="O55" s="324"/>
      <c r="P55" s="324"/>
      <c r="Q55" s="324"/>
      <c r="R55" s="324"/>
      <c r="S55" s="324"/>
      <c r="T55" s="324"/>
      <c r="U55" s="324"/>
      <c r="V55" s="324"/>
    </row>
    <row r="56" spans="7:22" s="340" customFormat="1">
      <c r="G56" s="324"/>
      <c r="H56" s="324"/>
      <c r="I56" s="322"/>
      <c r="J56" s="324"/>
      <c r="K56" s="324"/>
      <c r="L56" s="324"/>
      <c r="M56" s="324"/>
      <c r="N56" s="324"/>
      <c r="O56" s="324"/>
      <c r="P56" s="324"/>
      <c r="Q56" s="324"/>
      <c r="R56" s="324"/>
      <c r="S56" s="324"/>
      <c r="T56" s="324"/>
      <c r="U56" s="324"/>
      <c r="V56" s="324"/>
    </row>
    <row r="57" spans="7:22" s="340" customFormat="1">
      <c r="G57" s="324"/>
      <c r="H57" s="324"/>
      <c r="I57" s="322"/>
      <c r="J57" s="324"/>
      <c r="K57" s="324"/>
      <c r="L57" s="324"/>
      <c r="M57" s="324"/>
      <c r="N57" s="324"/>
      <c r="O57" s="324"/>
      <c r="P57" s="324"/>
      <c r="Q57" s="324"/>
      <c r="R57" s="324"/>
      <c r="S57" s="324"/>
      <c r="T57" s="324"/>
      <c r="U57" s="324"/>
      <c r="V57" s="324"/>
    </row>
    <row r="58" spans="7:22" s="340" customFormat="1">
      <c r="G58" s="324"/>
      <c r="H58" s="324"/>
      <c r="I58" s="322"/>
      <c r="J58" s="324"/>
      <c r="K58" s="324"/>
      <c r="L58" s="324"/>
      <c r="M58" s="324"/>
      <c r="N58" s="324"/>
      <c r="O58" s="324"/>
      <c r="P58" s="324"/>
      <c r="Q58" s="324"/>
      <c r="R58" s="324"/>
      <c r="S58" s="324"/>
      <c r="T58" s="324"/>
      <c r="U58" s="324"/>
      <c r="V58" s="324"/>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802C19"/>
  </sheetPr>
  <dimension ref="A1:W63"/>
  <sheetViews>
    <sheetView topLeftCell="C3" zoomScale="85" zoomScaleNormal="85" workbookViewId="0">
      <selection activeCell="E13" sqref="E13"/>
    </sheetView>
  </sheetViews>
  <sheetFormatPr defaultColWidth="8.81640625" defaultRowHeight="13"/>
  <cols>
    <col min="1" max="1" width="10.1796875" style="329" customWidth="1"/>
    <col min="2" max="2" width="88.81640625" style="329" customWidth="1"/>
    <col min="3" max="4" width="22.453125" style="329" customWidth="1"/>
    <col min="5" max="6" width="81.81640625" style="329" customWidth="1"/>
    <col min="7" max="7" width="23.1796875" style="324" customWidth="1"/>
    <col min="8" max="23" width="8.81640625" style="324"/>
    <col min="24" max="16384" width="8.81640625" style="329"/>
  </cols>
  <sheetData>
    <row r="1" spans="1:23" s="322" customFormat="1" ht="26">
      <c r="A1" s="321" t="s">
        <v>155</v>
      </c>
      <c r="C1" s="323"/>
      <c r="G1" s="324"/>
      <c r="H1" s="324"/>
      <c r="I1" s="324"/>
      <c r="J1" s="324"/>
      <c r="K1" s="324"/>
      <c r="L1" s="324"/>
      <c r="M1" s="324"/>
      <c r="N1" s="324"/>
      <c r="O1" s="324"/>
      <c r="P1" s="324"/>
      <c r="Q1" s="324"/>
      <c r="R1" s="324"/>
      <c r="S1" s="324"/>
      <c r="T1" s="324"/>
      <c r="U1" s="324"/>
      <c r="V1" s="324"/>
      <c r="W1" s="324"/>
    </row>
    <row r="2" spans="1:23" s="322" customFormat="1" ht="26">
      <c r="A2" s="321" t="s">
        <v>1723</v>
      </c>
      <c r="C2" s="323"/>
      <c r="G2" s="324"/>
      <c r="H2" s="324"/>
      <c r="I2" s="324"/>
      <c r="J2" s="324"/>
      <c r="K2" s="324"/>
      <c r="L2" s="324"/>
      <c r="M2" s="324"/>
      <c r="N2" s="324"/>
      <c r="O2" s="324"/>
      <c r="P2" s="324"/>
      <c r="Q2" s="324"/>
      <c r="R2" s="324"/>
      <c r="S2" s="324"/>
      <c r="T2" s="324"/>
      <c r="U2" s="324"/>
      <c r="V2" s="324"/>
      <c r="W2" s="324"/>
    </row>
    <row r="3" spans="1:23" s="322" customFormat="1">
      <c r="A3" s="325" t="s">
        <v>456</v>
      </c>
      <c r="B3" s="322" t="s">
        <v>156</v>
      </c>
      <c r="G3" s="324"/>
      <c r="H3" s="324"/>
      <c r="I3" s="324"/>
      <c r="J3" s="324"/>
      <c r="K3" s="324"/>
      <c r="L3" s="324"/>
      <c r="M3" s="324"/>
      <c r="N3" s="324"/>
      <c r="O3" s="324"/>
      <c r="P3" s="324"/>
      <c r="Q3" s="324"/>
      <c r="R3" s="324"/>
      <c r="S3" s="324"/>
      <c r="T3" s="324"/>
      <c r="U3" s="324"/>
      <c r="V3" s="324"/>
      <c r="W3" s="324"/>
    </row>
    <row r="4" spans="1:23" s="322" customFormat="1">
      <c r="A4" s="325" t="s">
        <v>1724</v>
      </c>
      <c r="B4" s="322" t="s">
        <v>1725</v>
      </c>
      <c r="G4" s="324"/>
      <c r="H4" s="324"/>
      <c r="I4" s="324"/>
      <c r="J4" s="324"/>
      <c r="K4" s="324"/>
      <c r="L4" s="324"/>
      <c r="M4" s="324"/>
      <c r="N4" s="324"/>
      <c r="O4" s="324"/>
      <c r="P4" s="324"/>
      <c r="Q4" s="324"/>
      <c r="R4" s="324"/>
      <c r="S4" s="324"/>
      <c r="T4" s="324"/>
      <c r="U4" s="324"/>
      <c r="V4" s="324"/>
      <c r="W4" s="324"/>
    </row>
    <row r="5" spans="1:23" s="322" customFormat="1">
      <c r="A5" s="322" t="s">
        <v>457</v>
      </c>
      <c r="B5" s="322" t="s">
        <v>157</v>
      </c>
      <c r="G5" s="324"/>
      <c r="H5" s="324"/>
      <c r="I5" s="324"/>
      <c r="J5" s="324"/>
      <c r="K5" s="324"/>
      <c r="L5" s="324"/>
      <c r="M5" s="324"/>
      <c r="N5" s="324"/>
      <c r="O5" s="324"/>
      <c r="P5" s="324"/>
      <c r="Q5" s="324"/>
      <c r="R5" s="324"/>
      <c r="S5" s="324"/>
      <c r="T5" s="324"/>
      <c r="U5" s="324"/>
      <c r="V5" s="324"/>
      <c r="W5" s="324"/>
    </row>
    <row r="6" spans="1:23" s="322" customFormat="1">
      <c r="A6" s="322" t="s">
        <v>1726</v>
      </c>
      <c r="B6" s="322" t="s">
        <v>1727</v>
      </c>
      <c r="G6" s="324"/>
      <c r="H6" s="324"/>
      <c r="I6" s="324"/>
      <c r="J6" s="324"/>
      <c r="K6" s="324"/>
      <c r="L6" s="324"/>
      <c r="M6" s="324"/>
      <c r="N6" s="324"/>
      <c r="O6" s="324"/>
      <c r="P6" s="324"/>
      <c r="Q6" s="324"/>
      <c r="R6" s="324"/>
      <c r="S6" s="324"/>
      <c r="T6" s="324"/>
      <c r="U6" s="324"/>
      <c r="V6" s="324"/>
      <c r="W6" s="324"/>
    </row>
    <row r="8" spans="1:23" s="322" customFormat="1">
      <c r="A8" s="350"/>
      <c r="B8" s="350"/>
      <c r="C8" s="350" t="s">
        <v>96</v>
      </c>
      <c r="D8" s="350" t="s">
        <v>562</v>
      </c>
      <c r="E8" s="350" t="s">
        <v>85</v>
      </c>
      <c r="F8" s="350" t="s">
        <v>1664</v>
      </c>
      <c r="G8" s="350" t="s">
        <v>1692</v>
      </c>
    </row>
    <row r="9" spans="1:23" s="325" customFormat="1">
      <c r="A9" s="330" t="s">
        <v>47</v>
      </c>
      <c r="B9" s="330"/>
      <c r="C9" s="331"/>
      <c r="D9" s="331"/>
      <c r="E9" s="331"/>
      <c r="F9" s="331"/>
      <c r="G9" s="331"/>
    </row>
    <row r="10" spans="1:23" s="325" customFormat="1" ht="39">
      <c r="A10" s="3" t="s">
        <v>158</v>
      </c>
      <c r="B10" s="3" t="s">
        <v>1728</v>
      </c>
      <c r="C10" s="336" t="s">
        <v>1729</v>
      </c>
      <c r="D10" s="336" t="s">
        <v>1730</v>
      </c>
      <c r="E10" s="336" t="s">
        <v>1574</v>
      </c>
      <c r="F10" s="336"/>
      <c r="G10" s="3"/>
    </row>
    <row r="11" spans="1:23" s="148" customFormat="1">
      <c r="A11" s="330" t="s">
        <v>54</v>
      </c>
      <c r="B11" s="330"/>
      <c r="C11" s="331"/>
      <c r="D11" s="331"/>
      <c r="E11" s="331"/>
      <c r="F11" s="331"/>
      <c r="G11" s="331"/>
      <c r="H11" s="325"/>
      <c r="I11" s="325"/>
      <c r="J11" s="325"/>
      <c r="K11" s="325"/>
      <c r="L11" s="325"/>
      <c r="M11" s="325"/>
      <c r="N11" s="325"/>
      <c r="O11" s="325"/>
      <c r="P11" s="325"/>
      <c r="Q11" s="325"/>
      <c r="R11" s="325"/>
      <c r="S11" s="325"/>
      <c r="T11" s="325"/>
      <c r="U11" s="325"/>
      <c r="V11" s="325"/>
      <c r="W11" s="325"/>
    </row>
    <row r="12" spans="1:23" s="148" customFormat="1" ht="91">
      <c r="A12" s="3" t="s">
        <v>159</v>
      </c>
      <c r="B12" s="3" t="s">
        <v>160</v>
      </c>
      <c r="C12" s="336" t="s">
        <v>1731</v>
      </c>
      <c r="D12" s="336" t="s">
        <v>1732</v>
      </c>
      <c r="E12" s="336" t="s">
        <v>1733</v>
      </c>
      <c r="F12" s="336"/>
      <c r="G12" s="3"/>
      <c r="H12" s="325"/>
      <c r="I12" s="325"/>
      <c r="J12" s="325"/>
      <c r="K12" s="325"/>
      <c r="L12" s="325"/>
      <c r="M12" s="325"/>
      <c r="N12" s="325"/>
      <c r="O12" s="325"/>
      <c r="P12" s="325"/>
      <c r="Q12" s="325"/>
      <c r="R12" s="325"/>
      <c r="S12" s="325"/>
      <c r="T12" s="325"/>
      <c r="U12" s="325"/>
      <c r="V12" s="325"/>
      <c r="W12" s="325"/>
    </row>
    <row r="13" spans="1:23" s="93" customFormat="1" ht="78">
      <c r="A13" s="3" t="s">
        <v>161</v>
      </c>
      <c r="B13" s="3" t="s">
        <v>1734</v>
      </c>
      <c r="C13" s="336" t="s">
        <v>1735</v>
      </c>
      <c r="D13" s="336" t="s">
        <v>1736</v>
      </c>
      <c r="E13" s="336" t="s">
        <v>2084</v>
      </c>
      <c r="F13" s="336"/>
      <c r="G13" s="3"/>
      <c r="H13" s="325"/>
      <c r="I13" s="325"/>
      <c r="J13" s="325"/>
      <c r="K13" s="325"/>
      <c r="L13" s="325"/>
      <c r="M13" s="325"/>
      <c r="N13" s="325"/>
      <c r="O13" s="325"/>
      <c r="P13" s="325"/>
      <c r="Q13" s="325"/>
      <c r="R13" s="325"/>
      <c r="S13" s="325"/>
      <c r="T13" s="325"/>
      <c r="U13" s="325"/>
      <c r="V13" s="325"/>
      <c r="W13" s="325"/>
    </row>
    <row r="14" spans="1:23" s="325" customFormat="1" ht="91">
      <c r="A14" s="3" t="s">
        <v>162</v>
      </c>
      <c r="B14" s="3" t="s">
        <v>1737</v>
      </c>
      <c r="C14" s="336" t="s">
        <v>1738</v>
      </c>
      <c r="D14" s="336" t="s">
        <v>1739</v>
      </c>
      <c r="E14" s="336" t="s">
        <v>2083</v>
      </c>
      <c r="F14" s="336"/>
      <c r="G14" s="3"/>
    </row>
    <row r="15" spans="1:23" s="325" customFormat="1" ht="26">
      <c r="A15" s="3" t="s">
        <v>163</v>
      </c>
      <c r="B15" s="3" t="s">
        <v>1740</v>
      </c>
      <c r="C15" s="336" t="s">
        <v>459</v>
      </c>
      <c r="D15" s="336" t="s">
        <v>458</v>
      </c>
      <c r="E15" s="336" t="s">
        <v>1575</v>
      </c>
      <c r="F15" s="336"/>
      <c r="G15" s="3"/>
    </row>
    <row r="16" spans="1:23" s="148" customFormat="1">
      <c r="A16" s="330" t="s">
        <v>56</v>
      </c>
      <c r="B16" s="330"/>
      <c r="C16" s="331"/>
      <c r="D16" s="331"/>
      <c r="E16" s="331"/>
      <c r="F16" s="331"/>
      <c r="G16" s="331"/>
      <c r="H16" s="325"/>
      <c r="I16" s="325"/>
      <c r="J16" s="325"/>
      <c r="K16" s="325"/>
      <c r="L16" s="325"/>
      <c r="M16" s="325"/>
      <c r="N16" s="325"/>
      <c r="O16" s="325"/>
      <c r="P16" s="325"/>
      <c r="Q16" s="325"/>
      <c r="R16" s="325"/>
      <c r="S16" s="325"/>
      <c r="T16" s="325"/>
      <c r="U16" s="325"/>
      <c r="V16" s="325"/>
      <c r="W16" s="325"/>
    </row>
    <row r="17" spans="1:23" s="148" customFormat="1" ht="52">
      <c r="A17" s="3" t="s">
        <v>164</v>
      </c>
      <c r="B17" s="3" t="s">
        <v>1741</v>
      </c>
      <c r="C17" s="336" t="s">
        <v>460</v>
      </c>
      <c r="D17" s="336" t="s">
        <v>1742</v>
      </c>
      <c r="E17" s="336" t="s">
        <v>1576</v>
      </c>
      <c r="F17" s="336"/>
      <c r="G17" s="3"/>
      <c r="H17" s="325"/>
      <c r="I17" s="325"/>
      <c r="J17" s="325"/>
      <c r="K17" s="325"/>
      <c r="L17" s="325"/>
      <c r="M17" s="325"/>
      <c r="N17" s="325"/>
      <c r="O17" s="325"/>
      <c r="P17" s="325"/>
      <c r="Q17" s="325"/>
      <c r="R17" s="325"/>
      <c r="S17" s="325"/>
      <c r="T17" s="325"/>
      <c r="U17" s="325"/>
      <c r="V17" s="325"/>
      <c r="W17" s="325"/>
    </row>
    <row r="18" spans="1:23" s="339" customFormat="1">
      <c r="G18" s="324"/>
      <c r="H18" s="324"/>
      <c r="I18" s="324"/>
      <c r="J18" s="324"/>
      <c r="K18" s="324"/>
      <c r="L18" s="324"/>
      <c r="M18" s="324"/>
      <c r="N18" s="324"/>
      <c r="O18" s="324"/>
      <c r="P18" s="324"/>
      <c r="Q18" s="324"/>
      <c r="R18" s="324"/>
      <c r="S18" s="324"/>
      <c r="T18" s="324"/>
      <c r="U18" s="324"/>
      <c r="V18" s="324"/>
      <c r="W18" s="324"/>
    </row>
    <row r="19" spans="1:23" s="339" customFormat="1">
      <c r="G19" s="324"/>
      <c r="H19" s="324"/>
      <c r="I19" s="324"/>
      <c r="J19" s="324"/>
      <c r="K19" s="324"/>
      <c r="L19" s="324"/>
      <c r="M19" s="324"/>
      <c r="N19" s="324"/>
      <c r="O19" s="324"/>
      <c r="P19" s="324"/>
      <c r="Q19" s="324"/>
      <c r="R19" s="324"/>
      <c r="S19" s="324"/>
      <c r="T19" s="324"/>
      <c r="U19" s="324"/>
      <c r="V19" s="324"/>
      <c r="W19" s="324"/>
    </row>
    <row r="20" spans="1:23" s="339" customFormat="1">
      <c r="G20" s="324"/>
      <c r="H20" s="324"/>
      <c r="I20" s="324"/>
      <c r="J20" s="324"/>
      <c r="K20" s="324"/>
      <c r="L20" s="324"/>
      <c r="M20" s="324"/>
      <c r="N20" s="324"/>
      <c r="O20" s="324"/>
      <c r="P20" s="324"/>
      <c r="Q20" s="324"/>
      <c r="R20" s="324"/>
      <c r="S20" s="324"/>
      <c r="T20" s="324"/>
      <c r="U20" s="324"/>
      <c r="V20" s="324"/>
      <c r="W20" s="324"/>
    </row>
    <row r="21" spans="1:23" s="339" customFormat="1">
      <c r="G21" s="324"/>
      <c r="H21" s="324"/>
      <c r="I21" s="324"/>
      <c r="J21" s="324"/>
      <c r="K21" s="324"/>
      <c r="L21" s="324"/>
      <c r="M21" s="324"/>
      <c r="N21" s="324"/>
      <c r="O21" s="324"/>
      <c r="P21" s="324"/>
      <c r="Q21" s="324"/>
      <c r="R21" s="324"/>
      <c r="S21" s="324"/>
      <c r="T21" s="324"/>
      <c r="U21" s="324"/>
      <c r="V21" s="324"/>
      <c r="W21" s="324"/>
    </row>
    <row r="22" spans="1:23" s="339" customFormat="1">
      <c r="G22" s="324"/>
      <c r="H22" s="324"/>
      <c r="I22" s="324"/>
      <c r="J22" s="324"/>
      <c r="K22" s="324"/>
      <c r="L22" s="324"/>
      <c r="M22" s="324"/>
      <c r="N22" s="324"/>
      <c r="O22" s="324"/>
      <c r="P22" s="324"/>
      <c r="Q22" s="324"/>
      <c r="R22" s="324"/>
      <c r="S22" s="324"/>
      <c r="T22" s="324"/>
      <c r="U22" s="324"/>
      <c r="V22" s="324"/>
      <c r="W22" s="324"/>
    </row>
    <row r="23" spans="1:23" s="339" customFormat="1">
      <c r="G23" s="324"/>
      <c r="H23" s="324"/>
      <c r="I23" s="324"/>
      <c r="J23" s="324"/>
      <c r="K23" s="324"/>
      <c r="L23" s="324"/>
      <c r="M23" s="324"/>
      <c r="N23" s="324"/>
      <c r="O23" s="324"/>
      <c r="P23" s="324"/>
      <c r="Q23" s="324"/>
      <c r="R23" s="324"/>
      <c r="S23" s="324"/>
      <c r="T23" s="324"/>
      <c r="U23" s="324"/>
      <c r="V23" s="324"/>
      <c r="W23" s="324"/>
    </row>
    <row r="24" spans="1:23" s="339" customFormat="1">
      <c r="G24" s="324"/>
      <c r="H24" s="324"/>
      <c r="I24" s="324"/>
      <c r="J24" s="324"/>
      <c r="K24" s="324"/>
      <c r="L24" s="324"/>
      <c r="M24" s="324"/>
      <c r="N24" s="324"/>
      <c r="O24" s="324"/>
      <c r="P24" s="324"/>
      <c r="Q24" s="324"/>
      <c r="R24" s="324"/>
      <c r="S24" s="324"/>
      <c r="T24" s="324"/>
      <c r="U24" s="324"/>
      <c r="V24" s="324"/>
      <c r="W24" s="324"/>
    </row>
    <row r="25" spans="1:23" s="339" customFormat="1">
      <c r="G25" s="324"/>
      <c r="H25" s="324"/>
      <c r="I25" s="324"/>
      <c r="J25" s="324"/>
      <c r="K25" s="324"/>
      <c r="L25" s="324"/>
      <c r="M25" s="324"/>
      <c r="N25" s="324"/>
      <c r="O25" s="324"/>
      <c r="P25" s="324"/>
      <c r="Q25" s="324"/>
      <c r="R25" s="324"/>
      <c r="S25" s="324"/>
      <c r="T25" s="324"/>
      <c r="U25" s="324"/>
      <c r="V25" s="324"/>
      <c r="W25" s="324"/>
    </row>
    <row r="26" spans="1:23" s="339" customFormat="1">
      <c r="G26" s="324"/>
      <c r="H26" s="324"/>
      <c r="I26" s="324"/>
      <c r="J26" s="324"/>
      <c r="K26" s="324"/>
      <c r="L26" s="324"/>
      <c r="M26" s="324"/>
      <c r="N26" s="324"/>
      <c r="O26" s="324"/>
      <c r="P26" s="324"/>
      <c r="Q26" s="324"/>
      <c r="R26" s="324"/>
      <c r="S26" s="324"/>
      <c r="T26" s="324"/>
      <c r="U26" s="324"/>
      <c r="V26" s="324"/>
      <c r="W26" s="324"/>
    </row>
    <row r="27" spans="1:23" s="339" customFormat="1">
      <c r="G27" s="324"/>
      <c r="H27" s="324"/>
      <c r="I27" s="324"/>
      <c r="J27" s="324"/>
      <c r="K27" s="324"/>
      <c r="L27" s="324"/>
      <c r="M27" s="324"/>
      <c r="N27" s="324"/>
      <c r="O27" s="324"/>
      <c r="P27" s="324"/>
      <c r="Q27" s="324"/>
      <c r="R27" s="324"/>
      <c r="S27" s="324"/>
      <c r="T27" s="324"/>
      <c r="U27" s="324"/>
      <c r="V27" s="324"/>
      <c r="W27" s="324"/>
    </row>
    <row r="28" spans="1:23" s="339" customFormat="1">
      <c r="G28" s="324"/>
      <c r="H28" s="324"/>
      <c r="I28" s="324"/>
      <c r="J28" s="324"/>
      <c r="K28" s="324"/>
      <c r="L28" s="324"/>
      <c r="M28" s="324"/>
      <c r="N28" s="324"/>
      <c r="O28" s="324"/>
      <c r="P28" s="324"/>
      <c r="Q28" s="324"/>
      <c r="R28" s="324"/>
      <c r="S28" s="324"/>
      <c r="T28" s="324"/>
      <c r="U28" s="324"/>
      <c r="V28" s="324"/>
      <c r="W28" s="324"/>
    </row>
    <row r="29" spans="1:23" s="339" customFormat="1">
      <c r="G29" s="324"/>
      <c r="H29" s="324"/>
      <c r="I29" s="324"/>
      <c r="J29" s="324"/>
      <c r="K29" s="324"/>
      <c r="L29" s="324"/>
      <c r="M29" s="324"/>
      <c r="N29" s="324"/>
      <c r="O29" s="324"/>
      <c r="P29" s="324"/>
      <c r="Q29" s="324"/>
      <c r="R29" s="324"/>
      <c r="S29" s="324"/>
      <c r="T29" s="324"/>
      <c r="U29" s="324"/>
      <c r="V29" s="324"/>
      <c r="W29" s="324"/>
    </row>
    <row r="30" spans="1:23" s="339" customFormat="1">
      <c r="G30" s="324"/>
      <c r="H30" s="324"/>
      <c r="I30" s="324"/>
      <c r="J30" s="324"/>
      <c r="K30" s="324"/>
      <c r="L30" s="324"/>
      <c r="M30" s="324"/>
      <c r="N30" s="324"/>
      <c r="O30" s="324"/>
      <c r="P30" s="324"/>
      <c r="Q30" s="324"/>
      <c r="R30" s="324"/>
      <c r="S30" s="324"/>
      <c r="T30" s="324"/>
      <c r="U30" s="324"/>
      <c r="V30" s="324"/>
      <c r="W30" s="324"/>
    </row>
    <row r="31" spans="1:23" s="339" customFormat="1">
      <c r="G31" s="324"/>
      <c r="H31" s="324"/>
      <c r="I31" s="324"/>
      <c r="J31" s="324"/>
      <c r="K31" s="324"/>
      <c r="L31" s="324"/>
      <c r="M31" s="324"/>
      <c r="N31" s="324"/>
      <c r="O31" s="324"/>
      <c r="P31" s="324"/>
      <c r="Q31" s="324"/>
      <c r="R31" s="324"/>
      <c r="S31" s="324"/>
      <c r="T31" s="324"/>
      <c r="U31" s="324"/>
      <c r="V31" s="324"/>
      <c r="W31" s="324"/>
    </row>
    <row r="32" spans="1:23" s="339" customFormat="1">
      <c r="G32" s="324"/>
      <c r="H32" s="324"/>
      <c r="I32" s="324"/>
      <c r="J32" s="324"/>
      <c r="K32" s="324"/>
      <c r="L32" s="324"/>
      <c r="M32" s="324"/>
      <c r="N32" s="324"/>
      <c r="O32" s="324"/>
      <c r="P32" s="324"/>
      <c r="Q32" s="324"/>
      <c r="R32" s="324"/>
      <c r="S32" s="324"/>
      <c r="T32" s="324"/>
      <c r="U32" s="324"/>
      <c r="V32" s="324"/>
      <c r="W32" s="324"/>
    </row>
    <row r="33" spans="7:23" s="339" customFormat="1">
      <c r="G33" s="324"/>
      <c r="H33" s="324"/>
      <c r="I33" s="324"/>
      <c r="J33" s="324"/>
      <c r="K33" s="324"/>
      <c r="L33" s="324"/>
      <c r="M33" s="324"/>
      <c r="N33" s="324"/>
      <c r="O33" s="324"/>
      <c r="P33" s="324"/>
      <c r="Q33" s="324"/>
      <c r="R33" s="324"/>
      <c r="S33" s="324"/>
      <c r="T33" s="324"/>
      <c r="U33" s="324"/>
      <c r="V33" s="324"/>
      <c r="W33" s="324"/>
    </row>
    <row r="34" spans="7:23" s="339" customFormat="1">
      <c r="G34" s="324"/>
      <c r="H34" s="324"/>
      <c r="I34" s="324"/>
      <c r="J34" s="324"/>
      <c r="K34" s="324"/>
      <c r="L34" s="324"/>
      <c r="M34" s="324"/>
      <c r="N34" s="324"/>
      <c r="O34" s="324"/>
      <c r="P34" s="324"/>
      <c r="Q34" s="324"/>
      <c r="R34" s="324"/>
      <c r="S34" s="324"/>
      <c r="T34" s="324"/>
      <c r="U34" s="324"/>
      <c r="V34" s="324"/>
      <c r="W34" s="324"/>
    </row>
    <row r="35" spans="7:23" s="339" customFormat="1">
      <c r="G35" s="324"/>
      <c r="H35" s="324"/>
      <c r="I35" s="324"/>
      <c r="J35" s="324"/>
      <c r="K35" s="324"/>
      <c r="L35" s="324"/>
      <c r="M35" s="324"/>
      <c r="N35" s="324"/>
      <c r="O35" s="324"/>
      <c r="P35" s="324"/>
      <c r="Q35" s="324"/>
      <c r="R35" s="324"/>
      <c r="S35" s="324"/>
      <c r="T35" s="324"/>
      <c r="U35" s="324"/>
      <c r="V35" s="324"/>
      <c r="W35" s="324"/>
    </row>
    <row r="36" spans="7:23" s="339" customFormat="1">
      <c r="G36" s="324"/>
      <c r="H36" s="324"/>
      <c r="I36" s="324"/>
      <c r="J36" s="324"/>
      <c r="K36" s="324"/>
      <c r="L36" s="324"/>
      <c r="M36" s="324"/>
      <c r="N36" s="324"/>
      <c r="O36" s="324"/>
      <c r="P36" s="324"/>
      <c r="Q36" s="324"/>
      <c r="R36" s="324"/>
      <c r="S36" s="324"/>
      <c r="T36" s="324"/>
      <c r="U36" s="324"/>
      <c r="V36" s="324"/>
      <c r="W36" s="324"/>
    </row>
    <row r="37" spans="7:23" s="339" customFormat="1">
      <c r="G37" s="324"/>
      <c r="H37" s="324"/>
      <c r="I37" s="324"/>
      <c r="J37" s="324"/>
      <c r="K37" s="324"/>
      <c r="L37" s="324"/>
      <c r="M37" s="324"/>
      <c r="N37" s="324"/>
      <c r="O37" s="324"/>
      <c r="P37" s="324"/>
      <c r="Q37" s="324"/>
      <c r="R37" s="324"/>
      <c r="S37" s="324"/>
      <c r="T37" s="324"/>
      <c r="U37" s="324"/>
      <c r="V37" s="324"/>
      <c r="W37" s="324"/>
    </row>
    <row r="38" spans="7:23" s="339" customFormat="1">
      <c r="G38" s="324"/>
      <c r="H38" s="324"/>
      <c r="I38" s="324"/>
      <c r="J38" s="324"/>
      <c r="K38" s="324"/>
      <c r="L38" s="324"/>
      <c r="M38" s="324"/>
      <c r="N38" s="324"/>
      <c r="O38" s="324"/>
      <c r="P38" s="324"/>
      <c r="Q38" s="324"/>
      <c r="R38" s="324"/>
      <c r="S38" s="324"/>
      <c r="T38" s="324"/>
      <c r="U38" s="324"/>
      <c r="V38" s="324"/>
      <c r="W38" s="324"/>
    </row>
    <row r="39" spans="7:23" s="339" customFormat="1">
      <c r="G39" s="324"/>
      <c r="H39" s="324"/>
      <c r="I39" s="324"/>
      <c r="J39" s="324"/>
      <c r="K39" s="324"/>
      <c r="L39" s="324"/>
      <c r="M39" s="324"/>
      <c r="N39" s="324"/>
      <c r="O39" s="324"/>
      <c r="P39" s="324"/>
      <c r="Q39" s="324"/>
      <c r="R39" s="324"/>
      <c r="S39" s="324"/>
      <c r="T39" s="324"/>
      <c r="U39" s="324"/>
      <c r="V39" s="324"/>
      <c r="W39" s="324"/>
    </row>
    <row r="40" spans="7:23" s="339" customFormat="1">
      <c r="G40" s="324"/>
      <c r="H40" s="324"/>
      <c r="I40" s="324"/>
      <c r="J40" s="324"/>
      <c r="K40" s="324"/>
      <c r="L40" s="324"/>
      <c r="M40" s="324"/>
      <c r="N40" s="324"/>
      <c r="O40" s="324"/>
      <c r="P40" s="324"/>
      <c r="Q40" s="324"/>
      <c r="R40" s="324"/>
      <c r="S40" s="324"/>
      <c r="T40" s="324"/>
      <c r="U40" s="324"/>
      <c r="V40" s="324"/>
      <c r="W40" s="324"/>
    </row>
    <row r="41" spans="7:23" s="339" customFormat="1">
      <c r="G41" s="324"/>
      <c r="H41" s="324"/>
      <c r="I41" s="324"/>
      <c r="J41" s="324"/>
      <c r="K41" s="324"/>
      <c r="L41" s="324"/>
      <c r="M41" s="324"/>
      <c r="N41" s="324"/>
      <c r="O41" s="324"/>
      <c r="P41" s="324"/>
      <c r="Q41" s="324"/>
      <c r="R41" s="324"/>
      <c r="S41" s="324"/>
      <c r="T41" s="324"/>
      <c r="U41" s="324"/>
      <c r="V41" s="324"/>
      <c r="W41" s="324"/>
    </row>
    <row r="42" spans="7:23" s="339" customFormat="1">
      <c r="G42" s="324"/>
      <c r="H42" s="324"/>
      <c r="I42" s="324"/>
      <c r="J42" s="324"/>
      <c r="K42" s="324"/>
      <c r="L42" s="324"/>
      <c r="M42" s="324"/>
      <c r="N42" s="324"/>
      <c r="O42" s="324"/>
      <c r="P42" s="324"/>
      <c r="Q42" s="324"/>
      <c r="R42" s="324"/>
      <c r="S42" s="324"/>
      <c r="T42" s="324"/>
      <c r="U42" s="324"/>
      <c r="V42" s="324"/>
      <c r="W42" s="324"/>
    </row>
    <row r="43" spans="7:23" s="340" customFormat="1">
      <c r="G43" s="324"/>
      <c r="H43" s="324"/>
      <c r="I43" s="324"/>
      <c r="J43" s="324"/>
      <c r="K43" s="324"/>
      <c r="L43" s="324"/>
      <c r="M43" s="324"/>
      <c r="N43" s="324"/>
      <c r="O43" s="324"/>
      <c r="P43" s="324"/>
      <c r="Q43" s="324"/>
      <c r="R43" s="324"/>
      <c r="S43" s="324"/>
      <c r="T43" s="324"/>
      <c r="U43" s="324"/>
      <c r="V43" s="324"/>
      <c r="W43" s="324"/>
    </row>
    <row r="44" spans="7:23" s="340" customFormat="1">
      <c r="G44" s="324"/>
      <c r="H44" s="324"/>
      <c r="I44" s="324"/>
      <c r="J44" s="324"/>
      <c r="K44" s="324"/>
      <c r="L44" s="324"/>
      <c r="M44" s="324"/>
      <c r="N44" s="324"/>
      <c r="O44" s="324"/>
      <c r="P44" s="324"/>
      <c r="Q44" s="324"/>
      <c r="R44" s="324"/>
      <c r="S44" s="324"/>
      <c r="T44" s="324"/>
      <c r="U44" s="324"/>
      <c r="V44" s="324"/>
      <c r="W44" s="324"/>
    </row>
    <row r="45" spans="7:23" s="340" customFormat="1">
      <c r="G45" s="324"/>
      <c r="H45" s="324"/>
      <c r="I45" s="324"/>
      <c r="J45" s="324"/>
      <c r="K45" s="324"/>
      <c r="L45" s="324"/>
      <c r="M45" s="324"/>
      <c r="N45" s="324"/>
      <c r="O45" s="324"/>
      <c r="P45" s="324"/>
      <c r="Q45" s="324"/>
      <c r="R45" s="324"/>
      <c r="S45" s="324"/>
      <c r="T45" s="324"/>
      <c r="U45" s="324"/>
      <c r="V45" s="324"/>
      <c r="W45" s="324"/>
    </row>
    <row r="46" spans="7:23" s="340" customFormat="1">
      <c r="G46" s="324"/>
      <c r="H46" s="324"/>
      <c r="I46" s="324"/>
      <c r="J46" s="324"/>
      <c r="K46" s="324"/>
      <c r="L46" s="324"/>
      <c r="M46" s="324"/>
      <c r="N46" s="324"/>
      <c r="O46" s="324"/>
      <c r="P46" s="324"/>
      <c r="Q46" s="324"/>
      <c r="R46" s="324"/>
      <c r="S46" s="324"/>
      <c r="T46" s="324"/>
      <c r="U46" s="324"/>
      <c r="V46" s="324"/>
      <c r="W46" s="324"/>
    </row>
    <row r="47" spans="7:23" s="340" customFormat="1">
      <c r="G47" s="324"/>
      <c r="H47" s="324"/>
      <c r="I47" s="324"/>
      <c r="J47" s="324"/>
      <c r="K47" s="324"/>
      <c r="L47" s="324"/>
      <c r="M47" s="324"/>
      <c r="N47" s="324"/>
      <c r="O47" s="324"/>
      <c r="P47" s="324"/>
      <c r="Q47" s="324"/>
      <c r="R47" s="324"/>
      <c r="S47" s="324"/>
      <c r="T47" s="324"/>
      <c r="U47" s="324"/>
      <c r="V47" s="324"/>
      <c r="W47" s="324"/>
    </row>
    <row r="48" spans="7:23" s="340" customFormat="1">
      <c r="G48" s="324"/>
      <c r="H48" s="324"/>
      <c r="I48" s="324"/>
      <c r="J48" s="324"/>
      <c r="K48" s="324"/>
      <c r="L48" s="324"/>
      <c r="M48" s="324"/>
      <c r="N48" s="324"/>
      <c r="O48" s="324"/>
      <c r="P48" s="324"/>
      <c r="Q48" s="324"/>
      <c r="R48" s="324"/>
      <c r="S48" s="324"/>
      <c r="T48" s="324"/>
      <c r="U48" s="324"/>
      <c r="V48" s="324"/>
      <c r="W48" s="324"/>
    </row>
    <row r="49" spans="7:23" s="340" customFormat="1">
      <c r="G49" s="324"/>
      <c r="H49" s="324"/>
      <c r="I49" s="324"/>
      <c r="J49" s="324"/>
      <c r="K49" s="324"/>
      <c r="L49" s="324"/>
      <c r="M49" s="324"/>
      <c r="N49" s="324"/>
      <c r="O49" s="324"/>
      <c r="P49" s="324"/>
      <c r="Q49" s="324"/>
      <c r="R49" s="324"/>
      <c r="S49" s="324"/>
      <c r="T49" s="324"/>
      <c r="U49" s="324"/>
      <c r="V49" s="324"/>
      <c r="W49" s="324"/>
    </row>
    <row r="50" spans="7:23" s="340" customFormat="1">
      <c r="G50" s="324"/>
      <c r="H50" s="324"/>
      <c r="I50" s="324"/>
      <c r="J50" s="324"/>
      <c r="K50" s="324"/>
      <c r="L50" s="324"/>
      <c r="M50" s="324"/>
      <c r="N50" s="324"/>
      <c r="O50" s="324"/>
      <c r="P50" s="324"/>
      <c r="Q50" s="324"/>
      <c r="R50" s="324"/>
      <c r="S50" s="324"/>
      <c r="T50" s="324"/>
      <c r="U50" s="324"/>
      <c r="V50" s="324"/>
      <c r="W50" s="324"/>
    </row>
    <row r="51" spans="7:23" s="340" customFormat="1">
      <c r="G51" s="324"/>
      <c r="H51" s="324"/>
      <c r="I51" s="324"/>
      <c r="J51" s="324"/>
      <c r="K51" s="324"/>
      <c r="L51" s="324"/>
      <c r="M51" s="324"/>
      <c r="N51" s="324"/>
      <c r="O51" s="324"/>
      <c r="P51" s="324"/>
      <c r="Q51" s="324"/>
      <c r="R51" s="324"/>
      <c r="S51" s="324"/>
      <c r="T51" s="324"/>
      <c r="U51" s="324"/>
      <c r="V51" s="324"/>
      <c r="W51" s="324"/>
    </row>
    <row r="52" spans="7:23" s="340" customFormat="1">
      <c r="G52" s="324"/>
      <c r="H52" s="324"/>
      <c r="I52" s="324"/>
      <c r="J52" s="324"/>
      <c r="K52" s="324"/>
      <c r="L52" s="324"/>
      <c r="M52" s="324"/>
      <c r="N52" s="324"/>
      <c r="O52" s="324"/>
      <c r="P52" s="324"/>
      <c r="Q52" s="324"/>
      <c r="R52" s="324"/>
      <c r="S52" s="324"/>
      <c r="T52" s="324"/>
      <c r="U52" s="324"/>
      <c r="V52" s="324"/>
      <c r="W52" s="324"/>
    </row>
    <row r="53" spans="7:23" s="340" customFormat="1">
      <c r="G53" s="324"/>
      <c r="H53" s="324"/>
      <c r="I53" s="324"/>
      <c r="J53" s="324"/>
      <c r="K53" s="324"/>
      <c r="L53" s="324"/>
      <c r="M53" s="324"/>
      <c r="N53" s="324"/>
      <c r="O53" s="324"/>
      <c r="P53" s="324"/>
      <c r="Q53" s="324"/>
      <c r="R53" s="324"/>
      <c r="S53" s="324"/>
      <c r="T53" s="324"/>
      <c r="U53" s="324"/>
      <c r="V53" s="324"/>
      <c r="W53" s="324"/>
    </row>
    <row r="54" spans="7:23" s="340" customFormat="1">
      <c r="G54" s="324"/>
      <c r="H54" s="324"/>
      <c r="I54" s="324"/>
      <c r="J54" s="324"/>
      <c r="K54" s="324"/>
      <c r="L54" s="324"/>
      <c r="M54" s="324"/>
      <c r="N54" s="324"/>
      <c r="O54" s="324"/>
      <c r="P54" s="324"/>
      <c r="Q54" s="324"/>
      <c r="R54" s="324"/>
      <c r="S54" s="324"/>
      <c r="T54" s="324"/>
      <c r="U54" s="324"/>
      <c r="V54" s="324"/>
      <c r="W54" s="324"/>
    </row>
    <row r="55" spans="7:23" s="340" customFormat="1">
      <c r="G55" s="324"/>
      <c r="H55" s="324"/>
      <c r="I55" s="324"/>
      <c r="J55" s="324"/>
      <c r="K55" s="324"/>
      <c r="L55" s="324"/>
      <c r="M55" s="324"/>
      <c r="N55" s="324"/>
      <c r="O55" s="324"/>
      <c r="P55" s="324"/>
      <c r="Q55" s="324"/>
      <c r="R55" s="324"/>
      <c r="S55" s="324"/>
      <c r="T55" s="324"/>
      <c r="U55" s="324"/>
      <c r="V55" s="324"/>
      <c r="W55" s="324"/>
    </row>
    <row r="56" spans="7:23" s="340" customFormat="1">
      <c r="G56" s="324"/>
      <c r="H56" s="324"/>
      <c r="I56" s="324"/>
      <c r="J56" s="324"/>
      <c r="K56" s="324"/>
      <c r="L56" s="324"/>
      <c r="M56" s="324"/>
      <c r="N56" s="324"/>
      <c r="O56" s="324"/>
      <c r="P56" s="324"/>
      <c r="Q56" s="324"/>
      <c r="R56" s="324"/>
      <c r="S56" s="324"/>
      <c r="T56" s="324"/>
      <c r="U56" s="324"/>
      <c r="V56" s="324"/>
      <c r="W56" s="324"/>
    </row>
    <row r="57" spans="7:23" s="340" customFormat="1">
      <c r="G57" s="324"/>
      <c r="H57" s="324"/>
      <c r="I57" s="324"/>
      <c r="J57" s="324"/>
      <c r="K57" s="324"/>
      <c r="L57" s="324"/>
      <c r="M57" s="324"/>
      <c r="N57" s="324"/>
      <c r="O57" s="324"/>
      <c r="P57" s="324"/>
      <c r="Q57" s="324"/>
      <c r="R57" s="324"/>
      <c r="S57" s="324"/>
      <c r="T57" s="324"/>
      <c r="U57" s="324"/>
      <c r="V57" s="324"/>
      <c r="W57" s="324"/>
    </row>
    <row r="58" spans="7:23" s="340" customFormat="1">
      <c r="G58" s="324"/>
      <c r="H58" s="324"/>
      <c r="I58" s="324"/>
      <c r="J58" s="324"/>
      <c r="K58" s="324"/>
      <c r="L58" s="324"/>
      <c r="M58" s="324"/>
      <c r="N58" s="324"/>
      <c r="O58" s="324"/>
      <c r="P58" s="324"/>
      <c r="Q58" s="324"/>
      <c r="R58" s="324"/>
      <c r="S58" s="324"/>
      <c r="T58" s="324"/>
      <c r="U58" s="324"/>
      <c r="V58" s="324"/>
      <c r="W58" s="324"/>
    </row>
    <row r="59" spans="7:23" s="340" customFormat="1">
      <c r="G59" s="324"/>
      <c r="H59" s="324"/>
      <c r="I59" s="324"/>
      <c r="J59" s="324"/>
      <c r="K59" s="324"/>
      <c r="L59" s="324"/>
      <c r="M59" s="324"/>
      <c r="N59" s="324"/>
      <c r="O59" s="324"/>
      <c r="P59" s="324"/>
      <c r="Q59" s="324"/>
      <c r="R59" s="324"/>
      <c r="S59" s="324"/>
      <c r="T59" s="324"/>
      <c r="U59" s="324"/>
      <c r="V59" s="324"/>
      <c r="W59" s="324"/>
    </row>
    <row r="60" spans="7:23" s="340" customFormat="1">
      <c r="G60" s="324"/>
      <c r="H60" s="324"/>
      <c r="I60" s="324"/>
      <c r="J60" s="324"/>
      <c r="K60" s="324"/>
      <c r="L60" s="324"/>
      <c r="M60" s="324"/>
      <c r="N60" s="324"/>
      <c r="O60" s="324"/>
      <c r="P60" s="324"/>
      <c r="Q60" s="324"/>
      <c r="R60" s="324"/>
      <c r="S60" s="324"/>
      <c r="T60" s="324"/>
      <c r="U60" s="324"/>
      <c r="V60" s="324"/>
      <c r="W60" s="324"/>
    </row>
    <row r="61" spans="7:23" s="340" customFormat="1">
      <c r="G61" s="324"/>
      <c r="H61" s="324"/>
      <c r="I61" s="324"/>
      <c r="J61" s="324"/>
      <c r="K61" s="324"/>
      <c r="L61" s="324"/>
      <c r="M61" s="324"/>
      <c r="N61" s="324"/>
      <c r="O61" s="324"/>
      <c r="P61" s="324"/>
      <c r="Q61" s="324"/>
      <c r="R61" s="324"/>
      <c r="S61" s="324"/>
      <c r="T61" s="324"/>
      <c r="U61" s="324"/>
      <c r="V61" s="324"/>
      <c r="W61" s="324"/>
    </row>
    <row r="62" spans="7:23" s="340" customFormat="1">
      <c r="G62" s="324"/>
      <c r="H62" s="324"/>
      <c r="I62" s="324"/>
      <c r="J62" s="324"/>
      <c r="K62" s="324"/>
      <c r="L62" s="324"/>
      <c r="M62" s="324"/>
      <c r="N62" s="324"/>
      <c r="O62" s="324"/>
      <c r="P62" s="324"/>
      <c r="Q62" s="324"/>
      <c r="R62" s="324"/>
      <c r="S62" s="324"/>
      <c r="T62" s="324"/>
      <c r="U62" s="324"/>
      <c r="V62" s="324"/>
      <c r="W62" s="324"/>
    </row>
    <row r="63" spans="7:23" s="340" customFormat="1">
      <c r="G63" s="324"/>
      <c r="H63" s="324"/>
      <c r="I63" s="324"/>
      <c r="J63" s="324"/>
      <c r="K63" s="324"/>
      <c r="L63" s="324"/>
      <c r="M63" s="324"/>
      <c r="N63" s="324"/>
      <c r="O63" s="324"/>
      <c r="P63" s="324"/>
      <c r="Q63" s="324"/>
      <c r="R63" s="324"/>
      <c r="S63" s="324"/>
      <c r="T63" s="324"/>
      <c r="U63" s="324"/>
      <c r="V63" s="324"/>
      <c r="W63" s="324"/>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B682B9"/>
  </sheetPr>
  <dimension ref="A1:V35"/>
  <sheetViews>
    <sheetView topLeftCell="A5" zoomScale="70" zoomScaleNormal="70" workbookViewId="0">
      <selection activeCell="E32" sqref="E32"/>
    </sheetView>
  </sheetViews>
  <sheetFormatPr defaultColWidth="8.81640625" defaultRowHeight="13"/>
  <cols>
    <col min="1" max="1" width="10.1796875" style="329" customWidth="1"/>
    <col min="2" max="2" width="88.81640625" style="329" customWidth="1"/>
    <col min="3" max="4" width="21.453125" style="329" customWidth="1"/>
    <col min="5" max="6" width="81.1796875" style="329" customWidth="1"/>
    <col min="7" max="7" width="23.81640625" style="324" customWidth="1"/>
    <col min="8" max="22" width="8.81640625" style="324"/>
    <col min="23" max="16384" width="8.81640625" style="329"/>
  </cols>
  <sheetData>
    <row r="1" spans="1:22" s="322" customFormat="1" ht="26">
      <c r="A1" s="321" t="s">
        <v>205</v>
      </c>
      <c r="C1" s="323"/>
      <c r="G1" s="324"/>
      <c r="H1" s="324"/>
      <c r="I1" s="324"/>
      <c r="J1" s="324"/>
      <c r="K1" s="324"/>
      <c r="L1" s="324"/>
      <c r="M1" s="324"/>
      <c r="N1" s="324"/>
      <c r="O1" s="324"/>
      <c r="P1" s="324"/>
      <c r="Q1" s="324"/>
      <c r="R1" s="324"/>
      <c r="S1" s="324"/>
      <c r="T1" s="324"/>
      <c r="U1" s="324"/>
      <c r="V1" s="324"/>
    </row>
    <row r="2" spans="1:22" s="322" customFormat="1" ht="26">
      <c r="A2" s="321" t="s">
        <v>1743</v>
      </c>
      <c r="C2" s="323"/>
      <c r="G2" s="324"/>
      <c r="H2" s="324"/>
      <c r="I2" s="324"/>
      <c r="J2" s="324"/>
      <c r="K2" s="324"/>
      <c r="L2" s="324"/>
      <c r="M2" s="324"/>
      <c r="N2" s="324"/>
      <c r="O2" s="324"/>
      <c r="P2" s="324"/>
      <c r="Q2" s="324"/>
      <c r="R2" s="324"/>
      <c r="S2" s="324"/>
      <c r="T2" s="324"/>
      <c r="U2" s="324"/>
      <c r="V2" s="324"/>
    </row>
    <row r="3" spans="1:22" s="322" customFormat="1">
      <c r="A3" s="325" t="s">
        <v>456</v>
      </c>
      <c r="B3" s="322" t="s">
        <v>206</v>
      </c>
      <c r="G3" s="324"/>
      <c r="H3" s="324"/>
      <c r="I3" s="324"/>
      <c r="J3" s="324"/>
      <c r="K3" s="324"/>
      <c r="L3" s="324"/>
      <c r="M3" s="324"/>
      <c r="N3" s="324"/>
      <c r="O3" s="324"/>
      <c r="P3" s="324"/>
      <c r="Q3" s="324"/>
      <c r="R3" s="324"/>
      <c r="S3" s="324"/>
      <c r="T3" s="324"/>
      <c r="U3" s="324"/>
      <c r="V3" s="324"/>
    </row>
    <row r="4" spans="1:22" s="322" customFormat="1">
      <c r="A4" s="325" t="s">
        <v>1724</v>
      </c>
      <c r="B4" s="322" t="s">
        <v>1744</v>
      </c>
      <c r="G4" s="324"/>
      <c r="H4" s="324"/>
      <c r="I4" s="324"/>
      <c r="J4" s="324"/>
      <c r="K4" s="324"/>
      <c r="L4" s="324"/>
      <c r="M4" s="324"/>
      <c r="N4" s="324"/>
      <c r="O4" s="324"/>
      <c r="P4" s="324"/>
      <c r="Q4" s="324"/>
      <c r="R4" s="324"/>
      <c r="S4" s="324"/>
      <c r="T4" s="324"/>
      <c r="U4" s="324"/>
      <c r="V4" s="324"/>
    </row>
    <row r="5" spans="1:22" s="322" customFormat="1">
      <c r="A5" s="322" t="s">
        <v>457</v>
      </c>
      <c r="B5" s="322" t="s">
        <v>207</v>
      </c>
      <c r="G5" s="324"/>
      <c r="H5" s="324"/>
      <c r="I5" s="324"/>
      <c r="J5" s="324"/>
      <c r="K5" s="324"/>
      <c r="L5" s="324"/>
      <c r="M5" s="324"/>
      <c r="N5" s="324"/>
      <c r="O5" s="324"/>
      <c r="P5" s="324"/>
      <c r="Q5" s="324"/>
      <c r="R5" s="324"/>
      <c r="S5" s="324"/>
      <c r="T5" s="324"/>
      <c r="U5" s="324"/>
      <c r="V5" s="324"/>
    </row>
    <row r="6" spans="1:22" s="322" customFormat="1">
      <c r="A6" s="322" t="s">
        <v>1726</v>
      </c>
      <c r="B6" s="322" t="s">
        <v>1745</v>
      </c>
      <c r="G6" s="324"/>
      <c r="H6" s="324"/>
      <c r="I6" s="324"/>
      <c r="J6" s="324"/>
      <c r="K6" s="324"/>
      <c r="L6" s="324"/>
      <c r="M6" s="324"/>
      <c r="N6" s="324"/>
      <c r="O6" s="324"/>
      <c r="P6" s="324"/>
      <c r="Q6" s="324"/>
      <c r="R6" s="324"/>
      <c r="S6" s="324"/>
      <c r="T6" s="324"/>
      <c r="U6" s="324"/>
      <c r="V6" s="324"/>
    </row>
    <row r="8" spans="1:22" s="322" customFormat="1">
      <c r="A8" s="350"/>
      <c r="B8" s="350"/>
      <c r="C8" s="350" t="s">
        <v>96</v>
      </c>
      <c r="D8" s="350" t="s">
        <v>562</v>
      </c>
      <c r="E8" s="350" t="s">
        <v>85</v>
      </c>
      <c r="F8" s="350" t="s">
        <v>1664</v>
      </c>
      <c r="G8" s="350" t="s">
        <v>1692</v>
      </c>
    </row>
    <row r="9" spans="1:22" s="325" customFormat="1">
      <c r="A9" s="351" t="s">
        <v>47</v>
      </c>
      <c r="B9" s="352"/>
      <c r="C9" s="353"/>
      <c r="D9" s="353"/>
      <c r="E9" s="353"/>
      <c r="F9" s="353"/>
      <c r="G9" s="353"/>
    </row>
    <row r="10" spans="1:22" s="325" customFormat="1" ht="39">
      <c r="A10" s="3" t="s">
        <v>208</v>
      </c>
      <c r="B10" s="3" t="s">
        <v>1746</v>
      </c>
      <c r="C10" s="336" t="s">
        <v>462</v>
      </c>
      <c r="D10" s="336" t="s">
        <v>461</v>
      </c>
      <c r="E10" s="336" t="s">
        <v>1593</v>
      </c>
      <c r="F10" s="336"/>
      <c r="G10" s="3"/>
    </row>
    <row r="11" spans="1:22" s="148" customFormat="1" ht="26">
      <c r="A11" s="3" t="s">
        <v>209</v>
      </c>
      <c r="B11" s="3" t="s">
        <v>1747</v>
      </c>
      <c r="C11" s="336" t="s">
        <v>464</v>
      </c>
      <c r="D11" s="336" t="s">
        <v>463</v>
      </c>
      <c r="E11" s="336" t="s">
        <v>1594</v>
      </c>
      <c r="F11" s="336"/>
      <c r="G11" s="3"/>
      <c r="H11" s="325"/>
      <c r="I11" s="325"/>
      <c r="J11" s="325"/>
      <c r="K11" s="325"/>
      <c r="L11" s="325"/>
      <c r="M11" s="325"/>
      <c r="N11" s="325"/>
      <c r="O11" s="325"/>
      <c r="P11" s="325"/>
      <c r="Q11" s="325"/>
      <c r="R11" s="325"/>
      <c r="S11" s="325"/>
      <c r="T11" s="325"/>
      <c r="U11" s="325"/>
      <c r="V11" s="325"/>
    </row>
    <row r="12" spans="1:22" s="148" customFormat="1">
      <c r="A12" s="330" t="s">
        <v>54</v>
      </c>
      <c r="B12" s="330"/>
      <c r="C12" s="331"/>
      <c r="D12" s="331"/>
      <c r="E12" s="331"/>
      <c r="F12" s="331"/>
      <c r="G12" s="331"/>
      <c r="H12" s="325"/>
      <c r="I12" s="325"/>
      <c r="J12" s="325"/>
      <c r="K12" s="325"/>
      <c r="L12" s="325"/>
      <c r="M12" s="325"/>
      <c r="N12" s="325"/>
      <c r="O12" s="325"/>
      <c r="P12" s="325"/>
      <c r="Q12" s="325"/>
      <c r="R12" s="325"/>
      <c r="S12" s="325"/>
      <c r="T12" s="325"/>
      <c r="U12" s="325"/>
      <c r="V12" s="325"/>
    </row>
    <row r="13" spans="1:22" s="325" customFormat="1" ht="52">
      <c r="A13" s="3" t="s">
        <v>210</v>
      </c>
      <c r="B13" s="3" t="s">
        <v>1748</v>
      </c>
      <c r="C13" s="3"/>
      <c r="D13" s="336" t="s">
        <v>1749</v>
      </c>
      <c r="E13" s="336" t="s">
        <v>211</v>
      </c>
      <c r="F13" s="336"/>
      <c r="G13" s="3"/>
    </row>
    <row r="14" spans="1:22" s="325" customFormat="1" ht="52">
      <c r="A14" s="3" t="s">
        <v>212</v>
      </c>
      <c r="B14" s="3" t="s">
        <v>1750</v>
      </c>
      <c r="C14" s="3"/>
      <c r="D14" s="336" t="s">
        <v>1751</v>
      </c>
      <c r="E14" s="336" t="s">
        <v>1595</v>
      </c>
      <c r="F14" s="336"/>
      <c r="G14" s="3"/>
    </row>
    <row r="15" spans="1:22" s="148" customFormat="1" ht="26">
      <c r="A15" s="3" t="s">
        <v>213</v>
      </c>
      <c r="B15" s="3" t="s">
        <v>1752</v>
      </c>
      <c r="C15" s="336" t="s">
        <v>466</v>
      </c>
      <c r="D15" s="336" t="s">
        <v>465</v>
      </c>
      <c r="E15" s="336" t="s">
        <v>214</v>
      </c>
      <c r="F15" s="336"/>
      <c r="G15" s="3"/>
      <c r="H15" s="325"/>
      <c r="I15" s="325"/>
      <c r="J15" s="325"/>
      <c r="K15" s="325"/>
      <c r="L15" s="325"/>
      <c r="M15" s="325"/>
      <c r="N15" s="325"/>
      <c r="O15" s="325"/>
      <c r="P15" s="325"/>
      <c r="Q15" s="325"/>
      <c r="R15" s="325"/>
      <c r="S15" s="325"/>
      <c r="T15" s="325"/>
      <c r="U15" s="325"/>
      <c r="V15" s="325"/>
    </row>
    <row r="16" spans="1:22" s="148" customFormat="1" ht="26">
      <c r="A16" s="3" t="s">
        <v>215</v>
      </c>
      <c r="B16" s="3" t="s">
        <v>1753</v>
      </c>
      <c r="C16" s="336" t="s">
        <v>468</v>
      </c>
      <c r="D16" s="336" t="s">
        <v>467</v>
      </c>
      <c r="E16" s="336" t="s">
        <v>216</v>
      </c>
      <c r="F16" s="336"/>
      <c r="G16" s="3"/>
      <c r="H16" s="325"/>
      <c r="I16" s="325"/>
      <c r="J16" s="325"/>
      <c r="K16" s="325"/>
      <c r="L16" s="325"/>
      <c r="M16" s="325"/>
      <c r="N16" s="325"/>
      <c r="O16" s="325"/>
      <c r="P16" s="325"/>
      <c r="Q16" s="325"/>
      <c r="R16" s="325"/>
      <c r="S16" s="325"/>
      <c r="T16" s="325"/>
      <c r="U16" s="325"/>
      <c r="V16" s="325"/>
    </row>
    <row r="17" spans="1:22" s="325" customFormat="1" ht="39">
      <c r="A17" s="3" t="s">
        <v>217</v>
      </c>
      <c r="B17" s="3" t="s">
        <v>1754</v>
      </c>
      <c r="C17" s="336" t="s">
        <v>470</v>
      </c>
      <c r="D17" s="336" t="s">
        <v>469</v>
      </c>
      <c r="E17" s="336" t="s">
        <v>218</v>
      </c>
      <c r="F17" s="336"/>
      <c r="G17" s="3"/>
    </row>
    <row r="18" spans="1:22" s="325" customFormat="1" ht="39">
      <c r="A18" s="354" t="s">
        <v>219</v>
      </c>
      <c r="B18" s="355" t="s">
        <v>1755</v>
      </c>
      <c r="C18" s="356" t="s">
        <v>472</v>
      </c>
      <c r="D18" s="356" t="s">
        <v>471</v>
      </c>
      <c r="E18" s="356" t="s">
        <v>1596</v>
      </c>
      <c r="F18" s="354"/>
      <c r="G18" s="354"/>
    </row>
    <row r="19" spans="1:22" s="325" customFormat="1">
      <c r="A19" s="330" t="s">
        <v>56</v>
      </c>
      <c r="B19" s="330"/>
      <c r="C19" s="331"/>
      <c r="D19" s="331"/>
      <c r="E19" s="331"/>
      <c r="F19" s="331"/>
      <c r="G19" s="331"/>
    </row>
    <row r="20" spans="1:22" s="148" customFormat="1" ht="65">
      <c r="A20" s="3" t="s">
        <v>220</v>
      </c>
      <c r="B20" s="3" t="s">
        <v>1756</v>
      </c>
      <c r="C20" s="3"/>
      <c r="D20" s="336" t="s">
        <v>1757</v>
      </c>
      <c r="E20" s="336" t="s">
        <v>221</v>
      </c>
      <c r="F20" s="3"/>
      <c r="G20" s="3"/>
      <c r="H20" s="325"/>
      <c r="I20" s="325"/>
      <c r="J20" s="325"/>
      <c r="K20" s="325"/>
      <c r="L20" s="325"/>
      <c r="M20" s="325"/>
      <c r="N20" s="325"/>
      <c r="O20" s="325"/>
      <c r="P20" s="325"/>
      <c r="Q20" s="325"/>
      <c r="R20" s="325"/>
      <c r="S20" s="325"/>
      <c r="T20" s="325"/>
      <c r="U20" s="325"/>
      <c r="V20" s="325"/>
    </row>
    <row r="21" spans="1:22" s="148" customFormat="1" ht="39">
      <c r="A21" s="3" t="s">
        <v>222</v>
      </c>
      <c r="B21" s="3" t="s">
        <v>1758</v>
      </c>
      <c r="C21" s="3"/>
      <c r="D21" s="336" t="s">
        <v>473</v>
      </c>
      <c r="E21" s="336" t="s">
        <v>1597</v>
      </c>
      <c r="F21" s="3"/>
      <c r="G21" s="3"/>
      <c r="H21" s="325"/>
      <c r="I21" s="325"/>
      <c r="J21" s="325"/>
      <c r="K21" s="325"/>
      <c r="L21" s="325"/>
      <c r="M21" s="325"/>
      <c r="N21" s="325"/>
      <c r="O21" s="325"/>
      <c r="P21" s="325"/>
      <c r="Q21" s="325"/>
      <c r="R21" s="325"/>
      <c r="S21" s="325"/>
      <c r="T21" s="325"/>
      <c r="U21" s="325"/>
      <c r="V21" s="325"/>
    </row>
    <row r="22" spans="1:22" s="325" customFormat="1" ht="39">
      <c r="A22" s="3" t="s">
        <v>223</v>
      </c>
      <c r="B22" s="3" t="s">
        <v>1759</v>
      </c>
      <c r="C22" s="3"/>
      <c r="D22" s="336" t="s">
        <v>474</v>
      </c>
      <c r="E22" s="336" t="s">
        <v>1598</v>
      </c>
      <c r="F22" s="3"/>
      <c r="G22" s="3"/>
    </row>
    <row r="23" spans="1:22" s="325" customFormat="1" ht="39">
      <c r="A23" s="3" t="s">
        <v>224</v>
      </c>
      <c r="B23" s="3" t="s">
        <v>1760</v>
      </c>
      <c r="C23" s="3"/>
      <c r="D23" s="336" t="s">
        <v>2060</v>
      </c>
      <c r="E23" s="336" t="s">
        <v>225</v>
      </c>
      <c r="F23" s="3"/>
      <c r="G23" s="3"/>
    </row>
    <row r="24" spans="1:22" s="148" customFormat="1" ht="39">
      <c r="A24" s="3" t="s">
        <v>226</v>
      </c>
      <c r="B24" s="3" t="s">
        <v>1761</v>
      </c>
      <c r="C24" s="3"/>
      <c r="D24" s="336" t="s">
        <v>475</v>
      </c>
      <c r="E24" s="336" t="s">
        <v>227</v>
      </c>
      <c r="F24" s="3"/>
      <c r="G24" s="3"/>
      <c r="H24" s="325"/>
      <c r="I24" s="325"/>
      <c r="J24" s="325"/>
      <c r="K24" s="325"/>
      <c r="L24" s="325"/>
      <c r="M24" s="325"/>
      <c r="N24" s="325"/>
      <c r="O24" s="325"/>
      <c r="P24" s="325"/>
      <c r="Q24" s="325"/>
      <c r="R24" s="325"/>
      <c r="S24" s="325"/>
      <c r="T24" s="325"/>
      <c r="U24" s="325"/>
      <c r="V24" s="325"/>
    </row>
    <row r="25" spans="1:22" s="148" customFormat="1" ht="26">
      <c r="A25" s="3" t="s">
        <v>228</v>
      </c>
      <c r="B25" s="3" t="s">
        <v>1762</v>
      </c>
      <c r="C25" s="3"/>
      <c r="D25" s="336" t="s">
        <v>2061</v>
      </c>
      <c r="E25" s="336" t="s">
        <v>2062</v>
      </c>
      <c r="F25" s="3"/>
      <c r="G25" s="3"/>
      <c r="H25" s="325"/>
      <c r="I25" s="325"/>
      <c r="J25" s="325"/>
      <c r="K25" s="325"/>
      <c r="L25" s="325"/>
      <c r="M25" s="325"/>
      <c r="N25" s="325"/>
      <c r="O25" s="325"/>
      <c r="P25" s="325"/>
      <c r="Q25" s="325"/>
      <c r="R25" s="325"/>
      <c r="S25" s="325"/>
      <c r="T25" s="325"/>
      <c r="U25" s="325"/>
      <c r="V25" s="325"/>
    </row>
    <row r="26" spans="1:22" s="325" customFormat="1">
      <c r="A26" s="330" t="s">
        <v>57</v>
      </c>
      <c r="B26" s="330"/>
      <c r="C26" s="331"/>
      <c r="D26" s="331"/>
      <c r="E26" s="331"/>
      <c r="F26" s="331"/>
      <c r="G26" s="331"/>
    </row>
    <row r="27" spans="1:22" s="325" customFormat="1" ht="65">
      <c r="A27" s="3" t="s">
        <v>229</v>
      </c>
      <c r="B27" s="3" t="s">
        <v>1763</v>
      </c>
      <c r="C27" s="3"/>
      <c r="D27" s="336" t="s">
        <v>476</v>
      </c>
      <c r="E27" s="336" t="s">
        <v>1764</v>
      </c>
      <c r="F27" s="3"/>
      <c r="G27" s="3"/>
    </row>
    <row r="28" spans="1:22" s="148" customFormat="1" ht="52">
      <c r="A28" s="3" t="s">
        <v>230</v>
      </c>
      <c r="B28" s="3" t="s">
        <v>1765</v>
      </c>
      <c r="C28" s="3"/>
      <c r="D28" s="336" t="s">
        <v>477</v>
      </c>
      <c r="E28" s="336" t="s">
        <v>1599</v>
      </c>
      <c r="F28" s="3"/>
      <c r="G28" s="3"/>
      <c r="H28" s="325"/>
      <c r="I28" s="325"/>
      <c r="J28" s="325"/>
      <c r="K28" s="325"/>
      <c r="L28" s="325"/>
      <c r="M28" s="325"/>
      <c r="N28" s="325"/>
      <c r="O28" s="325"/>
      <c r="P28" s="325"/>
      <c r="Q28" s="325"/>
      <c r="R28" s="325"/>
      <c r="S28" s="325"/>
      <c r="T28" s="325"/>
      <c r="U28" s="325"/>
      <c r="V28" s="325"/>
    </row>
    <row r="29" spans="1:22" s="148" customFormat="1" ht="39">
      <c r="A29" s="3" t="s">
        <v>231</v>
      </c>
      <c r="B29" s="3" t="s">
        <v>1766</v>
      </c>
      <c r="C29" s="3"/>
      <c r="D29" s="336" t="s">
        <v>478</v>
      </c>
      <c r="E29" s="336" t="s">
        <v>1600</v>
      </c>
      <c r="F29" s="3"/>
      <c r="G29" s="3"/>
      <c r="H29" s="325"/>
      <c r="I29" s="325"/>
      <c r="J29" s="325"/>
      <c r="K29" s="325"/>
      <c r="L29" s="325"/>
      <c r="M29" s="325"/>
      <c r="N29" s="325"/>
      <c r="O29" s="325"/>
      <c r="P29" s="325"/>
      <c r="Q29" s="325"/>
      <c r="R29" s="325"/>
      <c r="S29" s="325"/>
      <c r="T29" s="325"/>
      <c r="U29" s="325"/>
      <c r="V29" s="325"/>
    </row>
    <row r="30" spans="1:22" s="148" customFormat="1" ht="39">
      <c r="A30" s="3" t="s">
        <v>232</v>
      </c>
      <c r="B30" s="3" t="s">
        <v>1767</v>
      </c>
      <c r="C30" s="3"/>
      <c r="D30" s="336" t="s">
        <v>479</v>
      </c>
      <c r="E30" s="336" t="s">
        <v>1601</v>
      </c>
      <c r="F30" s="3"/>
      <c r="G30" s="3"/>
      <c r="H30" s="325"/>
      <c r="I30" s="325"/>
      <c r="J30" s="325"/>
      <c r="K30" s="325"/>
      <c r="L30" s="325"/>
      <c r="M30" s="325"/>
      <c r="N30" s="325"/>
      <c r="O30" s="325"/>
      <c r="P30" s="325"/>
      <c r="Q30" s="325"/>
      <c r="R30" s="325"/>
      <c r="S30" s="325"/>
      <c r="T30" s="325"/>
      <c r="U30" s="325"/>
      <c r="V30" s="325"/>
    </row>
    <row r="31" spans="1:22" s="325" customFormat="1" ht="104">
      <c r="A31" s="3" t="s">
        <v>233</v>
      </c>
      <c r="B31" s="3" t="s">
        <v>1768</v>
      </c>
      <c r="C31" s="3"/>
      <c r="D31" s="336" t="s">
        <v>1769</v>
      </c>
      <c r="E31" s="3" t="s">
        <v>1770</v>
      </c>
      <c r="F31" s="3"/>
      <c r="G31" s="3"/>
    </row>
    <row r="32" spans="1:22" s="148" customFormat="1">
      <c r="A32" s="330" t="s">
        <v>58</v>
      </c>
      <c r="B32" s="330"/>
      <c r="C32" s="331"/>
      <c r="D32" s="331"/>
      <c r="E32" s="331"/>
      <c r="F32" s="331"/>
      <c r="G32" s="331"/>
      <c r="H32" s="325"/>
      <c r="I32" s="325"/>
      <c r="J32" s="325"/>
      <c r="K32" s="325"/>
      <c r="L32" s="325"/>
      <c r="M32" s="325"/>
      <c r="N32" s="325"/>
      <c r="O32" s="325"/>
      <c r="P32" s="325"/>
      <c r="Q32" s="325"/>
      <c r="R32" s="325"/>
      <c r="S32" s="325"/>
      <c r="T32" s="325"/>
      <c r="U32" s="325"/>
      <c r="V32" s="325"/>
    </row>
    <row r="33" spans="1:22" s="148" customFormat="1" ht="39">
      <c r="A33" s="3" t="s">
        <v>234</v>
      </c>
      <c r="B33" s="3" t="s">
        <v>1771</v>
      </c>
      <c r="C33" s="3"/>
      <c r="D33" s="336" t="s">
        <v>480</v>
      </c>
      <c r="E33" s="336" t="s">
        <v>1602</v>
      </c>
      <c r="F33" s="3"/>
      <c r="G33" s="3"/>
      <c r="H33" s="325"/>
      <c r="I33" s="325"/>
      <c r="J33" s="325"/>
      <c r="K33" s="325"/>
      <c r="L33" s="325"/>
      <c r="M33" s="325"/>
      <c r="N33" s="325"/>
      <c r="O33" s="325"/>
      <c r="P33" s="325"/>
      <c r="Q33" s="325"/>
      <c r="R33" s="325"/>
      <c r="S33" s="325"/>
      <c r="T33" s="325"/>
      <c r="U33" s="325"/>
      <c r="V33" s="325"/>
    </row>
    <row r="34" spans="1:22" s="148" customFormat="1" ht="65">
      <c r="A34" s="3" t="s">
        <v>235</v>
      </c>
      <c r="B34" s="3" t="s">
        <v>1772</v>
      </c>
      <c r="C34" s="3"/>
      <c r="D34" s="336" t="s">
        <v>481</v>
      </c>
      <c r="E34" s="336" t="s">
        <v>2085</v>
      </c>
      <c r="F34" s="3"/>
      <c r="G34" s="3"/>
      <c r="H34" s="325"/>
      <c r="I34" s="325"/>
      <c r="J34" s="325"/>
      <c r="K34" s="325"/>
      <c r="L34" s="325"/>
      <c r="M34" s="325"/>
      <c r="N34" s="325"/>
      <c r="O34" s="325"/>
      <c r="P34" s="325"/>
      <c r="Q34" s="325"/>
      <c r="R34" s="325"/>
      <c r="S34" s="325"/>
      <c r="T34" s="325"/>
      <c r="U34" s="325"/>
      <c r="V34" s="325"/>
    </row>
    <row r="35" spans="1:22" s="325" customFormat="1" ht="65">
      <c r="A35" s="3" t="s">
        <v>236</v>
      </c>
      <c r="B35" s="3" t="s">
        <v>1773</v>
      </c>
      <c r="C35" s="3"/>
      <c r="D35" s="336" t="s">
        <v>482</v>
      </c>
      <c r="E35" s="336" t="s">
        <v>1603</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topLeftCell="A21" zoomScale="70" zoomScaleNormal="70" workbookViewId="0">
      <selection activeCell="E22" sqref="E22"/>
    </sheetView>
  </sheetViews>
  <sheetFormatPr defaultColWidth="8.81640625" defaultRowHeight="13"/>
  <cols>
    <col min="1" max="1" width="10.1796875" style="329" customWidth="1"/>
    <col min="2" max="2" width="67.1796875" style="329" customWidth="1"/>
    <col min="3" max="4" width="21.453125" style="329" customWidth="1"/>
    <col min="5" max="6" width="80.453125" style="329" customWidth="1"/>
    <col min="7" max="7" width="21.453125" style="324" customWidth="1"/>
    <col min="8" max="16384" width="8.81640625" style="329"/>
  </cols>
  <sheetData>
    <row r="1" spans="1:7" s="322" customFormat="1" ht="26">
      <c r="A1" s="321" t="s">
        <v>337</v>
      </c>
      <c r="C1" s="323"/>
      <c r="G1" s="324"/>
    </row>
    <row r="2" spans="1:7" s="322" customFormat="1" ht="26">
      <c r="A2" s="321" t="s">
        <v>1774</v>
      </c>
      <c r="C2" s="323"/>
      <c r="G2" s="324"/>
    </row>
    <row r="3" spans="1:7" s="322" customFormat="1">
      <c r="A3" s="325" t="s">
        <v>1686</v>
      </c>
      <c r="B3" s="322" t="s">
        <v>1775</v>
      </c>
      <c r="G3" s="324"/>
    </row>
    <row r="4" spans="1:7" s="322" customFormat="1">
      <c r="A4" s="325" t="s">
        <v>417</v>
      </c>
      <c r="B4" s="322" t="s">
        <v>1776</v>
      </c>
      <c r="G4" s="324"/>
    </row>
    <row r="5" spans="1:7" s="322" customFormat="1">
      <c r="A5" s="322" t="s">
        <v>1689</v>
      </c>
      <c r="B5" s="322" t="s">
        <v>1777</v>
      </c>
      <c r="G5" s="324"/>
    </row>
    <row r="6" spans="1:7" s="322" customFormat="1">
      <c r="A6" s="322" t="s">
        <v>421</v>
      </c>
      <c r="B6" s="322" t="s">
        <v>1778</v>
      </c>
      <c r="G6" s="324"/>
    </row>
    <row r="8" spans="1:7" s="322" customFormat="1">
      <c r="A8" s="350"/>
      <c r="B8" s="350"/>
      <c r="C8" s="350" t="s">
        <v>96</v>
      </c>
      <c r="D8" s="350" t="s">
        <v>562</v>
      </c>
      <c r="E8" s="350" t="s">
        <v>85</v>
      </c>
      <c r="F8" s="350"/>
      <c r="G8" s="350" t="s">
        <v>1692</v>
      </c>
    </row>
    <row r="9" spans="1:7" s="325" customFormat="1">
      <c r="A9" s="330" t="s">
        <v>47</v>
      </c>
      <c r="B9" s="330"/>
      <c r="C9" s="331"/>
      <c r="D9" s="331"/>
      <c r="E9" s="331"/>
      <c r="F9" s="331"/>
      <c r="G9" s="331"/>
    </row>
    <row r="10" spans="1:7" s="325" customFormat="1" ht="26">
      <c r="A10" s="3" t="s">
        <v>338</v>
      </c>
      <c r="B10" s="3" t="s">
        <v>339</v>
      </c>
      <c r="C10" s="3"/>
      <c r="D10" s="336" t="s">
        <v>1779</v>
      </c>
      <c r="E10" s="336" t="s">
        <v>1780</v>
      </c>
      <c r="F10" s="336"/>
      <c r="G10" s="3"/>
    </row>
    <row r="11" spans="1:7" s="148" customFormat="1">
      <c r="A11" s="330" t="s">
        <v>54</v>
      </c>
      <c r="B11" s="330"/>
      <c r="C11" s="331"/>
      <c r="D11" s="331"/>
      <c r="E11" s="331"/>
      <c r="F11" s="331"/>
      <c r="G11" s="331"/>
    </row>
    <row r="12" spans="1:7" s="148" customFormat="1" ht="78">
      <c r="A12" s="3" t="s">
        <v>340</v>
      </c>
      <c r="B12" s="3" t="s">
        <v>1781</v>
      </c>
      <c r="C12" s="336" t="s">
        <v>1782</v>
      </c>
      <c r="D12" s="336" t="s">
        <v>1783</v>
      </c>
      <c r="E12" s="336" t="s">
        <v>1784</v>
      </c>
      <c r="F12" s="336"/>
      <c r="G12" s="3"/>
    </row>
    <row r="13" spans="1:7" s="148" customFormat="1" ht="104">
      <c r="A13" s="3" t="s">
        <v>341</v>
      </c>
      <c r="B13" s="3" t="s">
        <v>1785</v>
      </c>
      <c r="C13" s="336" t="s">
        <v>1786</v>
      </c>
      <c r="D13" s="336" t="s">
        <v>1787</v>
      </c>
      <c r="E13" s="336" t="s">
        <v>1788</v>
      </c>
      <c r="F13" s="336"/>
      <c r="G13" s="3"/>
    </row>
    <row r="14" spans="1:7" s="325" customFormat="1">
      <c r="A14" s="330" t="s">
        <v>56</v>
      </c>
      <c r="B14" s="330"/>
      <c r="C14" s="331"/>
      <c r="D14" s="331"/>
      <c r="E14" s="331"/>
      <c r="F14" s="331"/>
      <c r="G14" s="331"/>
    </row>
    <row r="15" spans="1:7" s="148" customFormat="1" ht="130">
      <c r="A15" s="3" t="s">
        <v>342</v>
      </c>
      <c r="B15" s="3" t="s">
        <v>1789</v>
      </c>
      <c r="C15" s="336" t="s">
        <v>2063</v>
      </c>
      <c r="D15" s="336" t="s">
        <v>1790</v>
      </c>
      <c r="E15" s="336" t="s">
        <v>1791</v>
      </c>
      <c r="F15" s="336"/>
      <c r="G15" s="3"/>
    </row>
    <row r="16" spans="1:7" s="148" customFormat="1" ht="26">
      <c r="A16" s="3" t="s">
        <v>343</v>
      </c>
      <c r="B16" s="3" t="s">
        <v>1792</v>
      </c>
      <c r="C16" s="336" t="s">
        <v>519</v>
      </c>
      <c r="D16" s="336" t="s">
        <v>518</v>
      </c>
      <c r="E16" s="336" t="s">
        <v>1793</v>
      </c>
      <c r="F16" s="336"/>
      <c r="G16" s="3"/>
    </row>
    <row r="17" spans="1:7" s="148" customFormat="1" ht="65">
      <c r="A17" s="3" t="s">
        <v>344</v>
      </c>
      <c r="B17" s="3" t="s">
        <v>1794</v>
      </c>
      <c r="C17" s="336" t="s">
        <v>520</v>
      </c>
      <c r="D17" s="336" t="s">
        <v>1795</v>
      </c>
      <c r="E17" s="336" t="s">
        <v>1796</v>
      </c>
      <c r="F17" s="336"/>
      <c r="G17" s="3"/>
    </row>
    <row r="18" spans="1:7" s="148" customFormat="1" ht="39">
      <c r="A18" s="3" t="s">
        <v>345</v>
      </c>
      <c r="B18" s="3" t="s">
        <v>1797</v>
      </c>
      <c r="C18" s="336" t="s">
        <v>523</v>
      </c>
      <c r="D18" s="336" t="s">
        <v>522</v>
      </c>
      <c r="E18" s="336" t="s">
        <v>1798</v>
      </c>
      <c r="F18" s="336"/>
      <c r="G18" s="3"/>
    </row>
    <row r="19" spans="1:7" s="148" customFormat="1" ht="78">
      <c r="A19" s="3" t="s">
        <v>346</v>
      </c>
      <c r="B19" s="3" t="s">
        <v>1799</v>
      </c>
      <c r="C19" s="336" t="s">
        <v>1800</v>
      </c>
      <c r="D19" s="336" t="s">
        <v>1801</v>
      </c>
      <c r="E19" s="336" t="s">
        <v>1802</v>
      </c>
      <c r="F19" s="336"/>
      <c r="G19" s="3"/>
    </row>
    <row r="20" spans="1:7" s="148" customFormat="1">
      <c r="A20" s="330" t="s">
        <v>57</v>
      </c>
      <c r="B20" s="330"/>
      <c r="C20" s="331"/>
      <c r="D20" s="331"/>
      <c r="E20" s="331"/>
      <c r="F20" s="331"/>
      <c r="G20" s="331"/>
    </row>
    <row r="21" spans="1:7" s="148" customFormat="1" ht="39">
      <c r="A21" s="3" t="s">
        <v>347</v>
      </c>
      <c r="B21" s="3" t="s">
        <v>348</v>
      </c>
      <c r="C21" s="336" t="s">
        <v>525</v>
      </c>
      <c r="D21" s="336" t="s">
        <v>524</v>
      </c>
      <c r="E21" s="336" t="s">
        <v>1803</v>
      </c>
      <c r="F21" s="336"/>
      <c r="G21" s="3"/>
    </row>
    <row r="22" spans="1:7" s="325" customFormat="1" ht="91">
      <c r="A22" s="354" t="s">
        <v>349</v>
      </c>
      <c r="B22" s="355" t="s">
        <v>1804</v>
      </c>
      <c r="C22" s="356" t="s">
        <v>1805</v>
      </c>
      <c r="D22" s="356" t="s">
        <v>526</v>
      </c>
      <c r="E22" s="356" t="s">
        <v>1806</v>
      </c>
      <c r="F22" s="356"/>
      <c r="G22" s="3"/>
    </row>
    <row r="23" spans="1:7" s="325" customFormat="1">
      <c r="A23" s="330" t="s">
        <v>58</v>
      </c>
      <c r="B23" s="330"/>
      <c r="C23" s="331"/>
      <c r="D23" s="331"/>
      <c r="E23" s="331"/>
      <c r="F23" s="331"/>
      <c r="G23" s="331"/>
    </row>
    <row r="24" spans="1:7" s="148" customFormat="1" ht="91">
      <c r="A24" s="3" t="s">
        <v>350</v>
      </c>
      <c r="B24" s="3" t="s">
        <v>1807</v>
      </c>
      <c r="C24" s="336" t="s">
        <v>2064</v>
      </c>
      <c r="D24" s="336" t="s">
        <v>527</v>
      </c>
      <c r="E24" s="336" t="s">
        <v>2065</v>
      </c>
      <c r="F24" s="336"/>
      <c r="G24" s="3"/>
    </row>
    <row r="25" spans="1:7" s="339" customFormat="1">
      <c r="G25" s="324"/>
    </row>
    <row r="26" spans="1:7" s="339" customFormat="1">
      <c r="G26" s="324"/>
    </row>
    <row r="27" spans="1:7" s="339" customFormat="1">
      <c r="G27" s="324"/>
    </row>
    <row r="28" spans="1:7" s="339" customFormat="1">
      <c r="G28" s="324"/>
    </row>
    <row r="29" spans="1:7" s="340" customFormat="1">
      <c r="G29" s="324"/>
    </row>
    <row r="30" spans="1:7" s="340" customFormat="1">
      <c r="G30" s="324"/>
    </row>
    <row r="31" spans="1:7" s="340" customFormat="1">
      <c r="G31" s="324"/>
    </row>
    <row r="32" spans="1:7" s="340" customFormat="1">
      <c r="G32" s="324"/>
    </row>
    <row r="33" spans="7:7" s="340" customFormat="1">
      <c r="G33" s="324"/>
    </row>
    <row r="34" spans="7:7" s="340" customFormat="1">
      <c r="G34" s="324"/>
    </row>
    <row r="35" spans="7:7" s="340" customFormat="1">
      <c r="G35" s="324"/>
    </row>
    <row r="36" spans="7:7" s="340" customFormat="1">
      <c r="G36" s="324"/>
    </row>
    <row r="37" spans="7:7" s="340" customFormat="1">
      <c r="G37" s="324"/>
    </row>
    <row r="38" spans="7:7" s="340" customFormat="1">
      <c r="G38" s="324"/>
    </row>
    <row r="39" spans="7:7" s="340" customFormat="1">
      <c r="G39" s="324"/>
    </row>
    <row r="40" spans="7:7" s="340" customFormat="1">
      <c r="G40" s="324"/>
    </row>
    <row r="41" spans="7:7" s="340" customFormat="1">
      <c r="G41" s="324"/>
    </row>
    <row r="42" spans="7:7" s="340" customFormat="1">
      <c r="G42" s="324"/>
    </row>
    <row r="43" spans="7:7" s="340" customFormat="1">
      <c r="G43" s="324"/>
    </row>
    <row r="44" spans="7:7" s="340" customFormat="1">
      <c r="G44" s="324"/>
    </row>
    <row r="45" spans="7:7" s="340" customFormat="1">
      <c r="G45" s="324"/>
    </row>
    <row r="46" spans="7:7" s="340" customFormat="1">
      <c r="G46" s="324"/>
    </row>
    <row r="47" spans="7:7" s="340" customFormat="1">
      <c r="G47" s="324"/>
    </row>
    <row r="48" spans="7:7" s="340" customFormat="1">
      <c r="G48" s="324"/>
    </row>
    <row r="49" spans="7:7" s="340" customFormat="1">
      <c r="G49" s="324"/>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B682B9"/>
  </sheetPr>
  <dimension ref="A1:AG23"/>
  <sheetViews>
    <sheetView topLeftCell="A17" zoomScale="80" zoomScaleNormal="80" workbookViewId="0">
      <selection activeCell="I11" sqref="I11:J14"/>
    </sheetView>
  </sheetViews>
  <sheetFormatPr defaultColWidth="8.81640625" defaultRowHeight="13"/>
  <cols>
    <col min="1" max="1" width="10.1796875" style="329" customWidth="1"/>
    <col min="2" max="2" width="88.81640625" style="329" customWidth="1"/>
    <col min="3" max="4" width="21.453125" style="322" customWidth="1"/>
    <col min="5" max="5" width="67.81640625" style="322" customWidth="1"/>
    <col min="6" max="6" width="38.1796875" style="329" customWidth="1"/>
    <col min="7" max="7" width="21.453125" style="324" customWidth="1"/>
    <col min="8" max="16384" width="8.81640625" style="329"/>
  </cols>
  <sheetData>
    <row r="1" spans="1:33" s="346" customFormat="1" ht="26">
      <c r="A1" s="321" t="s">
        <v>454</v>
      </c>
      <c r="B1" s="322"/>
      <c r="C1" s="323"/>
      <c r="D1" s="322"/>
      <c r="E1" s="322"/>
      <c r="F1" s="322"/>
      <c r="G1" s="324"/>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row>
    <row r="2" spans="1:33" s="139" customFormat="1" ht="26">
      <c r="A2" s="321" t="s">
        <v>1808</v>
      </c>
      <c r="B2" s="322"/>
      <c r="C2" s="323"/>
      <c r="D2" s="322"/>
      <c r="E2" s="322"/>
      <c r="F2" s="322"/>
      <c r="G2" s="324"/>
      <c r="H2" s="322"/>
      <c r="I2" s="322"/>
      <c r="J2" s="322"/>
      <c r="K2" s="322"/>
      <c r="L2" s="322"/>
      <c r="M2" s="322"/>
      <c r="N2" s="322"/>
      <c r="O2" s="322"/>
      <c r="P2" s="322"/>
      <c r="Q2" s="322"/>
      <c r="R2" s="322"/>
      <c r="S2" s="322"/>
      <c r="T2" s="322"/>
      <c r="U2" s="322"/>
      <c r="V2" s="322"/>
      <c r="W2" s="322"/>
      <c r="X2" s="322"/>
      <c r="Y2" s="322"/>
      <c r="Z2" s="322"/>
      <c r="AA2" s="322"/>
      <c r="AB2" s="322"/>
      <c r="AC2" s="322"/>
      <c r="AD2" s="322"/>
      <c r="AE2" s="322"/>
      <c r="AF2" s="322"/>
      <c r="AG2" s="322"/>
    </row>
    <row r="3" spans="1:33" s="139" customFormat="1">
      <c r="A3" s="325" t="s">
        <v>456</v>
      </c>
      <c r="B3" s="322" t="s">
        <v>237</v>
      </c>
      <c r="C3" s="322"/>
      <c r="D3" s="322"/>
      <c r="E3" s="322"/>
      <c r="F3" s="322"/>
      <c r="G3" s="324"/>
      <c r="H3" s="322"/>
      <c r="I3" s="322"/>
      <c r="J3" s="322"/>
      <c r="K3" s="322"/>
      <c r="L3" s="322"/>
      <c r="M3" s="322"/>
      <c r="N3" s="322"/>
      <c r="O3" s="322"/>
      <c r="P3" s="322"/>
      <c r="Q3" s="322"/>
      <c r="R3" s="322"/>
      <c r="S3" s="322"/>
      <c r="T3" s="322"/>
      <c r="U3" s="322"/>
      <c r="V3" s="322"/>
      <c r="W3" s="322"/>
      <c r="X3" s="322"/>
      <c r="Y3" s="322"/>
      <c r="Z3" s="322"/>
      <c r="AA3" s="322"/>
      <c r="AB3" s="322"/>
      <c r="AC3" s="322"/>
      <c r="AD3" s="322"/>
      <c r="AE3" s="322"/>
      <c r="AF3" s="322"/>
      <c r="AG3" s="322"/>
    </row>
    <row r="4" spans="1:33" s="137" customFormat="1">
      <c r="A4" s="325" t="s">
        <v>1724</v>
      </c>
      <c r="B4" s="322" t="s">
        <v>1809</v>
      </c>
      <c r="C4" s="322"/>
      <c r="D4" s="322"/>
      <c r="E4" s="322"/>
      <c r="F4" s="322"/>
      <c r="G4" s="324"/>
      <c r="H4" s="322"/>
      <c r="I4" s="322"/>
      <c r="J4" s="322"/>
      <c r="K4" s="322"/>
      <c r="L4" s="322"/>
      <c r="M4" s="322"/>
      <c r="N4" s="322"/>
      <c r="O4" s="322"/>
      <c r="P4" s="322"/>
      <c r="Q4" s="322"/>
      <c r="R4" s="322"/>
      <c r="S4" s="322"/>
      <c r="T4" s="322"/>
      <c r="U4" s="322"/>
      <c r="V4" s="322"/>
      <c r="W4" s="322"/>
      <c r="X4" s="322"/>
      <c r="Y4" s="322"/>
      <c r="Z4" s="322"/>
      <c r="AA4" s="322"/>
      <c r="AB4" s="322"/>
      <c r="AC4" s="322"/>
      <c r="AD4" s="322"/>
      <c r="AE4" s="322"/>
      <c r="AF4" s="322"/>
      <c r="AG4" s="322"/>
    </row>
    <row r="5" spans="1:33" s="346" customFormat="1">
      <c r="A5" s="322" t="s">
        <v>457</v>
      </c>
      <c r="B5" s="322" t="s">
        <v>238</v>
      </c>
      <c r="C5" s="322"/>
      <c r="D5" s="322"/>
      <c r="E5" s="322"/>
      <c r="F5" s="322"/>
      <c r="G5" s="324"/>
      <c r="H5" s="322"/>
      <c r="I5" s="322"/>
      <c r="J5" s="322"/>
      <c r="K5" s="322"/>
      <c r="L5" s="322"/>
      <c r="M5" s="322"/>
      <c r="N5" s="322"/>
      <c r="O5" s="322"/>
      <c r="P5" s="322"/>
      <c r="Q5" s="322"/>
      <c r="R5" s="322"/>
      <c r="S5" s="322"/>
      <c r="T5" s="322"/>
      <c r="U5" s="322"/>
      <c r="V5" s="322"/>
      <c r="W5" s="322"/>
      <c r="X5" s="322"/>
      <c r="Y5" s="322"/>
      <c r="Z5" s="322"/>
      <c r="AA5" s="322"/>
      <c r="AB5" s="322"/>
      <c r="AC5" s="322"/>
      <c r="AD5" s="322"/>
      <c r="AE5" s="322"/>
      <c r="AF5" s="322"/>
      <c r="AG5" s="322"/>
    </row>
    <row r="6" spans="1:33" s="346" customFormat="1">
      <c r="A6" s="322" t="s">
        <v>1726</v>
      </c>
      <c r="B6" s="322" t="s">
        <v>1810</v>
      </c>
      <c r="C6" s="322"/>
      <c r="D6" s="322"/>
      <c r="E6" s="322"/>
      <c r="F6" s="322"/>
      <c r="G6" s="324"/>
      <c r="H6" s="322"/>
      <c r="I6" s="322"/>
      <c r="J6" s="322"/>
      <c r="K6" s="322"/>
      <c r="L6" s="322"/>
      <c r="M6" s="322"/>
      <c r="N6" s="322"/>
      <c r="O6" s="322"/>
      <c r="P6" s="322"/>
      <c r="Q6" s="322"/>
      <c r="R6" s="322"/>
      <c r="S6" s="322"/>
      <c r="T6" s="322"/>
      <c r="U6" s="322"/>
      <c r="V6" s="322"/>
      <c r="W6" s="322"/>
      <c r="X6" s="322"/>
      <c r="Y6" s="322"/>
      <c r="Z6" s="322"/>
      <c r="AA6" s="322"/>
      <c r="AB6" s="322"/>
      <c r="AC6" s="322"/>
      <c r="AD6" s="322"/>
      <c r="AE6" s="322"/>
      <c r="AF6" s="322"/>
      <c r="AG6" s="322"/>
    </row>
    <row r="7" spans="1:33" s="139" customFormat="1">
      <c r="A7" s="329"/>
      <c r="B7" s="329"/>
      <c r="C7" s="322"/>
      <c r="D7" s="322"/>
      <c r="E7" s="322"/>
      <c r="F7" s="329"/>
      <c r="G7" s="324"/>
      <c r="H7" s="329"/>
      <c r="I7" s="329"/>
      <c r="J7" s="329"/>
      <c r="K7" s="329"/>
      <c r="L7" s="329"/>
      <c r="M7" s="329"/>
      <c r="N7" s="329"/>
      <c r="O7" s="329"/>
      <c r="P7" s="329"/>
      <c r="Q7" s="329"/>
      <c r="R7" s="329"/>
      <c r="S7" s="329"/>
      <c r="T7" s="329"/>
      <c r="U7" s="329"/>
      <c r="V7" s="329"/>
      <c r="W7" s="329"/>
      <c r="X7" s="329"/>
      <c r="Y7" s="329"/>
      <c r="Z7" s="329"/>
      <c r="AA7" s="329"/>
      <c r="AB7" s="329"/>
      <c r="AC7" s="329"/>
      <c r="AD7" s="329"/>
      <c r="AE7" s="329"/>
      <c r="AF7" s="329"/>
      <c r="AG7" s="329"/>
    </row>
    <row r="8" spans="1:33" s="139" customFormat="1">
      <c r="A8" s="350"/>
      <c r="B8" s="350"/>
      <c r="C8" s="350" t="s">
        <v>96</v>
      </c>
      <c r="D8" s="350" t="s">
        <v>562</v>
      </c>
      <c r="E8" s="350" t="s">
        <v>85</v>
      </c>
      <c r="F8" s="350" t="s">
        <v>1664</v>
      </c>
      <c r="G8" s="350" t="s">
        <v>1692</v>
      </c>
      <c r="H8" s="322"/>
      <c r="I8" s="322"/>
      <c r="J8" s="322"/>
      <c r="K8" s="322"/>
      <c r="L8" s="322"/>
      <c r="M8" s="322"/>
      <c r="N8" s="322"/>
      <c r="O8" s="322"/>
      <c r="P8" s="322"/>
      <c r="Q8" s="322"/>
      <c r="R8" s="322"/>
      <c r="S8" s="322"/>
      <c r="T8" s="322"/>
      <c r="U8" s="322"/>
      <c r="V8" s="322"/>
      <c r="W8" s="322"/>
      <c r="X8" s="322"/>
      <c r="Y8" s="322"/>
      <c r="Z8" s="322"/>
      <c r="AA8" s="322"/>
      <c r="AB8" s="322"/>
      <c r="AC8" s="322"/>
      <c r="AD8" s="322"/>
      <c r="AE8" s="322"/>
      <c r="AF8" s="322"/>
      <c r="AG8" s="322"/>
    </row>
    <row r="9" spans="1:33" s="137" customFormat="1">
      <c r="A9" s="357" t="s">
        <v>47</v>
      </c>
      <c r="B9" s="342"/>
      <c r="C9" s="331"/>
      <c r="D9" s="331"/>
      <c r="E9" s="331"/>
      <c r="F9" s="343"/>
      <c r="G9" s="344"/>
      <c r="H9" s="346"/>
      <c r="I9" s="346"/>
      <c r="J9" s="346"/>
      <c r="K9" s="346"/>
      <c r="L9" s="346"/>
      <c r="M9" s="346"/>
      <c r="N9" s="346"/>
      <c r="O9" s="346"/>
      <c r="P9" s="346"/>
      <c r="Q9" s="346"/>
      <c r="R9" s="346"/>
      <c r="S9" s="346"/>
      <c r="T9" s="346"/>
      <c r="U9" s="346"/>
      <c r="V9" s="346"/>
      <c r="W9" s="346"/>
      <c r="X9" s="346"/>
      <c r="Y9" s="346"/>
      <c r="Z9" s="346"/>
      <c r="AA9" s="346"/>
      <c r="AB9" s="346"/>
      <c r="AC9" s="346"/>
      <c r="AD9" s="346"/>
      <c r="AE9" s="346"/>
      <c r="AF9" s="346"/>
      <c r="AG9" s="346"/>
    </row>
    <row r="10" spans="1:33" s="346" customFormat="1" ht="26">
      <c r="A10" s="348" t="s">
        <v>239</v>
      </c>
      <c r="B10" s="22" t="s">
        <v>1811</v>
      </c>
      <c r="C10" s="336" t="s">
        <v>484</v>
      </c>
      <c r="D10" s="336" t="s">
        <v>483</v>
      </c>
      <c r="E10" s="336" t="s">
        <v>2066</v>
      </c>
      <c r="F10" s="347"/>
      <c r="G10" s="348"/>
    </row>
    <row r="11" spans="1:33" s="139" customFormat="1">
      <c r="A11" s="357" t="s">
        <v>54</v>
      </c>
      <c r="B11" s="342"/>
      <c r="C11" s="331"/>
      <c r="D11" s="331"/>
      <c r="E11" s="331"/>
      <c r="F11" s="343"/>
      <c r="G11" s="344"/>
      <c r="H11" s="346"/>
      <c r="I11" s="346"/>
      <c r="J11" s="346"/>
      <c r="K11" s="346"/>
      <c r="L11" s="346"/>
      <c r="M11" s="346"/>
      <c r="N11" s="346"/>
      <c r="O11" s="346"/>
      <c r="P11" s="346"/>
      <c r="Q11" s="346"/>
      <c r="R11" s="346"/>
      <c r="S11" s="346"/>
      <c r="T11" s="346"/>
      <c r="U11" s="346"/>
      <c r="V11" s="346"/>
      <c r="W11" s="346"/>
      <c r="X11" s="346"/>
      <c r="Y11" s="346"/>
      <c r="Z11" s="346"/>
      <c r="AA11" s="346"/>
      <c r="AB11" s="346"/>
      <c r="AC11" s="346"/>
      <c r="AD11" s="346"/>
      <c r="AE11" s="346"/>
      <c r="AF11" s="346"/>
      <c r="AG11" s="346"/>
    </row>
    <row r="12" spans="1:33" s="139" customFormat="1" ht="65">
      <c r="A12" s="348" t="s">
        <v>240</v>
      </c>
      <c r="B12" s="22" t="s">
        <v>1812</v>
      </c>
      <c r="C12" s="3"/>
      <c r="D12" s="336" t="s">
        <v>1813</v>
      </c>
      <c r="E12" s="336" t="s">
        <v>1604</v>
      </c>
      <c r="F12" s="347"/>
      <c r="G12" s="348"/>
      <c r="H12" s="346"/>
      <c r="I12" s="346"/>
      <c r="J12" s="346"/>
      <c r="K12" s="346"/>
      <c r="L12" s="346"/>
      <c r="M12" s="346"/>
      <c r="N12" s="346"/>
      <c r="O12" s="346"/>
      <c r="P12" s="346"/>
      <c r="Q12" s="346"/>
      <c r="R12" s="346"/>
      <c r="S12" s="346"/>
      <c r="T12" s="346"/>
      <c r="U12" s="346"/>
      <c r="V12" s="346"/>
      <c r="W12" s="346"/>
      <c r="X12" s="346"/>
      <c r="Y12" s="346"/>
      <c r="Z12" s="346"/>
      <c r="AA12" s="346"/>
      <c r="AB12" s="346"/>
      <c r="AC12" s="346"/>
      <c r="AD12" s="346"/>
      <c r="AE12" s="346"/>
      <c r="AF12" s="346"/>
      <c r="AG12" s="346"/>
    </row>
    <row r="13" spans="1:33" s="137" customFormat="1" ht="65">
      <c r="A13" s="348" t="s">
        <v>241</v>
      </c>
      <c r="B13" s="22" t="s">
        <v>1814</v>
      </c>
      <c r="C13" s="3"/>
      <c r="D13" s="336" t="s">
        <v>1815</v>
      </c>
      <c r="E13" s="336" t="s">
        <v>1605</v>
      </c>
      <c r="F13" s="347"/>
      <c r="G13" s="348"/>
      <c r="H13" s="346"/>
      <c r="I13" s="346"/>
      <c r="J13" s="346"/>
      <c r="K13" s="346"/>
      <c r="L13" s="346"/>
      <c r="M13" s="346"/>
      <c r="N13" s="346"/>
      <c r="O13" s="346"/>
      <c r="P13" s="346"/>
      <c r="Q13" s="346"/>
      <c r="R13" s="346"/>
      <c r="S13" s="346"/>
      <c r="T13" s="346"/>
      <c r="U13" s="346"/>
      <c r="V13" s="346"/>
      <c r="W13" s="346"/>
      <c r="X13" s="346"/>
      <c r="Y13" s="346"/>
      <c r="Z13" s="346"/>
      <c r="AA13" s="346"/>
      <c r="AB13" s="346"/>
      <c r="AC13" s="346"/>
      <c r="AD13" s="346"/>
      <c r="AE13" s="346"/>
      <c r="AF13" s="346"/>
      <c r="AG13" s="346"/>
    </row>
    <row r="14" spans="1:33" s="346" customFormat="1" ht="77.25" customHeight="1">
      <c r="A14" s="348" t="s">
        <v>242</v>
      </c>
      <c r="B14" s="22" t="s">
        <v>1816</v>
      </c>
      <c r="C14" s="3"/>
      <c r="D14" s="336" t="s">
        <v>485</v>
      </c>
      <c r="E14" s="336" t="s">
        <v>2067</v>
      </c>
      <c r="F14" s="347"/>
      <c r="G14" s="348"/>
    </row>
    <row r="15" spans="1:33" s="139" customFormat="1">
      <c r="A15" s="357" t="s">
        <v>56</v>
      </c>
      <c r="B15" s="342"/>
      <c r="C15" s="331"/>
      <c r="D15" s="331"/>
      <c r="E15" s="331"/>
      <c r="F15" s="343"/>
      <c r="G15" s="344"/>
      <c r="H15" s="346"/>
      <c r="I15" s="346"/>
      <c r="J15" s="346"/>
      <c r="K15" s="346"/>
      <c r="L15" s="346"/>
      <c r="M15" s="346"/>
      <c r="N15" s="346"/>
      <c r="O15" s="346"/>
      <c r="P15" s="346"/>
      <c r="Q15" s="346"/>
      <c r="R15" s="346"/>
      <c r="S15" s="346"/>
      <c r="T15" s="346"/>
      <c r="U15" s="346"/>
      <c r="V15" s="346"/>
      <c r="W15" s="346"/>
      <c r="X15" s="346"/>
      <c r="Y15" s="346"/>
      <c r="Z15" s="346"/>
      <c r="AA15" s="346"/>
      <c r="AB15" s="346"/>
      <c r="AC15" s="346"/>
      <c r="AD15" s="346"/>
      <c r="AE15" s="346"/>
      <c r="AF15" s="346"/>
      <c r="AG15" s="346"/>
    </row>
    <row r="16" spans="1:33" s="139" customFormat="1" ht="75.75" customHeight="1">
      <c r="A16" s="348" t="s">
        <v>243</v>
      </c>
      <c r="B16" s="22" t="s">
        <v>1817</v>
      </c>
      <c r="C16" s="3"/>
      <c r="D16" s="336" t="s">
        <v>2068</v>
      </c>
      <c r="E16" s="336" t="s">
        <v>1606</v>
      </c>
      <c r="F16" s="347"/>
      <c r="G16" s="348"/>
      <c r="H16" s="346"/>
      <c r="I16" s="346"/>
      <c r="J16" s="346"/>
      <c r="K16" s="346"/>
      <c r="L16" s="346"/>
      <c r="M16" s="346"/>
      <c r="N16" s="346"/>
      <c r="O16" s="346"/>
      <c r="P16" s="346"/>
      <c r="Q16" s="346"/>
      <c r="R16" s="346"/>
      <c r="S16" s="346"/>
      <c r="T16" s="346"/>
      <c r="U16" s="346"/>
      <c r="V16" s="346"/>
      <c r="W16" s="346"/>
      <c r="X16" s="346"/>
      <c r="Y16" s="346"/>
      <c r="Z16" s="346"/>
      <c r="AA16" s="346"/>
      <c r="AB16" s="346"/>
      <c r="AC16" s="346"/>
      <c r="AD16" s="346"/>
      <c r="AE16" s="346"/>
      <c r="AF16" s="346"/>
      <c r="AG16" s="346"/>
    </row>
    <row r="17" spans="1:33" s="139" customFormat="1" ht="104">
      <c r="A17" s="348" t="s">
        <v>244</v>
      </c>
      <c r="B17" s="22" t="s">
        <v>1818</v>
      </c>
      <c r="C17" s="3"/>
      <c r="D17" s="336" t="s">
        <v>1819</v>
      </c>
      <c r="E17" s="336" t="s">
        <v>1607</v>
      </c>
      <c r="F17" s="347"/>
      <c r="G17" s="348"/>
      <c r="H17" s="346"/>
      <c r="I17" s="346"/>
      <c r="J17" s="346"/>
      <c r="K17" s="346"/>
      <c r="L17" s="346"/>
      <c r="M17" s="346"/>
      <c r="N17" s="346"/>
      <c r="O17" s="346"/>
      <c r="P17" s="346"/>
      <c r="Q17" s="346"/>
      <c r="R17" s="346"/>
      <c r="S17" s="346"/>
      <c r="T17" s="346"/>
      <c r="U17" s="346"/>
      <c r="V17" s="346"/>
      <c r="W17" s="346"/>
      <c r="X17" s="346"/>
      <c r="Y17" s="346"/>
      <c r="Z17" s="346"/>
      <c r="AA17" s="346"/>
      <c r="AB17" s="346"/>
      <c r="AC17" s="346"/>
      <c r="AD17" s="346"/>
      <c r="AE17" s="346"/>
      <c r="AF17" s="346"/>
      <c r="AG17" s="346"/>
    </row>
    <row r="18" spans="1:33" s="137" customFormat="1" ht="78">
      <c r="A18" s="348" t="s">
        <v>245</v>
      </c>
      <c r="B18" s="22" t="s">
        <v>1820</v>
      </c>
      <c r="C18" s="336" t="s">
        <v>486</v>
      </c>
      <c r="D18" s="336" t="s">
        <v>1821</v>
      </c>
      <c r="E18" s="336" t="s">
        <v>2069</v>
      </c>
      <c r="F18" s="347"/>
      <c r="G18" s="348"/>
      <c r="H18" s="346"/>
      <c r="I18" s="346"/>
      <c r="J18" s="346"/>
      <c r="K18" s="346"/>
      <c r="L18" s="346"/>
      <c r="M18" s="346"/>
      <c r="N18" s="346"/>
      <c r="O18" s="346"/>
      <c r="P18" s="346"/>
      <c r="Q18" s="346"/>
      <c r="R18" s="346"/>
      <c r="S18" s="346"/>
      <c r="T18" s="346"/>
      <c r="U18" s="346"/>
      <c r="V18" s="346"/>
      <c r="W18" s="346"/>
      <c r="X18" s="346"/>
      <c r="Y18" s="346"/>
      <c r="Z18" s="346"/>
      <c r="AA18" s="346"/>
      <c r="AB18" s="346"/>
      <c r="AC18" s="346"/>
      <c r="AD18" s="346"/>
      <c r="AE18" s="346"/>
      <c r="AF18" s="346"/>
      <c r="AG18" s="346"/>
    </row>
    <row r="19" spans="1:33" s="346" customFormat="1" ht="26">
      <c r="A19" s="348" t="s">
        <v>246</v>
      </c>
      <c r="B19" s="22" t="s">
        <v>1822</v>
      </c>
      <c r="C19" s="3"/>
      <c r="D19" s="3"/>
      <c r="E19" s="336" t="s">
        <v>1608</v>
      </c>
      <c r="F19" s="347"/>
      <c r="G19" s="348"/>
    </row>
    <row r="20" spans="1:33" s="139" customFormat="1" ht="26">
      <c r="A20" s="348" t="s">
        <v>247</v>
      </c>
      <c r="B20" s="22" t="s">
        <v>1823</v>
      </c>
      <c r="C20" s="3"/>
      <c r="D20" s="3"/>
      <c r="E20" s="336" t="s">
        <v>2069</v>
      </c>
      <c r="F20" s="347"/>
      <c r="G20" s="348"/>
      <c r="H20" s="346"/>
      <c r="I20" s="346"/>
      <c r="J20" s="346"/>
      <c r="K20" s="346"/>
      <c r="L20" s="346"/>
      <c r="M20" s="346"/>
      <c r="N20" s="346"/>
      <c r="O20" s="346"/>
      <c r="P20" s="346"/>
      <c r="Q20" s="346"/>
      <c r="R20" s="346"/>
      <c r="S20" s="346"/>
      <c r="T20" s="346"/>
      <c r="U20" s="346"/>
      <c r="V20" s="346"/>
      <c r="W20" s="346"/>
      <c r="X20" s="346"/>
      <c r="Y20" s="346"/>
      <c r="Z20" s="346"/>
      <c r="AA20" s="346"/>
      <c r="AB20" s="346"/>
      <c r="AC20" s="346"/>
      <c r="AD20" s="346"/>
      <c r="AE20" s="346"/>
      <c r="AF20" s="346"/>
      <c r="AG20" s="346"/>
    </row>
    <row r="21" spans="1:33" s="139" customFormat="1" ht="26">
      <c r="A21" s="348" t="s">
        <v>248</v>
      </c>
      <c r="B21" s="22" t="s">
        <v>1824</v>
      </c>
      <c r="C21" s="3"/>
      <c r="D21" s="3"/>
      <c r="E21" s="336" t="s">
        <v>1609</v>
      </c>
      <c r="F21" s="347"/>
      <c r="G21" s="348"/>
      <c r="H21" s="346"/>
      <c r="I21" s="346"/>
      <c r="J21" s="346"/>
      <c r="K21" s="346"/>
      <c r="L21" s="346"/>
      <c r="M21" s="346"/>
      <c r="N21" s="346"/>
      <c r="O21" s="346"/>
      <c r="P21" s="346"/>
      <c r="Q21" s="346"/>
      <c r="R21" s="346"/>
      <c r="S21" s="346"/>
      <c r="T21" s="346"/>
      <c r="U21" s="346"/>
      <c r="V21" s="346"/>
      <c r="W21" s="346"/>
      <c r="X21" s="346"/>
      <c r="Y21" s="346"/>
      <c r="Z21" s="346"/>
      <c r="AA21" s="346"/>
      <c r="AB21" s="346"/>
      <c r="AC21" s="346"/>
      <c r="AD21" s="346"/>
      <c r="AE21" s="346"/>
      <c r="AF21" s="346"/>
      <c r="AG21" s="346"/>
    </row>
    <row r="22" spans="1:33" s="137" customFormat="1" ht="26">
      <c r="A22" s="348" t="s">
        <v>249</v>
      </c>
      <c r="B22" s="22" t="s">
        <v>1825</v>
      </c>
      <c r="C22" s="3"/>
      <c r="D22" s="3"/>
      <c r="E22" s="336" t="s">
        <v>2070</v>
      </c>
      <c r="F22" s="347"/>
      <c r="G22" s="348"/>
      <c r="H22" s="346"/>
      <c r="I22" s="346"/>
      <c r="J22" s="346"/>
      <c r="K22" s="346"/>
      <c r="L22" s="346"/>
      <c r="M22" s="346"/>
      <c r="N22" s="346"/>
      <c r="O22" s="346"/>
      <c r="P22" s="346"/>
      <c r="Q22" s="346"/>
      <c r="R22" s="346"/>
      <c r="S22" s="346"/>
      <c r="T22" s="346"/>
      <c r="U22" s="346"/>
      <c r="V22" s="346"/>
      <c r="W22" s="346"/>
      <c r="X22" s="346"/>
      <c r="Y22" s="346"/>
      <c r="Z22" s="346"/>
      <c r="AA22" s="346"/>
      <c r="AB22" s="346"/>
      <c r="AC22" s="346"/>
      <c r="AD22" s="346"/>
      <c r="AE22" s="346"/>
      <c r="AF22" s="346"/>
      <c r="AG22" s="346"/>
    </row>
    <row r="23" spans="1:33">
      <c r="A23" s="358"/>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8050"/>
  </sheetPr>
  <dimension ref="A1:R64"/>
  <sheetViews>
    <sheetView workbookViewId="0">
      <pane xSplit="2" ySplit="8" topLeftCell="E18"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46.81640625" style="329" customWidth="1"/>
    <col min="3" max="4" width="21.453125" style="329" customWidth="1"/>
    <col min="5" max="5" width="43.81640625" style="329" customWidth="1"/>
    <col min="6" max="6" width="56.453125" style="329" customWidth="1"/>
    <col min="7" max="7" width="21.453125" style="324" customWidth="1"/>
    <col min="8" max="9" width="8.81640625" style="322" customWidth="1"/>
    <col min="10" max="10" width="8.81640625" style="324" customWidth="1"/>
    <col min="11" max="11" width="8.81640625" style="324"/>
    <col min="12" max="12" width="8.81640625" style="322"/>
    <col min="13" max="18" width="8.81640625" style="324"/>
    <col min="19" max="16384" width="8.81640625" style="329"/>
  </cols>
  <sheetData>
    <row r="1" spans="1:18" s="137" customFormat="1" ht="26">
      <c r="A1" s="321" t="s">
        <v>294</v>
      </c>
      <c r="B1" s="322"/>
      <c r="C1" s="323"/>
      <c r="D1" s="322"/>
      <c r="E1" s="322"/>
      <c r="F1" s="322"/>
      <c r="G1" s="324"/>
      <c r="H1" s="322"/>
      <c r="I1" s="322"/>
      <c r="J1" s="324"/>
      <c r="K1" s="324"/>
      <c r="L1" s="322"/>
      <c r="M1" s="324"/>
      <c r="N1" s="324"/>
      <c r="O1" s="324"/>
      <c r="P1" s="324"/>
      <c r="Q1" s="324"/>
      <c r="R1" s="324"/>
    </row>
    <row r="2" spans="1:18" s="346" customFormat="1" ht="26">
      <c r="A2" s="321" t="s">
        <v>1826</v>
      </c>
      <c r="B2" s="322"/>
      <c r="C2" s="323"/>
      <c r="D2" s="322"/>
      <c r="E2" s="322"/>
      <c r="F2" s="322"/>
      <c r="G2" s="324"/>
      <c r="H2" s="322"/>
      <c r="I2" s="322"/>
      <c r="J2" s="324"/>
      <c r="K2" s="324"/>
      <c r="L2" s="322"/>
      <c r="M2" s="324"/>
      <c r="N2" s="324"/>
      <c r="O2" s="324"/>
      <c r="P2" s="324"/>
      <c r="Q2" s="324"/>
      <c r="R2" s="324"/>
    </row>
    <row r="3" spans="1:18" s="346" customFormat="1">
      <c r="A3" s="325" t="s">
        <v>1660</v>
      </c>
      <c r="B3" s="322" t="s">
        <v>1827</v>
      </c>
      <c r="C3" s="322"/>
      <c r="D3" s="322"/>
      <c r="E3" s="322"/>
      <c r="F3" s="322"/>
      <c r="G3" s="324"/>
      <c r="H3" s="322"/>
      <c r="I3" s="322"/>
      <c r="J3" s="324"/>
      <c r="K3" s="324"/>
      <c r="L3" s="322"/>
      <c r="M3" s="324"/>
      <c r="N3" s="324"/>
      <c r="O3" s="324"/>
      <c r="P3" s="324"/>
      <c r="Q3" s="324"/>
      <c r="R3" s="324"/>
    </row>
    <row r="4" spans="1:18" s="139" customFormat="1">
      <c r="A4" s="325" t="s">
        <v>417</v>
      </c>
      <c r="B4" s="322" t="s">
        <v>1828</v>
      </c>
      <c r="C4" s="322"/>
      <c r="D4" s="322"/>
      <c r="E4" s="322"/>
      <c r="F4" s="322"/>
      <c r="G4" s="324"/>
      <c r="H4" s="322"/>
      <c r="I4" s="322"/>
      <c r="J4" s="324"/>
      <c r="K4" s="324"/>
      <c r="L4" s="322"/>
      <c r="M4" s="324"/>
      <c r="N4" s="324"/>
      <c r="O4" s="324"/>
      <c r="P4" s="324"/>
      <c r="Q4" s="324"/>
      <c r="R4" s="324"/>
    </row>
    <row r="5" spans="1:18" s="139" customFormat="1">
      <c r="A5" s="322" t="s">
        <v>1662</v>
      </c>
      <c r="B5" s="322" t="s">
        <v>1829</v>
      </c>
      <c r="C5" s="322"/>
      <c r="D5" s="322"/>
      <c r="E5" s="322"/>
      <c r="F5" s="322"/>
      <c r="G5" s="324"/>
      <c r="H5" s="322"/>
      <c r="I5" s="322"/>
      <c r="J5" s="324"/>
      <c r="K5" s="324"/>
      <c r="L5" s="322"/>
      <c r="M5" s="324"/>
      <c r="N5" s="324"/>
      <c r="O5" s="324"/>
      <c r="P5" s="324"/>
      <c r="Q5" s="324"/>
      <c r="R5" s="324"/>
    </row>
    <row r="6" spans="1:18" s="137" customFormat="1">
      <c r="A6" s="322" t="s">
        <v>421</v>
      </c>
      <c r="B6" s="322" t="s">
        <v>1830</v>
      </c>
      <c r="C6" s="322"/>
      <c r="D6" s="322"/>
      <c r="E6" s="322"/>
      <c r="F6" s="322"/>
      <c r="G6" s="324"/>
      <c r="H6" s="322"/>
      <c r="I6" s="322"/>
      <c r="J6" s="324"/>
      <c r="K6" s="324"/>
      <c r="L6" s="322"/>
      <c r="M6" s="324"/>
      <c r="N6" s="324"/>
      <c r="O6" s="324"/>
      <c r="P6" s="324"/>
      <c r="Q6" s="324"/>
      <c r="R6" s="324"/>
    </row>
    <row r="7" spans="1:18" s="346" customFormat="1">
      <c r="A7" s="329"/>
      <c r="B7" s="329"/>
      <c r="C7" s="329"/>
      <c r="D7" s="329"/>
      <c r="E7" s="322"/>
      <c r="F7" s="322"/>
      <c r="G7" s="359" t="e">
        <f>#REF!</f>
        <v>#REF!</v>
      </c>
      <c r="H7" s="322"/>
      <c r="I7" s="322"/>
      <c r="J7" s="324"/>
      <c r="K7" s="324"/>
      <c r="L7" s="322"/>
      <c r="M7" s="324"/>
      <c r="N7" s="324"/>
      <c r="O7" s="324"/>
      <c r="P7" s="324"/>
      <c r="Q7" s="324"/>
      <c r="R7" s="324"/>
    </row>
    <row r="8" spans="1:18" s="139" customFormat="1">
      <c r="A8" s="350"/>
      <c r="B8" s="350"/>
      <c r="C8" s="350" t="s">
        <v>96</v>
      </c>
      <c r="D8" s="350" t="s">
        <v>562</v>
      </c>
      <c r="E8" s="350" t="s">
        <v>85</v>
      </c>
      <c r="F8" s="350"/>
      <c r="G8" s="350" t="s">
        <v>1692</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45"/>
      <c r="K9" s="345"/>
      <c r="L9" s="322"/>
      <c r="M9" s="345"/>
      <c r="N9" s="345"/>
      <c r="O9" s="345"/>
      <c r="P9" s="345"/>
      <c r="Q9" s="345"/>
      <c r="R9" s="345"/>
    </row>
    <row r="10" spans="1:18" s="137" customFormat="1" ht="39">
      <c r="A10" s="22" t="s">
        <v>295</v>
      </c>
      <c r="B10" s="22" t="s">
        <v>1831</v>
      </c>
      <c r="C10" s="347" t="s">
        <v>503</v>
      </c>
      <c r="D10" s="347" t="s">
        <v>1832</v>
      </c>
      <c r="E10" s="347" t="s">
        <v>1626</v>
      </c>
      <c r="F10" s="347"/>
      <c r="G10" s="348"/>
      <c r="H10" s="335"/>
      <c r="I10" s="322"/>
      <c r="J10" s="345"/>
      <c r="K10" s="345"/>
      <c r="L10" s="322"/>
      <c r="M10" s="345"/>
      <c r="N10" s="345"/>
      <c r="O10" s="345"/>
      <c r="P10" s="345"/>
      <c r="Q10" s="345"/>
      <c r="R10" s="345"/>
    </row>
    <row r="11" spans="1:18" s="346" customFormat="1">
      <c r="A11" s="342" t="s">
        <v>54</v>
      </c>
      <c r="B11" s="342"/>
      <c r="C11" s="343"/>
      <c r="D11" s="343"/>
      <c r="E11" s="343" t="s">
        <v>1833</v>
      </c>
      <c r="F11" s="343"/>
      <c r="G11" s="344"/>
      <c r="H11" s="322"/>
      <c r="I11" s="322"/>
      <c r="J11" s="345"/>
      <c r="K11" s="345"/>
      <c r="L11" s="322"/>
      <c r="M11" s="345"/>
      <c r="N11" s="345"/>
      <c r="O11" s="345"/>
      <c r="P11" s="345"/>
      <c r="Q11" s="345"/>
      <c r="R11" s="345"/>
    </row>
    <row r="12" spans="1:18" s="139" customFormat="1" ht="39">
      <c r="A12" s="22" t="s">
        <v>296</v>
      </c>
      <c r="B12" s="22" t="s">
        <v>1834</v>
      </c>
      <c r="C12" s="347" t="s">
        <v>504</v>
      </c>
      <c r="D12" s="347" t="s">
        <v>1835</v>
      </c>
      <c r="E12" s="347" t="s">
        <v>1627</v>
      </c>
      <c r="F12" s="347"/>
      <c r="G12" s="348"/>
      <c r="H12" s="322"/>
      <c r="I12" s="322"/>
      <c r="J12" s="345"/>
      <c r="K12" s="345"/>
      <c r="L12" s="322"/>
      <c r="M12" s="345"/>
      <c r="N12" s="345"/>
      <c r="O12" s="345"/>
      <c r="P12" s="345"/>
      <c r="Q12" s="345"/>
      <c r="R12" s="345"/>
    </row>
    <row r="13" spans="1:18" s="137" customFormat="1" ht="65">
      <c r="A13" s="22" t="s">
        <v>297</v>
      </c>
      <c r="B13" s="22" t="s">
        <v>1836</v>
      </c>
      <c r="C13" s="347" t="s">
        <v>506</v>
      </c>
      <c r="D13" s="347" t="s">
        <v>505</v>
      </c>
      <c r="E13" s="347" t="s">
        <v>1628</v>
      </c>
      <c r="F13" s="347"/>
      <c r="G13" s="348"/>
      <c r="H13" s="322"/>
      <c r="I13" s="360"/>
      <c r="J13" s="345"/>
      <c r="K13" s="345"/>
      <c r="L13" s="322"/>
      <c r="M13" s="345"/>
      <c r="N13" s="345"/>
      <c r="O13" s="345"/>
      <c r="P13" s="345"/>
      <c r="Q13" s="345"/>
      <c r="R13" s="345"/>
    </row>
    <row r="14" spans="1:18" s="346" customFormat="1" ht="78">
      <c r="A14" s="22" t="s">
        <v>298</v>
      </c>
      <c r="B14" s="22" t="s">
        <v>1837</v>
      </c>
      <c r="C14" s="347" t="s">
        <v>507</v>
      </c>
      <c r="D14" s="347" t="s">
        <v>1838</v>
      </c>
      <c r="E14" s="347" t="s">
        <v>1629</v>
      </c>
      <c r="F14" s="347"/>
      <c r="G14" s="348"/>
      <c r="H14" s="322"/>
      <c r="I14" s="322"/>
      <c r="J14" s="345"/>
      <c r="K14" s="345"/>
      <c r="L14" s="322"/>
      <c r="M14" s="345"/>
      <c r="N14" s="345"/>
      <c r="O14" s="345"/>
      <c r="P14" s="345"/>
      <c r="Q14" s="345"/>
      <c r="R14" s="345"/>
    </row>
    <row r="15" spans="1:18" s="139" customFormat="1">
      <c r="A15" s="342" t="s">
        <v>56</v>
      </c>
      <c r="B15" s="342"/>
      <c r="C15" s="343"/>
      <c r="D15" s="343"/>
      <c r="E15" s="343" t="s">
        <v>1833</v>
      </c>
      <c r="F15" s="343"/>
      <c r="G15" s="344"/>
      <c r="H15" s="322"/>
      <c r="I15" s="322"/>
      <c r="J15" s="345"/>
      <c r="K15" s="345"/>
      <c r="L15" s="322"/>
      <c r="M15" s="345"/>
      <c r="N15" s="345"/>
      <c r="O15" s="345"/>
      <c r="P15" s="345"/>
      <c r="Q15" s="345"/>
      <c r="R15" s="345"/>
    </row>
    <row r="16" spans="1:18" s="139" customFormat="1" ht="39">
      <c r="A16" s="22" t="s">
        <v>299</v>
      </c>
      <c r="B16" s="22" t="s">
        <v>1839</v>
      </c>
      <c r="C16" s="22"/>
      <c r="D16" s="347" t="s">
        <v>508</v>
      </c>
      <c r="E16" s="347" t="s">
        <v>300</v>
      </c>
      <c r="F16" s="347"/>
      <c r="G16" s="348"/>
      <c r="H16" s="322"/>
      <c r="I16" s="322"/>
      <c r="J16" s="345"/>
      <c r="K16" s="345"/>
      <c r="L16" s="322"/>
      <c r="M16" s="345"/>
      <c r="N16" s="345"/>
      <c r="O16" s="345"/>
      <c r="P16" s="345"/>
      <c r="Q16" s="345"/>
      <c r="R16" s="345"/>
    </row>
    <row r="17" spans="1:18" s="137" customFormat="1" ht="91">
      <c r="A17" s="22" t="s">
        <v>301</v>
      </c>
      <c r="B17" s="22" t="s">
        <v>1840</v>
      </c>
      <c r="C17" s="347" t="s">
        <v>2071</v>
      </c>
      <c r="D17" s="347" t="s">
        <v>2072</v>
      </c>
      <c r="E17" s="347" t="s">
        <v>2073</v>
      </c>
      <c r="F17" s="347"/>
      <c r="G17" s="348"/>
      <c r="H17" s="322"/>
      <c r="I17" s="322"/>
      <c r="J17" s="345"/>
      <c r="K17" s="345"/>
      <c r="L17" s="322"/>
      <c r="M17" s="345"/>
      <c r="N17" s="345"/>
      <c r="O17" s="345"/>
      <c r="P17" s="345"/>
      <c r="Q17" s="345"/>
      <c r="R17" s="345"/>
    </row>
    <row r="18" spans="1:18" s="339" customFormat="1">
      <c r="G18" s="324"/>
      <c r="H18" s="322"/>
      <c r="I18" s="322"/>
      <c r="J18" s="324"/>
      <c r="K18" s="324"/>
      <c r="L18" s="322"/>
      <c r="M18" s="324"/>
      <c r="N18" s="324"/>
      <c r="O18" s="324"/>
      <c r="P18" s="324"/>
      <c r="Q18" s="324"/>
      <c r="R18" s="324"/>
    </row>
    <row r="19" spans="1:18" s="339" customFormat="1">
      <c r="G19" s="324"/>
      <c r="H19" s="322"/>
      <c r="I19" s="322"/>
      <c r="J19" s="324"/>
      <c r="K19" s="324"/>
      <c r="L19" s="322"/>
      <c r="M19" s="324"/>
      <c r="N19" s="324"/>
      <c r="O19" s="324"/>
      <c r="P19" s="324"/>
      <c r="Q19" s="324"/>
      <c r="R19" s="324"/>
    </row>
    <row r="20" spans="1:18" s="339" customFormat="1">
      <c r="G20" s="324"/>
      <c r="H20" s="322"/>
      <c r="I20" s="322"/>
      <c r="J20" s="324"/>
      <c r="K20" s="324"/>
      <c r="L20" s="322"/>
      <c r="M20" s="324"/>
      <c r="N20" s="324"/>
      <c r="O20" s="324"/>
      <c r="P20" s="324"/>
      <c r="Q20" s="324"/>
      <c r="R20" s="324"/>
    </row>
    <row r="21" spans="1:18" s="339" customFormat="1">
      <c r="G21" s="324"/>
      <c r="H21" s="322"/>
      <c r="I21" s="322"/>
      <c r="J21" s="324"/>
      <c r="K21" s="324"/>
      <c r="L21" s="322"/>
      <c r="M21" s="324"/>
      <c r="N21" s="324"/>
      <c r="O21" s="324"/>
      <c r="P21" s="324"/>
      <c r="Q21" s="324"/>
      <c r="R21" s="324"/>
    </row>
    <row r="22" spans="1:18" s="339" customFormat="1">
      <c r="G22" s="324"/>
      <c r="H22" s="322"/>
      <c r="I22" s="322"/>
      <c r="J22" s="324"/>
      <c r="K22" s="324"/>
      <c r="L22" s="322"/>
      <c r="M22" s="324"/>
      <c r="N22" s="324"/>
      <c r="O22" s="324"/>
      <c r="P22" s="324"/>
      <c r="Q22" s="324"/>
      <c r="R22" s="324"/>
    </row>
    <row r="23" spans="1:18" s="339" customFormat="1">
      <c r="G23" s="324"/>
      <c r="H23" s="322"/>
      <c r="I23" s="322"/>
      <c r="J23" s="324"/>
      <c r="K23" s="324"/>
      <c r="L23" s="322"/>
      <c r="M23" s="324"/>
      <c r="N23" s="324"/>
      <c r="O23" s="324"/>
      <c r="P23" s="324"/>
      <c r="Q23" s="324"/>
      <c r="R23" s="324"/>
    </row>
    <row r="24" spans="1:18" s="339" customFormat="1">
      <c r="G24" s="324"/>
      <c r="H24" s="322"/>
      <c r="I24" s="322"/>
      <c r="J24" s="324"/>
      <c r="K24" s="324"/>
      <c r="L24" s="322"/>
      <c r="M24" s="324"/>
      <c r="N24" s="324"/>
      <c r="O24" s="324"/>
      <c r="P24" s="324"/>
      <c r="Q24" s="324"/>
      <c r="R24" s="324"/>
    </row>
    <row r="25" spans="1:18" s="339" customFormat="1">
      <c r="G25" s="324"/>
      <c r="H25" s="322"/>
      <c r="I25" s="322"/>
      <c r="J25" s="324"/>
      <c r="K25" s="324"/>
      <c r="L25" s="322"/>
      <c r="M25" s="324"/>
      <c r="N25" s="324"/>
      <c r="O25" s="324"/>
      <c r="P25" s="324"/>
      <c r="Q25" s="324"/>
      <c r="R25" s="324"/>
    </row>
    <row r="26" spans="1:18" s="339" customFormat="1">
      <c r="G26" s="324"/>
      <c r="H26" s="322"/>
      <c r="I26" s="322"/>
      <c r="J26" s="324"/>
      <c r="K26" s="324"/>
      <c r="L26" s="322"/>
      <c r="M26" s="324"/>
      <c r="N26" s="324"/>
      <c r="O26" s="324"/>
      <c r="P26" s="324"/>
      <c r="Q26" s="324"/>
      <c r="R26" s="324"/>
    </row>
    <row r="27" spans="1:18" s="339" customFormat="1">
      <c r="G27" s="324"/>
      <c r="H27" s="322"/>
      <c r="I27" s="322"/>
      <c r="J27" s="324"/>
      <c r="K27" s="324"/>
      <c r="L27" s="322"/>
      <c r="M27" s="324"/>
      <c r="N27" s="324"/>
      <c r="O27" s="324"/>
      <c r="P27" s="324"/>
      <c r="Q27" s="324"/>
      <c r="R27" s="324"/>
    </row>
    <row r="28" spans="1:18" s="339" customFormat="1">
      <c r="G28" s="324"/>
      <c r="H28" s="322"/>
      <c r="I28" s="322"/>
      <c r="J28" s="324"/>
      <c r="K28" s="324"/>
      <c r="L28" s="322"/>
      <c r="M28" s="324"/>
      <c r="N28" s="324"/>
      <c r="O28" s="324"/>
      <c r="P28" s="324"/>
      <c r="Q28" s="324"/>
      <c r="R28" s="324"/>
    </row>
    <row r="29" spans="1:18" s="339" customFormat="1">
      <c r="G29" s="324"/>
      <c r="H29" s="322"/>
      <c r="I29" s="322"/>
      <c r="J29" s="324"/>
      <c r="K29" s="324"/>
      <c r="L29" s="322"/>
      <c r="M29" s="324"/>
      <c r="N29" s="324"/>
      <c r="O29" s="324"/>
      <c r="P29" s="324"/>
      <c r="Q29" s="324"/>
      <c r="R29" s="324"/>
    </row>
    <row r="30" spans="1:18" s="339" customFormat="1">
      <c r="G30" s="324"/>
      <c r="H30" s="322"/>
      <c r="I30" s="322"/>
      <c r="J30" s="324"/>
      <c r="K30" s="324"/>
      <c r="L30" s="322"/>
      <c r="M30" s="324"/>
      <c r="N30" s="324"/>
      <c r="O30" s="324"/>
      <c r="P30" s="324"/>
      <c r="Q30" s="324"/>
      <c r="R30" s="324"/>
    </row>
    <row r="31" spans="1:18" s="339" customFormat="1">
      <c r="G31" s="324"/>
      <c r="H31" s="322"/>
      <c r="I31" s="322"/>
      <c r="J31" s="324"/>
      <c r="K31" s="324"/>
      <c r="L31" s="322"/>
      <c r="M31" s="324"/>
      <c r="N31" s="324"/>
      <c r="O31" s="324"/>
      <c r="P31" s="324"/>
      <c r="Q31" s="324"/>
      <c r="R31" s="324"/>
    </row>
    <row r="32" spans="1:18" s="339" customFormat="1">
      <c r="G32" s="324"/>
      <c r="H32" s="322"/>
      <c r="I32" s="322"/>
      <c r="J32" s="324"/>
      <c r="K32" s="324"/>
      <c r="L32" s="322"/>
      <c r="M32" s="324"/>
      <c r="N32" s="324"/>
      <c r="O32" s="324"/>
      <c r="P32" s="324"/>
      <c r="Q32" s="324"/>
      <c r="R32" s="324"/>
    </row>
    <row r="33" spans="7:18" s="339" customFormat="1">
      <c r="G33" s="324"/>
      <c r="H33" s="322"/>
      <c r="I33" s="322"/>
      <c r="J33" s="324"/>
      <c r="K33" s="324"/>
      <c r="L33" s="322"/>
      <c r="M33" s="324"/>
      <c r="N33" s="324"/>
      <c r="O33" s="324"/>
      <c r="P33" s="324"/>
      <c r="Q33" s="324"/>
      <c r="R33" s="324"/>
    </row>
    <row r="34" spans="7:18" s="339" customFormat="1">
      <c r="G34" s="324"/>
      <c r="H34" s="322"/>
      <c r="I34" s="322"/>
      <c r="J34" s="324"/>
      <c r="K34" s="324"/>
      <c r="L34" s="322"/>
      <c r="M34" s="324"/>
      <c r="N34" s="324"/>
      <c r="O34" s="324"/>
      <c r="P34" s="324"/>
      <c r="Q34" s="324"/>
      <c r="R34" s="324"/>
    </row>
    <row r="35" spans="7:18" s="339" customFormat="1">
      <c r="G35" s="324"/>
      <c r="H35" s="322"/>
      <c r="I35" s="322"/>
      <c r="J35" s="324"/>
      <c r="K35" s="324"/>
      <c r="L35" s="322"/>
      <c r="M35" s="324"/>
      <c r="N35" s="324"/>
      <c r="O35" s="324"/>
      <c r="P35" s="324"/>
      <c r="Q35" s="324"/>
      <c r="R35" s="324"/>
    </row>
    <row r="36" spans="7:18" s="339" customFormat="1">
      <c r="G36" s="324"/>
      <c r="H36" s="322"/>
      <c r="I36" s="322"/>
      <c r="J36" s="324"/>
      <c r="K36" s="324"/>
      <c r="L36" s="322"/>
      <c r="M36" s="324"/>
      <c r="N36" s="324"/>
      <c r="O36" s="324"/>
      <c r="P36" s="324"/>
      <c r="Q36" s="324"/>
      <c r="R36" s="324"/>
    </row>
    <row r="37" spans="7:18" s="339" customFormat="1">
      <c r="G37" s="324"/>
      <c r="H37" s="322"/>
      <c r="I37" s="322"/>
      <c r="J37" s="324"/>
      <c r="K37" s="324"/>
      <c r="L37" s="322"/>
      <c r="M37" s="324"/>
      <c r="N37" s="324"/>
      <c r="O37" s="324"/>
      <c r="P37" s="324"/>
      <c r="Q37" s="324"/>
      <c r="R37" s="324"/>
    </row>
    <row r="38" spans="7:18" s="339" customFormat="1">
      <c r="G38" s="324"/>
      <c r="H38" s="322"/>
      <c r="I38" s="322"/>
      <c r="J38" s="324"/>
      <c r="K38" s="324"/>
      <c r="L38" s="322"/>
      <c r="M38" s="324"/>
      <c r="N38" s="324"/>
      <c r="O38" s="324"/>
      <c r="P38" s="324"/>
      <c r="Q38" s="324"/>
      <c r="R38" s="324"/>
    </row>
    <row r="39" spans="7:18" s="339" customFormat="1">
      <c r="G39" s="324"/>
      <c r="H39" s="322"/>
      <c r="I39" s="322"/>
      <c r="J39" s="324"/>
      <c r="K39" s="324"/>
      <c r="L39" s="322"/>
      <c r="M39" s="324"/>
      <c r="N39" s="324"/>
      <c r="O39" s="324"/>
      <c r="P39" s="324"/>
      <c r="Q39" s="324"/>
      <c r="R39" s="324"/>
    </row>
    <row r="40" spans="7:18" s="339" customFormat="1">
      <c r="G40" s="324"/>
      <c r="H40" s="322"/>
      <c r="I40" s="322"/>
      <c r="J40" s="324"/>
      <c r="K40" s="324"/>
      <c r="L40" s="322"/>
      <c r="M40" s="324"/>
      <c r="N40" s="324"/>
      <c r="O40" s="324"/>
      <c r="P40" s="324"/>
      <c r="Q40" s="324"/>
      <c r="R40" s="324"/>
    </row>
    <row r="41" spans="7:18" s="339" customFormat="1">
      <c r="G41" s="324"/>
      <c r="H41" s="322"/>
      <c r="I41" s="322"/>
      <c r="J41" s="324"/>
      <c r="K41" s="324"/>
      <c r="L41" s="322"/>
      <c r="M41" s="324"/>
      <c r="N41" s="324"/>
      <c r="O41" s="324"/>
      <c r="P41" s="324"/>
      <c r="Q41" s="324"/>
      <c r="R41" s="324"/>
    </row>
    <row r="42" spans="7:18" s="339" customFormat="1">
      <c r="G42" s="324"/>
      <c r="H42" s="322"/>
      <c r="I42" s="322"/>
      <c r="J42" s="324"/>
      <c r="K42" s="324"/>
      <c r="L42" s="322"/>
      <c r="M42" s="324"/>
      <c r="N42" s="324"/>
      <c r="O42" s="324"/>
      <c r="P42" s="324"/>
      <c r="Q42" s="324"/>
      <c r="R42" s="324"/>
    </row>
    <row r="43" spans="7:18" s="339" customFormat="1">
      <c r="G43" s="324"/>
      <c r="H43" s="322"/>
      <c r="I43" s="322"/>
      <c r="J43" s="324"/>
      <c r="K43" s="324"/>
      <c r="L43" s="322"/>
      <c r="M43" s="324"/>
      <c r="N43" s="324"/>
      <c r="O43" s="324"/>
      <c r="P43" s="324"/>
      <c r="Q43" s="324"/>
      <c r="R43" s="324"/>
    </row>
    <row r="44" spans="7:18" s="340" customFormat="1">
      <c r="G44" s="324"/>
      <c r="H44" s="322"/>
      <c r="I44" s="322"/>
      <c r="J44" s="324"/>
      <c r="K44" s="324"/>
      <c r="L44" s="322"/>
      <c r="M44" s="324"/>
      <c r="N44" s="324"/>
      <c r="O44" s="324"/>
      <c r="P44" s="324"/>
      <c r="Q44" s="324"/>
      <c r="R44" s="324"/>
    </row>
    <row r="45" spans="7:18" s="340" customFormat="1">
      <c r="G45" s="324"/>
      <c r="H45" s="322"/>
      <c r="I45" s="322"/>
      <c r="J45" s="324"/>
      <c r="K45" s="324"/>
      <c r="L45" s="322"/>
      <c r="M45" s="324"/>
      <c r="N45" s="324"/>
      <c r="O45" s="324"/>
      <c r="P45" s="324"/>
      <c r="Q45" s="324"/>
      <c r="R45" s="324"/>
    </row>
    <row r="46" spans="7:18" s="340" customFormat="1">
      <c r="G46" s="324"/>
      <c r="H46" s="322"/>
      <c r="I46" s="322"/>
      <c r="J46" s="324"/>
      <c r="K46" s="324"/>
      <c r="L46" s="322"/>
      <c r="M46" s="324"/>
      <c r="N46" s="324"/>
      <c r="O46" s="324"/>
      <c r="P46" s="324"/>
      <c r="Q46" s="324"/>
      <c r="R46" s="324"/>
    </row>
    <row r="47" spans="7:18" s="340" customFormat="1">
      <c r="G47" s="324"/>
      <c r="H47" s="322"/>
      <c r="I47" s="322"/>
      <c r="J47" s="324"/>
      <c r="K47" s="324"/>
      <c r="L47" s="322"/>
      <c r="M47" s="324"/>
      <c r="N47" s="324"/>
      <c r="O47" s="324"/>
      <c r="P47" s="324"/>
      <c r="Q47" s="324"/>
      <c r="R47" s="324"/>
    </row>
    <row r="48" spans="7:18" s="340" customFormat="1">
      <c r="G48" s="324"/>
      <c r="H48" s="322"/>
      <c r="I48" s="322"/>
      <c r="J48" s="324"/>
      <c r="K48" s="324"/>
      <c r="L48" s="322"/>
      <c r="M48" s="324"/>
      <c r="N48" s="324"/>
      <c r="O48" s="324"/>
      <c r="P48" s="324"/>
      <c r="Q48" s="324"/>
      <c r="R48" s="324"/>
    </row>
    <row r="49" spans="7:18" s="340" customFormat="1">
      <c r="G49" s="324"/>
      <c r="H49" s="322"/>
      <c r="I49" s="322"/>
      <c r="J49" s="324"/>
      <c r="K49" s="324"/>
      <c r="L49" s="322"/>
      <c r="M49" s="324"/>
      <c r="N49" s="324"/>
      <c r="O49" s="324"/>
      <c r="P49" s="324"/>
      <c r="Q49" s="324"/>
      <c r="R49" s="324"/>
    </row>
    <row r="50" spans="7:18" s="340" customFormat="1">
      <c r="G50" s="324"/>
      <c r="H50" s="322"/>
      <c r="I50" s="322"/>
      <c r="J50" s="324"/>
      <c r="K50" s="324"/>
      <c r="L50" s="322"/>
      <c r="M50" s="324"/>
      <c r="N50" s="324"/>
      <c r="O50" s="324"/>
      <c r="P50" s="324"/>
      <c r="Q50" s="324"/>
      <c r="R50" s="324"/>
    </row>
    <row r="51" spans="7:18" s="340" customFormat="1">
      <c r="G51" s="324"/>
      <c r="H51" s="322"/>
      <c r="I51" s="322"/>
      <c r="J51" s="324"/>
      <c r="K51" s="324"/>
      <c r="L51" s="322"/>
      <c r="M51" s="324"/>
      <c r="N51" s="324"/>
      <c r="O51" s="324"/>
      <c r="P51" s="324"/>
      <c r="Q51" s="324"/>
      <c r="R51" s="324"/>
    </row>
    <row r="52" spans="7:18" s="340" customFormat="1">
      <c r="G52" s="324"/>
      <c r="H52" s="322"/>
      <c r="I52" s="322"/>
      <c r="J52" s="324"/>
      <c r="K52" s="324"/>
      <c r="L52" s="322"/>
      <c r="M52" s="324"/>
      <c r="N52" s="324"/>
      <c r="O52" s="324"/>
      <c r="P52" s="324"/>
      <c r="Q52" s="324"/>
      <c r="R52" s="324"/>
    </row>
    <row r="53" spans="7:18" s="340" customFormat="1">
      <c r="G53" s="324"/>
      <c r="H53" s="322"/>
      <c r="I53" s="322"/>
      <c r="J53" s="324"/>
      <c r="K53" s="324"/>
      <c r="L53" s="322"/>
      <c r="M53" s="324"/>
      <c r="N53" s="324"/>
      <c r="O53" s="324"/>
      <c r="P53" s="324"/>
      <c r="Q53" s="324"/>
      <c r="R53" s="324"/>
    </row>
    <row r="54" spans="7:18" s="340" customFormat="1">
      <c r="G54" s="324"/>
      <c r="H54" s="322"/>
      <c r="I54" s="322"/>
      <c r="J54" s="324"/>
      <c r="K54" s="324"/>
      <c r="L54" s="322"/>
      <c r="M54" s="324"/>
      <c r="N54" s="324"/>
      <c r="O54" s="324"/>
      <c r="P54" s="324"/>
      <c r="Q54" s="324"/>
      <c r="R54" s="324"/>
    </row>
    <row r="55" spans="7:18" s="340" customFormat="1">
      <c r="G55" s="324"/>
      <c r="H55" s="322"/>
      <c r="I55" s="322"/>
      <c r="J55" s="324"/>
      <c r="K55" s="324"/>
      <c r="L55" s="322"/>
      <c r="M55" s="324"/>
      <c r="N55" s="324"/>
      <c r="O55" s="324"/>
      <c r="P55" s="324"/>
      <c r="Q55" s="324"/>
      <c r="R55" s="324"/>
    </row>
    <row r="56" spans="7:18" s="340" customFormat="1">
      <c r="G56" s="324"/>
      <c r="H56" s="322"/>
      <c r="I56" s="322"/>
      <c r="J56" s="324"/>
      <c r="K56" s="324"/>
      <c r="L56" s="322"/>
      <c r="M56" s="324"/>
      <c r="N56" s="324"/>
      <c r="O56" s="324"/>
      <c r="P56" s="324"/>
      <c r="Q56" s="324"/>
      <c r="R56" s="324"/>
    </row>
    <row r="57" spans="7:18" s="340" customFormat="1">
      <c r="G57" s="324"/>
      <c r="H57" s="322"/>
      <c r="I57" s="322"/>
      <c r="J57" s="324"/>
      <c r="K57" s="324"/>
      <c r="L57" s="322"/>
      <c r="M57" s="324"/>
      <c r="N57" s="324"/>
      <c r="O57" s="324"/>
      <c r="P57" s="324"/>
      <c r="Q57" s="324"/>
      <c r="R57" s="324"/>
    </row>
    <row r="58" spans="7:18" s="340" customFormat="1">
      <c r="G58" s="324"/>
      <c r="H58" s="322"/>
      <c r="I58" s="322"/>
      <c r="J58" s="324"/>
      <c r="K58" s="324"/>
      <c r="L58" s="322"/>
      <c r="M58" s="324"/>
      <c r="N58" s="324"/>
      <c r="O58" s="324"/>
      <c r="P58" s="324"/>
      <c r="Q58" s="324"/>
      <c r="R58" s="324"/>
    </row>
    <row r="59" spans="7:18" s="340" customFormat="1">
      <c r="G59" s="324"/>
      <c r="H59" s="322"/>
      <c r="I59" s="322"/>
      <c r="J59" s="324"/>
      <c r="K59" s="324"/>
      <c r="L59" s="322"/>
      <c r="M59" s="324"/>
      <c r="N59" s="324"/>
      <c r="O59" s="324"/>
      <c r="P59" s="324"/>
      <c r="Q59" s="324"/>
      <c r="R59" s="324"/>
    </row>
    <row r="60" spans="7:18" s="340" customFormat="1">
      <c r="G60" s="324"/>
      <c r="H60" s="322"/>
      <c r="I60" s="322"/>
      <c r="J60" s="324"/>
      <c r="K60" s="324"/>
      <c r="L60" s="322"/>
      <c r="M60" s="324"/>
      <c r="N60" s="324"/>
      <c r="O60" s="324"/>
      <c r="P60" s="324"/>
      <c r="Q60" s="324"/>
      <c r="R60" s="324"/>
    </row>
    <row r="61" spans="7:18" s="340" customFormat="1">
      <c r="G61" s="324"/>
      <c r="H61" s="322"/>
      <c r="I61" s="322"/>
      <c r="J61" s="324"/>
      <c r="K61" s="324"/>
      <c r="L61" s="322"/>
      <c r="M61" s="324"/>
      <c r="N61" s="324"/>
      <c r="O61" s="324"/>
      <c r="P61" s="324"/>
      <c r="Q61" s="324"/>
      <c r="R61" s="324"/>
    </row>
    <row r="62" spans="7:18" s="340" customFormat="1">
      <c r="G62" s="324"/>
      <c r="H62" s="322"/>
      <c r="I62" s="322"/>
      <c r="J62" s="324"/>
      <c r="K62" s="324"/>
      <c r="L62" s="322"/>
      <c r="M62" s="324"/>
      <c r="N62" s="324"/>
      <c r="O62" s="324"/>
      <c r="P62" s="324"/>
      <c r="Q62" s="324"/>
      <c r="R62" s="324"/>
    </row>
    <row r="63" spans="7:18" s="340" customFormat="1">
      <c r="G63" s="324"/>
      <c r="H63" s="322"/>
      <c r="I63" s="322"/>
      <c r="J63" s="324"/>
      <c r="K63" s="324"/>
      <c r="L63" s="322"/>
      <c r="M63" s="324"/>
      <c r="N63" s="324"/>
      <c r="O63" s="324"/>
      <c r="P63" s="324"/>
      <c r="Q63" s="324"/>
      <c r="R63" s="324"/>
    </row>
    <row r="64" spans="7:18" s="340" customFormat="1">
      <c r="G64" s="324"/>
      <c r="H64" s="322"/>
      <c r="I64" s="322"/>
      <c r="J64" s="324"/>
      <c r="K64" s="324"/>
      <c r="L64" s="322"/>
      <c r="M64" s="324"/>
      <c r="N64" s="324"/>
      <c r="O64" s="324"/>
      <c r="P64" s="324"/>
      <c r="Q64" s="324"/>
      <c r="R64" s="324"/>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B682B9"/>
  </sheetPr>
  <dimension ref="A1:I24"/>
  <sheetViews>
    <sheetView topLeftCell="A21" zoomScale="85" zoomScaleNormal="85" workbookViewId="0">
      <selection activeCell="I11" sqref="I11:J14"/>
    </sheetView>
  </sheetViews>
  <sheetFormatPr defaultColWidth="8.81640625" defaultRowHeight="13"/>
  <cols>
    <col min="1" max="1" width="10.1796875" style="329" customWidth="1"/>
    <col min="2" max="2" width="88.81640625" style="329" customWidth="1"/>
    <col min="3" max="4" width="21.453125" style="329" customWidth="1"/>
    <col min="5" max="5" width="54.54296875" style="329" customWidth="1"/>
    <col min="6" max="6" width="47.81640625" style="329" customWidth="1"/>
    <col min="7" max="7" width="21.453125" style="324" customWidth="1"/>
    <col min="8" max="9" width="8.81640625" style="324"/>
    <col min="10" max="16384" width="8.81640625" style="329"/>
  </cols>
  <sheetData>
    <row r="1" spans="1:9" s="322" customFormat="1" ht="26">
      <c r="A1" s="321" t="s">
        <v>250</v>
      </c>
      <c r="C1" s="323"/>
      <c r="G1" s="324"/>
      <c r="H1" s="324"/>
      <c r="I1" s="324"/>
    </row>
    <row r="2" spans="1:9" s="322" customFormat="1" ht="26">
      <c r="A2" s="321" t="s">
        <v>1841</v>
      </c>
      <c r="C2" s="323"/>
      <c r="G2" s="324"/>
      <c r="H2" s="324"/>
      <c r="I2" s="324"/>
    </row>
    <row r="3" spans="1:9" s="322" customFormat="1" ht="52">
      <c r="A3" s="325" t="s">
        <v>456</v>
      </c>
      <c r="B3" s="325" t="s">
        <v>251</v>
      </c>
      <c r="G3" s="324"/>
      <c r="H3" s="324"/>
      <c r="I3" s="324"/>
    </row>
    <row r="4" spans="1:9" s="322" customFormat="1" ht="26">
      <c r="A4" s="325" t="s">
        <v>1724</v>
      </c>
      <c r="B4" s="325" t="s">
        <v>1842</v>
      </c>
      <c r="G4" s="324"/>
      <c r="H4" s="324"/>
      <c r="I4" s="324"/>
    </row>
    <row r="5" spans="1:9" s="322" customFormat="1">
      <c r="A5" s="322" t="s">
        <v>457</v>
      </c>
      <c r="B5" s="322" t="s">
        <v>423</v>
      </c>
      <c r="G5" s="324"/>
      <c r="H5" s="324"/>
      <c r="I5" s="324"/>
    </row>
    <row r="6" spans="1:9" s="322" customFormat="1">
      <c r="A6" s="322" t="s">
        <v>1726</v>
      </c>
      <c r="B6" s="322" t="s">
        <v>1843</v>
      </c>
      <c r="G6" s="324"/>
      <c r="H6" s="324"/>
      <c r="I6" s="324"/>
    </row>
    <row r="8" spans="1:9" s="93" customFormat="1">
      <c r="A8" s="350"/>
      <c r="B8" s="350"/>
      <c r="C8" s="350" t="s">
        <v>96</v>
      </c>
      <c r="D8" s="350" t="s">
        <v>562</v>
      </c>
      <c r="E8" s="350" t="s">
        <v>85</v>
      </c>
      <c r="F8" s="350" t="s">
        <v>1664</v>
      </c>
      <c r="G8" s="350" t="s">
        <v>1692</v>
      </c>
      <c r="H8" s="322"/>
      <c r="I8" s="322"/>
    </row>
    <row r="9" spans="1:9" s="325" customFormat="1">
      <c r="A9" s="330" t="s">
        <v>47</v>
      </c>
      <c r="B9" s="330"/>
      <c r="C9" s="331"/>
      <c r="D9" s="331"/>
      <c r="E9" s="331"/>
      <c r="F9" s="331"/>
      <c r="G9" s="331"/>
    </row>
    <row r="10" spans="1:9" s="325" customFormat="1" ht="39">
      <c r="A10" s="3" t="s">
        <v>252</v>
      </c>
      <c r="B10" s="3" t="s">
        <v>1844</v>
      </c>
      <c r="C10" s="336" t="s">
        <v>488</v>
      </c>
      <c r="D10" s="336" t="s">
        <v>487</v>
      </c>
      <c r="E10" s="336" t="s">
        <v>1610</v>
      </c>
      <c r="F10" s="3"/>
      <c r="G10" s="3"/>
    </row>
    <row r="11" spans="1:9" s="148" customFormat="1" ht="39">
      <c r="A11" s="3" t="s">
        <v>253</v>
      </c>
      <c r="B11" s="3" t="s">
        <v>1845</v>
      </c>
      <c r="C11" s="3"/>
      <c r="D11" s="336" t="s">
        <v>489</v>
      </c>
      <c r="E11" s="336" t="s">
        <v>1611</v>
      </c>
      <c r="F11" s="361"/>
      <c r="G11" s="3"/>
      <c r="H11" s="325"/>
      <c r="I11" s="325"/>
    </row>
    <row r="12" spans="1:9" s="148" customFormat="1" ht="65">
      <c r="A12" s="3" t="s">
        <v>254</v>
      </c>
      <c r="B12" s="3" t="s">
        <v>1846</v>
      </c>
      <c r="C12" s="3"/>
      <c r="D12" s="336" t="s">
        <v>490</v>
      </c>
      <c r="E12" s="336" t="s">
        <v>2074</v>
      </c>
      <c r="F12" s="361"/>
      <c r="G12" s="3"/>
      <c r="H12" s="325"/>
      <c r="I12" s="325"/>
    </row>
    <row r="13" spans="1:9" s="93" customFormat="1">
      <c r="A13" s="330" t="s">
        <v>54</v>
      </c>
      <c r="B13" s="330"/>
      <c r="C13" s="331"/>
      <c r="D13" s="331"/>
      <c r="E13" s="331" t="s">
        <v>1833</v>
      </c>
      <c r="F13" s="331"/>
      <c r="G13" s="331"/>
      <c r="H13" s="325"/>
      <c r="I13" s="325"/>
    </row>
    <row r="14" spans="1:9" s="325" customFormat="1" ht="52">
      <c r="A14" s="3" t="s">
        <v>255</v>
      </c>
      <c r="B14" s="3" t="s">
        <v>1847</v>
      </c>
      <c r="C14" s="336" t="s">
        <v>492</v>
      </c>
      <c r="D14" s="336" t="s">
        <v>491</v>
      </c>
      <c r="E14" s="336" t="s">
        <v>1848</v>
      </c>
      <c r="F14" s="361"/>
      <c r="G14" s="3"/>
    </row>
    <row r="15" spans="1:9" s="148" customFormat="1" ht="65">
      <c r="A15" s="3" t="s">
        <v>256</v>
      </c>
      <c r="B15" s="3" t="s">
        <v>1849</v>
      </c>
      <c r="C15" s="336" t="s">
        <v>1850</v>
      </c>
      <c r="D15" s="336" t="s">
        <v>493</v>
      </c>
      <c r="E15" s="336" t="s">
        <v>1612</v>
      </c>
      <c r="F15" s="3"/>
      <c r="G15" s="3"/>
      <c r="H15" s="325"/>
      <c r="I15" s="325"/>
    </row>
    <row r="16" spans="1:9" s="148" customFormat="1">
      <c r="A16" s="330" t="s">
        <v>56</v>
      </c>
      <c r="B16" s="330"/>
      <c r="C16" s="331"/>
      <c r="D16" s="331"/>
      <c r="E16" s="331" t="s">
        <v>1833</v>
      </c>
      <c r="F16" s="331"/>
      <c r="G16" s="331"/>
      <c r="H16" s="325"/>
      <c r="I16" s="325"/>
    </row>
    <row r="17" spans="1:9" s="93" customFormat="1" ht="65">
      <c r="A17" s="3" t="s">
        <v>257</v>
      </c>
      <c r="B17" s="3" t="s">
        <v>1851</v>
      </c>
      <c r="C17" s="336" t="s">
        <v>1852</v>
      </c>
      <c r="D17" s="336" t="s">
        <v>494</v>
      </c>
      <c r="E17" s="336" t="s">
        <v>1613</v>
      </c>
      <c r="F17" s="361"/>
      <c r="G17" s="3"/>
      <c r="H17" s="325"/>
      <c r="I17" s="325"/>
    </row>
    <row r="18" spans="1:9" s="325" customFormat="1" ht="52">
      <c r="A18" s="3" t="s">
        <v>258</v>
      </c>
      <c r="B18" s="3" t="s">
        <v>1853</v>
      </c>
      <c r="C18" s="336" t="s">
        <v>496</v>
      </c>
      <c r="D18" s="336" t="s">
        <v>495</v>
      </c>
      <c r="E18" s="336" t="s">
        <v>1614</v>
      </c>
      <c r="F18" s="3"/>
      <c r="G18" s="3"/>
    </row>
    <row r="19" spans="1:9" s="148" customFormat="1" ht="65">
      <c r="A19" s="3" t="s">
        <v>259</v>
      </c>
      <c r="B19" s="3" t="s">
        <v>1854</v>
      </c>
      <c r="C19" s="3"/>
      <c r="D19" s="336" t="s">
        <v>497</v>
      </c>
      <c r="E19" s="336" t="s">
        <v>1615</v>
      </c>
      <c r="F19" s="3"/>
      <c r="G19" s="3"/>
      <c r="H19" s="325"/>
      <c r="I19" s="325"/>
    </row>
    <row r="20" spans="1:9" s="148" customFormat="1" ht="65">
      <c r="A20" s="3" t="s">
        <v>260</v>
      </c>
      <c r="B20" s="3" t="s">
        <v>1855</v>
      </c>
      <c r="C20" s="336" t="s">
        <v>1856</v>
      </c>
      <c r="D20" s="336" t="s">
        <v>1857</v>
      </c>
      <c r="E20" s="336" t="s">
        <v>1616</v>
      </c>
      <c r="F20" s="3"/>
      <c r="G20" s="3"/>
      <c r="H20" s="325"/>
      <c r="I20" s="325"/>
    </row>
    <row r="21" spans="1:9" s="93" customFormat="1" ht="52">
      <c r="A21" s="3" t="s">
        <v>261</v>
      </c>
      <c r="B21" s="3" t="s">
        <v>1858</v>
      </c>
      <c r="C21" s="336" t="s">
        <v>499</v>
      </c>
      <c r="D21" s="336" t="s">
        <v>498</v>
      </c>
      <c r="E21" s="336" t="s">
        <v>2075</v>
      </c>
      <c r="F21" s="3"/>
      <c r="G21" s="3"/>
      <c r="H21" s="325"/>
      <c r="I21" s="325"/>
    </row>
    <row r="22" spans="1:9" s="93" customFormat="1" ht="52">
      <c r="A22" s="3" t="s">
        <v>262</v>
      </c>
      <c r="B22" s="3" t="s">
        <v>1859</v>
      </c>
      <c r="C22" s="3"/>
      <c r="D22" s="336" t="s">
        <v>500</v>
      </c>
      <c r="E22" s="336" t="s">
        <v>1617</v>
      </c>
      <c r="F22" s="3"/>
      <c r="G22" s="3"/>
      <c r="H22" s="325"/>
      <c r="I22" s="325"/>
    </row>
    <row r="23" spans="1:9" s="148" customFormat="1">
      <c r="A23" s="330" t="s">
        <v>57</v>
      </c>
      <c r="B23" s="330"/>
      <c r="C23" s="331"/>
      <c r="D23" s="331"/>
      <c r="E23" s="331" t="s">
        <v>1833</v>
      </c>
      <c r="F23" s="331"/>
      <c r="G23" s="331"/>
      <c r="H23" s="325"/>
      <c r="I23" s="325"/>
    </row>
    <row r="24" spans="1:9" s="93" customFormat="1" ht="156">
      <c r="A24" s="3" t="s">
        <v>263</v>
      </c>
      <c r="B24" s="3" t="s">
        <v>501</v>
      </c>
      <c r="C24" s="336" t="s">
        <v>1860</v>
      </c>
      <c r="D24" s="336" t="s">
        <v>502</v>
      </c>
      <c r="E24" s="336" t="s">
        <v>1618</v>
      </c>
      <c r="F24" s="3"/>
      <c r="G24" s="3"/>
      <c r="H24" s="325"/>
      <c r="I24" s="325"/>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70BF65"/>
  </sheetPr>
  <dimension ref="A1:I55"/>
  <sheetViews>
    <sheetView tabSelected="1" topLeftCell="D16" workbookViewId="0">
      <selection activeCell="I11" sqref="I11:J14"/>
    </sheetView>
  </sheetViews>
  <sheetFormatPr defaultColWidth="8.81640625" defaultRowHeight="13"/>
  <cols>
    <col min="1" max="1" width="10.1796875" style="329" customWidth="1"/>
    <col min="2" max="2" width="88.81640625" style="329" customWidth="1"/>
    <col min="3" max="4" width="21.453125" style="329" customWidth="1"/>
    <col min="5" max="5" width="57.1796875" style="362" customWidth="1"/>
    <col min="6" max="6" width="80.453125" style="329" customWidth="1"/>
    <col min="7" max="7" width="21.453125" style="324" customWidth="1"/>
    <col min="8" max="9" width="8.81640625" style="324"/>
    <col min="10" max="16384" width="8.81640625" style="329"/>
  </cols>
  <sheetData>
    <row r="1" spans="1:9" s="346" customFormat="1" ht="26">
      <c r="A1" s="321" t="s">
        <v>280</v>
      </c>
      <c r="B1" s="322"/>
      <c r="C1" s="323"/>
      <c r="D1" s="322"/>
      <c r="E1" s="325"/>
      <c r="F1" s="322"/>
      <c r="G1" s="324"/>
      <c r="H1" s="324"/>
      <c r="I1" s="324"/>
    </row>
    <row r="2" spans="1:9" s="139" customFormat="1" ht="26">
      <c r="A2" s="321" t="s">
        <v>1861</v>
      </c>
      <c r="B2" s="322"/>
      <c r="C2" s="323"/>
      <c r="D2" s="322"/>
      <c r="E2" s="325"/>
      <c r="F2" s="322"/>
      <c r="G2" s="324"/>
      <c r="H2" s="324"/>
      <c r="I2" s="324"/>
    </row>
    <row r="3" spans="1:9" s="139" customFormat="1">
      <c r="A3" s="325" t="s">
        <v>456</v>
      </c>
      <c r="B3" s="322" t="s">
        <v>281</v>
      </c>
      <c r="C3" s="322"/>
      <c r="D3" s="322"/>
      <c r="E3" s="325"/>
      <c r="F3" s="322"/>
      <c r="G3" s="324"/>
      <c r="H3" s="324"/>
      <c r="I3" s="324"/>
    </row>
    <row r="4" spans="1:9" s="137" customFormat="1">
      <c r="A4" s="325" t="s">
        <v>1724</v>
      </c>
      <c r="B4" s="322" t="s">
        <v>1862</v>
      </c>
      <c r="C4" s="322"/>
      <c r="D4" s="322"/>
      <c r="E4" s="325"/>
      <c r="F4" s="322"/>
      <c r="G4" s="324"/>
      <c r="H4" s="324"/>
      <c r="I4" s="324"/>
    </row>
    <row r="5" spans="1:9" s="346" customFormat="1">
      <c r="A5" s="322" t="s">
        <v>457</v>
      </c>
      <c r="B5" s="322" t="s">
        <v>282</v>
      </c>
      <c r="C5" s="322"/>
      <c r="D5" s="322"/>
      <c r="E5" s="325"/>
      <c r="F5" s="322"/>
      <c r="G5" s="324"/>
      <c r="H5" s="324"/>
      <c r="I5" s="324"/>
    </row>
    <row r="6" spans="1:9" s="346" customFormat="1">
      <c r="A6" s="322" t="s">
        <v>1726</v>
      </c>
      <c r="B6" s="322" t="s">
        <v>1863</v>
      </c>
      <c r="C6" s="322"/>
      <c r="D6" s="322"/>
      <c r="E6" s="325"/>
      <c r="F6" s="322"/>
      <c r="G6" s="324"/>
      <c r="H6" s="324"/>
      <c r="I6" s="324"/>
    </row>
    <row r="7" spans="1:9" s="139" customFormat="1">
      <c r="A7" s="329"/>
      <c r="B7" s="329"/>
      <c r="C7" s="329"/>
      <c r="D7" s="329"/>
      <c r="E7" s="362"/>
      <c r="F7" s="329"/>
      <c r="G7" s="324"/>
      <c r="H7" s="324"/>
      <c r="I7" s="324"/>
    </row>
    <row r="8" spans="1:9" s="139" customFormat="1">
      <c r="A8" s="350"/>
      <c r="B8" s="350"/>
      <c r="C8" s="350" t="s">
        <v>96</v>
      </c>
      <c r="D8" s="350" t="s">
        <v>562</v>
      </c>
      <c r="E8" s="363" t="s">
        <v>85</v>
      </c>
      <c r="F8" s="350" t="s">
        <v>1664</v>
      </c>
      <c r="G8" s="350" t="s">
        <v>1692</v>
      </c>
      <c r="H8" s="322"/>
      <c r="I8" s="322"/>
    </row>
    <row r="9" spans="1:9" s="137" customFormat="1">
      <c r="A9" s="342" t="s">
        <v>47</v>
      </c>
      <c r="B9" s="342"/>
      <c r="C9" s="343"/>
      <c r="D9" s="343"/>
      <c r="E9" s="343"/>
      <c r="F9" s="343"/>
      <c r="G9" s="344"/>
      <c r="H9" s="345"/>
      <c r="I9" s="345"/>
    </row>
    <row r="10" spans="1:9" s="346" customFormat="1" ht="26">
      <c r="A10" s="22" t="s">
        <v>283</v>
      </c>
      <c r="B10" s="22" t="s">
        <v>1864</v>
      </c>
      <c r="C10" s="22"/>
      <c r="D10" s="22"/>
      <c r="E10" s="347" t="s">
        <v>284</v>
      </c>
      <c r="F10" s="347"/>
      <c r="G10" s="348"/>
      <c r="H10" s="345"/>
      <c r="I10" s="345"/>
    </row>
    <row r="11" spans="1:9" s="139" customFormat="1">
      <c r="A11" s="342" t="s">
        <v>54</v>
      </c>
      <c r="B11" s="342"/>
      <c r="C11" s="343"/>
      <c r="D11" s="343"/>
      <c r="E11" s="343"/>
      <c r="F11" s="343"/>
      <c r="G11" s="344"/>
      <c r="H11" s="345"/>
      <c r="I11" s="345"/>
    </row>
    <row r="12" spans="1:9" s="139" customFormat="1" ht="26">
      <c r="A12" s="22" t="s">
        <v>285</v>
      </c>
      <c r="B12" s="22" t="s">
        <v>1865</v>
      </c>
      <c r="C12" s="22"/>
      <c r="D12" s="22"/>
      <c r="E12" s="347" t="s">
        <v>1622</v>
      </c>
      <c r="F12" s="347"/>
      <c r="G12" s="348"/>
      <c r="H12" s="345"/>
      <c r="I12" s="345"/>
    </row>
    <row r="13" spans="1:9" s="137" customFormat="1" ht="26">
      <c r="A13" s="22" t="s">
        <v>286</v>
      </c>
      <c r="B13" s="22" t="s">
        <v>1866</v>
      </c>
      <c r="C13" s="22"/>
      <c r="D13" s="22"/>
      <c r="E13" s="347" t="s">
        <v>1623</v>
      </c>
      <c r="F13" s="347"/>
      <c r="G13" s="348"/>
      <c r="H13" s="345"/>
      <c r="I13" s="345"/>
    </row>
    <row r="14" spans="1:9" s="346" customFormat="1">
      <c r="A14" s="342" t="s">
        <v>56</v>
      </c>
      <c r="B14" s="342"/>
      <c r="C14" s="343"/>
      <c r="D14" s="343"/>
      <c r="E14" s="343" t="s">
        <v>1833</v>
      </c>
      <c r="F14" s="343"/>
      <c r="G14" s="344"/>
      <c r="H14" s="345"/>
      <c r="I14" s="345"/>
    </row>
    <row r="15" spans="1:9" s="139" customFormat="1" ht="26">
      <c r="A15" s="22" t="s">
        <v>287</v>
      </c>
      <c r="B15" s="22" t="s">
        <v>1867</v>
      </c>
      <c r="C15" s="22"/>
      <c r="D15" s="22"/>
      <c r="E15" s="347" t="s">
        <v>1868</v>
      </c>
      <c r="F15" s="347"/>
      <c r="G15" s="348"/>
      <c r="H15" s="345"/>
      <c r="I15" s="345"/>
    </row>
    <row r="16" spans="1:9" s="137" customFormat="1" ht="52">
      <c r="A16" s="22" t="s">
        <v>288</v>
      </c>
      <c r="B16" s="22" t="s">
        <v>1869</v>
      </c>
      <c r="C16" s="22"/>
      <c r="D16" s="22"/>
      <c r="E16" s="347" t="s">
        <v>2076</v>
      </c>
      <c r="F16" s="347"/>
      <c r="G16" s="348"/>
      <c r="H16" s="345"/>
      <c r="I16" s="345"/>
    </row>
    <row r="17" spans="1:9" s="346" customFormat="1" ht="26">
      <c r="A17" s="22" t="s">
        <v>289</v>
      </c>
      <c r="B17" s="22" t="s">
        <v>1870</v>
      </c>
      <c r="C17" s="22"/>
      <c r="D17" s="22"/>
      <c r="E17" s="347" t="s">
        <v>1624</v>
      </c>
      <c r="F17" s="347"/>
      <c r="G17" s="348"/>
      <c r="H17" s="345"/>
      <c r="I17" s="345"/>
    </row>
    <row r="18" spans="1:9" s="139" customFormat="1" ht="52">
      <c r="A18" s="22" t="s">
        <v>290</v>
      </c>
      <c r="B18" s="22" t="s">
        <v>291</v>
      </c>
      <c r="C18" s="22"/>
      <c r="D18" s="347" t="s">
        <v>1871</v>
      </c>
      <c r="E18" s="347" t="s">
        <v>2077</v>
      </c>
      <c r="F18" s="347"/>
      <c r="G18" s="348"/>
      <c r="H18" s="345"/>
      <c r="I18" s="345"/>
    </row>
    <row r="19" spans="1:9" s="139" customFormat="1" ht="39">
      <c r="A19" s="22" t="s">
        <v>292</v>
      </c>
      <c r="B19" s="22" t="s">
        <v>1872</v>
      </c>
      <c r="C19" s="22"/>
      <c r="D19" s="22"/>
      <c r="E19" s="347" t="s">
        <v>2078</v>
      </c>
      <c r="F19" s="347"/>
      <c r="G19" s="348"/>
      <c r="H19" s="345"/>
      <c r="I19" s="345"/>
    </row>
    <row r="20" spans="1:9" s="137" customFormat="1" ht="26">
      <c r="A20" s="22" t="s">
        <v>293</v>
      </c>
      <c r="B20" s="22" t="s">
        <v>1873</v>
      </c>
      <c r="C20" s="22"/>
      <c r="D20" s="22"/>
      <c r="E20" s="347" t="s">
        <v>1625</v>
      </c>
      <c r="F20" s="347"/>
      <c r="G20" s="348"/>
      <c r="H20" s="345"/>
      <c r="I20" s="345"/>
    </row>
    <row r="21" spans="1:9" s="339" customFormat="1">
      <c r="E21" s="346"/>
      <c r="G21" s="324"/>
      <c r="H21" s="324"/>
      <c r="I21" s="324"/>
    </row>
    <row r="22" spans="1:9" s="339" customFormat="1">
      <c r="E22" s="346"/>
      <c r="G22" s="324"/>
      <c r="H22" s="324"/>
      <c r="I22" s="324"/>
    </row>
    <row r="23" spans="1:9" s="339" customFormat="1">
      <c r="E23" s="346"/>
      <c r="G23" s="324"/>
      <c r="H23" s="324"/>
      <c r="I23" s="324"/>
    </row>
    <row r="24" spans="1:9" s="339" customFormat="1">
      <c r="E24" s="346"/>
      <c r="G24" s="324"/>
      <c r="H24" s="324"/>
      <c r="I24" s="324"/>
    </row>
    <row r="25" spans="1:9" s="339" customFormat="1">
      <c r="E25" s="346"/>
      <c r="G25" s="324"/>
      <c r="H25" s="324"/>
      <c r="I25" s="324"/>
    </row>
    <row r="26" spans="1:9" s="339" customFormat="1">
      <c r="E26" s="346"/>
      <c r="G26" s="324"/>
      <c r="H26" s="324"/>
      <c r="I26" s="324"/>
    </row>
    <row r="27" spans="1:9" s="339" customFormat="1">
      <c r="E27" s="346"/>
      <c r="G27" s="324"/>
      <c r="H27" s="324"/>
      <c r="I27" s="324"/>
    </row>
    <row r="28" spans="1:9" s="339" customFormat="1">
      <c r="E28" s="346"/>
      <c r="G28" s="324"/>
      <c r="H28" s="324"/>
      <c r="I28" s="324"/>
    </row>
    <row r="29" spans="1:9" s="339" customFormat="1">
      <c r="E29" s="346"/>
      <c r="G29" s="324"/>
      <c r="H29" s="324"/>
      <c r="I29" s="324"/>
    </row>
    <row r="30" spans="1:9" s="339" customFormat="1">
      <c r="E30" s="346"/>
      <c r="G30" s="324"/>
      <c r="H30" s="324"/>
      <c r="I30" s="324"/>
    </row>
    <row r="31" spans="1:9" s="339" customFormat="1">
      <c r="E31" s="346"/>
      <c r="G31" s="324"/>
      <c r="H31" s="324"/>
      <c r="I31" s="324"/>
    </row>
    <row r="32" spans="1:9" s="339" customFormat="1">
      <c r="E32" s="346"/>
      <c r="G32" s="324"/>
      <c r="H32" s="324"/>
      <c r="I32" s="324"/>
    </row>
    <row r="33" spans="5:9" s="339" customFormat="1">
      <c r="E33" s="346"/>
      <c r="G33" s="324"/>
      <c r="H33" s="324"/>
      <c r="I33" s="324"/>
    </row>
    <row r="34" spans="5:9" s="339" customFormat="1">
      <c r="E34" s="346"/>
      <c r="G34" s="324"/>
      <c r="H34" s="324"/>
      <c r="I34" s="324"/>
    </row>
    <row r="35" spans="5:9" s="340" customFormat="1">
      <c r="E35" s="364"/>
      <c r="G35" s="324"/>
      <c r="H35" s="324"/>
      <c r="I35" s="324"/>
    </row>
    <row r="36" spans="5:9" s="340" customFormat="1">
      <c r="E36" s="364"/>
      <c r="G36" s="324"/>
      <c r="H36" s="324"/>
      <c r="I36" s="324"/>
    </row>
    <row r="37" spans="5:9" s="340" customFormat="1">
      <c r="E37" s="364"/>
      <c r="G37" s="324"/>
      <c r="H37" s="324"/>
      <c r="I37" s="324"/>
    </row>
    <row r="38" spans="5:9" s="340" customFormat="1">
      <c r="E38" s="364"/>
      <c r="G38" s="324"/>
      <c r="H38" s="324"/>
      <c r="I38" s="324"/>
    </row>
    <row r="39" spans="5:9" s="340" customFormat="1">
      <c r="E39" s="364"/>
      <c r="G39" s="324"/>
      <c r="H39" s="324"/>
      <c r="I39" s="324"/>
    </row>
    <row r="40" spans="5:9" s="340" customFormat="1">
      <c r="E40" s="364"/>
      <c r="G40" s="324"/>
      <c r="H40" s="324"/>
      <c r="I40" s="324"/>
    </row>
    <row r="41" spans="5:9" s="340" customFormat="1">
      <c r="E41" s="364"/>
      <c r="G41" s="324"/>
      <c r="H41" s="324"/>
      <c r="I41" s="324"/>
    </row>
    <row r="42" spans="5:9" s="340" customFormat="1">
      <c r="E42" s="364"/>
      <c r="G42" s="324"/>
      <c r="H42" s="324"/>
      <c r="I42" s="324"/>
    </row>
    <row r="43" spans="5:9" s="340" customFormat="1">
      <c r="E43" s="364"/>
      <c r="G43" s="324"/>
      <c r="H43" s="324"/>
      <c r="I43" s="324"/>
    </row>
    <row r="44" spans="5:9" s="340" customFormat="1">
      <c r="E44" s="364"/>
      <c r="G44" s="324"/>
      <c r="H44" s="324"/>
      <c r="I44" s="324"/>
    </row>
    <row r="45" spans="5:9" s="340" customFormat="1">
      <c r="E45" s="364"/>
      <c r="G45" s="324"/>
      <c r="H45" s="324"/>
      <c r="I45" s="324"/>
    </row>
    <row r="46" spans="5:9" s="340" customFormat="1">
      <c r="E46" s="364"/>
      <c r="G46" s="324"/>
      <c r="H46" s="324"/>
      <c r="I46" s="324"/>
    </row>
    <row r="47" spans="5:9" s="340" customFormat="1">
      <c r="E47" s="364"/>
      <c r="G47" s="324"/>
      <c r="H47" s="324"/>
      <c r="I47" s="324"/>
    </row>
    <row r="48" spans="5:9" s="340" customFormat="1">
      <c r="E48" s="364"/>
      <c r="G48" s="324"/>
      <c r="H48" s="324"/>
      <c r="I48" s="324"/>
    </row>
    <row r="49" spans="5:9" s="340" customFormat="1">
      <c r="E49" s="364"/>
      <c r="G49" s="324"/>
      <c r="H49" s="324"/>
      <c r="I49" s="324"/>
    </row>
    <row r="50" spans="5:9" s="340" customFormat="1">
      <c r="E50" s="364"/>
      <c r="G50" s="324"/>
      <c r="H50" s="324"/>
      <c r="I50" s="324"/>
    </row>
    <row r="51" spans="5:9" s="340" customFormat="1">
      <c r="E51" s="364"/>
      <c r="G51" s="324"/>
      <c r="H51" s="324"/>
      <c r="I51" s="324"/>
    </row>
    <row r="52" spans="5:9" s="340" customFormat="1">
      <c r="E52" s="364"/>
      <c r="G52" s="324"/>
      <c r="H52" s="324"/>
      <c r="I52" s="324"/>
    </row>
    <row r="53" spans="5:9" s="340" customFormat="1">
      <c r="E53" s="364"/>
      <c r="G53" s="324"/>
      <c r="H53" s="324"/>
      <c r="I53" s="324"/>
    </row>
    <row r="54" spans="5:9" s="340" customFormat="1">
      <c r="E54" s="364"/>
      <c r="G54" s="324"/>
      <c r="H54" s="324"/>
      <c r="I54" s="324"/>
    </row>
    <row r="55" spans="5:9" s="340" customFormat="1">
      <c r="E55" s="364"/>
      <c r="G55" s="324"/>
      <c r="H55" s="324"/>
      <c r="I55" s="324"/>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4" workbookViewId="0">
      <pane xSplit="2" ySplit="5" topLeftCell="D17" activePane="bottomRight" state="frozen"/>
      <selection activeCell="I11" sqref="I11:J14"/>
      <selection pane="topRight" activeCell="I11" sqref="I11:J14"/>
      <selection pane="bottomLeft" activeCell="I11" sqref="I11:J14"/>
      <selection pane="bottomRight" activeCell="B10" sqref="B10"/>
    </sheetView>
  </sheetViews>
  <sheetFormatPr defaultColWidth="8.81640625" defaultRowHeight="13"/>
  <cols>
    <col min="1" max="1" width="10.1796875" style="329" customWidth="1"/>
    <col min="2" max="2" width="57.453125" style="329" customWidth="1"/>
    <col min="3" max="4" width="21.453125" style="329" customWidth="1"/>
    <col min="5" max="5" width="60.1796875" style="329" customWidth="1"/>
    <col min="6" max="6" width="41.81640625" style="329" customWidth="1"/>
    <col min="7" max="7" width="21.453125" style="324" customWidth="1"/>
    <col min="8" max="10" width="8.81640625" style="322"/>
    <col min="11" max="18" width="8.81640625" style="324"/>
    <col min="19" max="16384" width="8.81640625" style="329"/>
  </cols>
  <sheetData>
    <row r="1" spans="1:18" s="137" customFormat="1" ht="26">
      <c r="A1" s="321" t="s">
        <v>361</v>
      </c>
      <c r="B1" s="322"/>
      <c r="C1" s="323"/>
      <c r="D1" s="322"/>
      <c r="E1" s="322"/>
      <c r="F1" s="322"/>
      <c r="G1" s="324"/>
      <c r="H1" s="322"/>
      <c r="I1" s="322"/>
      <c r="J1" s="322"/>
      <c r="K1" s="324"/>
      <c r="L1" s="324"/>
      <c r="M1" s="324"/>
      <c r="N1" s="324"/>
      <c r="O1" s="324"/>
      <c r="P1" s="324"/>
      <c r="Q1" s="324"/>
      <c r="R1" s="324"/>
    </row>
    <row r="2" spans="1:18" s="346" customFormat="1" ht="26">
      <c r="A2" s="321" t="s">
        <v>1874</v>
      </c>
      <c r="B2" s="322"/>
      <c r="C2" s="323"/>
      <c r="D2" s="322"/>
      <c r="E2" s="322"/>
      <c r="F2" s="322"/>
      <c r="G2" s="324"/>
      <c r="H2" s="322"/>
      <c r="I2" s="322"/>
      <c r="J2" s="322"/>
      <c r="K2" s="324"/>
      <c r="L2" s="324"/>
      <c r="M2" s="324"/>
      <c r="N2" s="324"/>
      <c r="O2" s="324"/>
      <c r="P2" s="324"/>
      <c r="Q2" s="324"/>
      <c r="R2" s="324"/>
    </row>
    <row r="3" spans="1:18" s="346" customFormat="1">
      <c r="A3" s="325" t="s">
        <v>1686</v>
      </c>
      <c r="B3" s="322" t="s">
        <v>1875</v>
      </c>
      <c r="C3" s="322"/>
      <c r="D3" s="322"/>
      <c r="E3" s="322"/>
      <c r="F3" s="322"/>
      <c r="G3" s="324"/>
      <c r="H3" s="322"/>
      <c r="I3" s="322"/>
      <c r="J3" s="322"/>
      <c r="K3" s="324"/>
      <c r="L3" s="324"/>
      <c r="M3" s="324"/>
      <c r="N3" s="324"/>
      <c r="O3" s="324"/>
      <c r="P3" s="324"/>
      <c r="Q3" s="324"/>
      <c r="R3" s="324"/>
    </row>
    <row r="4" spans="1:18" s="139" customFormat="1">
      <c r="A4" s="325" t="s">
        <v>417</v>
      </c>
      <c r="B4" s="322" t="s">
        <v>1876</v>
      </c>
      <c r="C4" s="322"/>
      <c r="D4" s="322"/>
      <c r="E4" s="322"/>
      <c r="F4" s="322"/>
      <c r="G4" s="324"/>
      <c r="H4" s="322"/>
      <c r="I4" s="322"/>
      <c r="J4" s="322"/>
      <c r="K4" s="324"/>
      <c r="L4" s="324"/>
      <c r="M4" s="324"/>
      <c r="N4" s="324"/>
      <c r="O4" s="324"/>
      <c r="P4" s="324"/>
      <c r="Q4" s="324"/>
      <c r="R4" s="324"/>
    </row>
    <row r="5" spans="1:18" s="139" customFormat="1">
      <c r="A5" s="322" t="s">
        <v>1689</v>
      </c>
      <c r="B5" s="322" t="s">
        <v>1877</v>
      </c>
      <c r="C5" s="322"/>
      <c r="D5" s="322"/>
      <c r="E5" s="322"/>
      <c r="F5" s="322"/>
      <c r="G5" s="324"/>
      <c r="H5" s="322"/>
      <c r="I5" s="322"/>
      <c r="J5" s="322"/>
      <c r="K5" s="324"/>
      <c r="L5" s="324"/>
      <c r="M5" s="324"/>
      <c r="N5" s="324"/>
      <c r="O5" s="324"/>
      <c r="P5" s="324"/>
      <c r="Q5" s="324"/>
      <c r="R5" s="324"/>
    </row>
    <row r="6" spans="1:18" s="137" customFormat="1">
      <c r="A6" s="322" t="s">
        <v>421</v>
      </c>
      <c r="B6" s="322" t="s">
        <v>1878</v>
      </c>
      <c r="C6" s="322"/>
      <c r="D6" s="322"/>
      <c r="E6" s="322"/>
      <c r="F6" s="322"/>
      <c r="G6" s="324"/>
      <c r="H6" s="322"/>
      <c r="I6" s="322"/>
      <c r="J6" s="322"/>
      <c r="K6" s="324"/>
      <c r="L6" s="324"/>
      <c r="M6" s="324"/>
      <c r="N6" s="324"/>
      <c r="O6" s="324"/>
      <c r="P6" s="324"/>
      <c r="Q6" s="324"/>
      <c r="R6" s="324"/>
    </row>
    <row r="7" spans="1:18" s="346" customFormat="1">
      <c r="A7" s="329"/>
      <c r="B7" s="329"/>
      <c r="C7" s="329"/>
      <c r="D7" s="329"/>
      <c r="E7" s="322"/>
      <c r="F7" s="322"/>
      <c r="G7" s="359"/>
      <c r="H7" s="322"/>
      <c r="I7" s="322"/>
      <c r="J7" s="322"/>
      <c r="K7" s="324"/>
      <c r="L7" s="324"/>
      <c r="M7" s="324"/>
      <c r="N7" s="324"/>
      <c r="O7" s="324"/>
      <c r="P7" s="324"/>
      <c r="Q7" s="324"/>
      <c r="R7" s="324"/>
    </row>
    <row r="8" spans="1:18" s="148"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48" customFormat="1">
      <c r="A9" s="330" t="s">
        <v>47</v>
      </c>
      <c r="B9" s="330"/>
      <c r="C9" s="331"/>
      <c r="D9" s="331"/>
      <c r="E9" s="331"/>
      <c r="F9" s="331"/>
      <c r="G9" s="331"/>
      <c r="H9" s="322"/>
      <c r="I9" s="322"/>
      <c r="J9" s="322"/>
      <c r="K9" s="325"/>
      <c r="L9" s="325"/>
      <c r="M9" s="325"/>
      <c r="N9" s="325"/>
      <c r="O9" s="325"/>
      <c r="P9" s="325"/>
      <c r="Q9" s="325"/>
      <c r="R9" s="325"/>
    </row>
    <row r="10" spans="1:18" s="93" customFormat="1" ht="65">
      <c r="A10" s="3" t="s">
        <v>362</v>
      </c>
      <c r="B10" s="3" t="s">
        <v>1879</v>
      </c>
      <c r="C10" s="3"/>
      <c r="D10" s="3"/>
      <c r="E10" s="336" t="s">
        <v>1880</v>
      </c>
      <c r="F10" s="336"/>
      <c r="G10" s="3"/>
      <c r="H10" s="322"/>
      <c r="I10" s="322"/>
      <c r="J10" s="322"/>
      <c r="K10" s="325"/>
      <c r="L10" s="325"/>
      <c r="M10" s="325"/>
      <c r="N10" s="325"/>
      <c r="O10" s="325"/>
      <c r="P10" s="325"/>
      <c r="Q10" s="325"/>
      <c r="R10" s="325"/>
    </row>
    <row r="11" spans="1:18" s="325" customFormat="1" ht="65">
      <c r="A11" s="3" t="s">
        <v>363</v>
      </c>
      <c r="B11" s="3" t="s">
        <v>1881</v>
      </c>
      <c r="C11" s="3"/>
      <c r="D11" s="3"/>
      <c r="E11" s="336" t="s">
        <v>1882</v>
      </c>
      <c r="F11" s="336"/>
      <c r="G11" s="3"/>
      <c r="H11" s="322"/>
      <c r="I11" s="322"/>
      <c r="J11" s="322"/>
    </row>
    <row r="12" spans="1:18" s="148" customFormat="1">
      <c r="A12" s="330" t="s">
        <v>54</v>
      </c>
      <c r="B12" s="330"/>
      <c r="C12" s="331"/>
      <c r="D12" s="331"/>
      <c r="E12" s="331" t="s">
        <v>1833</v>
      </c>
      <c r="F12" s="331"/>
      <c r="G12" s="331"/>
      <c r="H12" s="322"/>
      <c r="I12" s="322"/>
      <c r="J12" s="322"/>
      <c r="K12" s="325"/>
      <c r="L12" s="325"/>
      <c r="M12" s="325"/>
      <c r="N12" s="325"/>
      <c r="O12" s="325"/>
      <c r="P12" s="325"/>
      <c r="Q12" s="325"/>
      <c r="R12" s="325"/>
    </row>
    <row r="13" spans="1:18" s="148" customFormat="1" ht="78">
      <c r="A13" s="3" t="s">
        <v>364</v>
      </c>
      <c r="B13" s="3" t="s">
        <v>1883</v>
      </c>
      <c r="C13" s="3"/>
      <c r="D13" s="336" t="s">
        <v>1884</v>
      </c>
      <c r="E13" s="336" t="s">
        <v>1885</v>
      </c>
      <c r="F13" s="336"/>
      <c r="G13" s="3"/>
      <c r="H13" s="322"/>
      <c r="I13" s="322"/>
      <c r="J13" s="322"/>
      <c r="K13" s="325"/>
      <c r="L13" s="325"/>
      <c r="M13" s="325"/>
      <c r="N13" s="325"/>
      <c r="O13" s="325"/>
      <c r="P13" s="325"/>
      <c r="Q13" s="325"/>
      <c r="R13" s="325"/>
    </row>
    <row r="14" spans="1:18" s="93" customFormat="1" ht="78">
      <c r="A14" s="3" t="s">
        <v>365</v>
      </c>
      <c r="B14" s="3" t="s">
        <v>1886</v>
      </c>
      <c r="C14" s="3"/>
      <c r="D14" s="3"/>
      <c r="E14" s="336" t="s">
        <v>1887</v>
      </c>
      <c r="F14" s="336"/>
      <c r="G14" s="3"/>
      <c r="H14" s="322"/>
      <c r="I14" s="322"/>
      <c r="J14" s="322"/>
      <c r="K14" s="325"/>
      <c r="L14" s="325"/>
      <c r="M14" s="325"/>
      <c r="N14" s="325"/>
      <c r="O14" s="325"/>
      <c r="P14" s="325"/>
      <c r="Q14" s="325"/>
      <c r="R14" s="325"/>
    </row>
    <row r="15" spans="1:18" s="325" customFormat="1" ht="52">
      <c r="A15" s="3" t="s">
        <v>366</v>
      </c>
      <c r="B15" s="3" t="s">
        <v>1888</v>
      </c>
      <c r="C15" s="3"/>
      <c r="D15" s="3"/>
      <c r="E15" s="336" t="s">
        <v>1889</v>
      </c>
      <c r="F15" s="336"/>
      <c r="G15" s="3"/>
      <c r="H15" s="322"/>
      <c r="I15" s="322"/>
      <c r="J15" s="322"/>
    </row>
    <row r="16" spans="1:18" s="325" customFormat="1" ht="65">
      <c r="A16" s="3" t="s">
        <v>367</v>
      </c>
      <c r="B16" s="3" t="s">
        <v>1890</v>
      </c>
      <c r="C16" s="3"/>
      <c r="D16" s="3"/>
      <c r="E16" s="336" t="s">
        <v>1891</v>
      </c>
      <c r="F16" s="336"/>
      <c r="G16" s="3"/>
      <c r="H16" s="322"/>
      <c r="I16" s="322"/>
      <c r="J16" s="322"/>
    </row>
    <row r="17" spans="1:18" s="148" customFormat="1" ht="65">
      <c r="A17" s="3" t="s">
        <v>368</v>
      </c>
      <c r="B17" s="3" t="s">
        <v>1892</v>
      </c>
      <c r="C17" s="3"/>
      <c r="D17" s="3"/>
      <c r="E17" s="336" t="s">
        <v>1893</v>
      </c>
      <c r="F17" s="336"/>
      <c r="G17" s="3"/>
      <c r="H17" s="322"/>
      <c r="I17" s="322"/>
      <c r="J17" s="322"/>
      <c r="K17" s="325"/>
      <c r="L17" s="325"/>
      <c r="M17" s="325"/>
      <c r="N17" s="325"/>
      <c r="O17" s="325"/>
      <c r="P17" s="325"/>
      <c r="Q17" s="325"/>
      <c r="R17" s="325"/>
    </row>
    <row r="18" spans="1:18" s="148" customFormat="1">
      <c r="A18" s="330" t="s">
        <v>56</v>
      </c>
      <c r="B18" s="330"/>
      <c r="C18" s="331"/>
      <c r="D18" s="331"/>
      <c r="E18" s="331"/>
      <c r="F18" s="331"/>
      <c r="G18" s="331"/>
      <c r="H18" s="322"/>
      <c r="I18" s="322"/>
      <c r="J18" s="322"/>
      <c r="K18" s="325"/>
      <c r="L18" s="325"/>
      <c r="M18" s="325"/>
      <c r="N18" s="325"/>
      <c r="O18" s="325"/>
      <c r="P18" s="325"/>
      <c r="Q18" s="325"/>
      <c r="R18" s="325"/>
    </row>
    <row r="19" spans="1:18" s="93" customFormat="1" ht="52">
      <c r="A19" s="3" t="s">
        <v>369</v>
      </c>
      <c r="B19" s="3" t="s">
        <v>1894</v>
      </c>
      <c r="C19" s="3"/>
      <c r="D19" s="336" t="s">
        <v>537</v>
      </c>
      <c r="E19" s="336" t="s">
        <v>2079</v>
      </c>
      <c r="F19" s="336"/>
      <c r="G19" s="3"/>
      <c r="H19" s="322"/>
      <c r="I19" s="322"/>
      <c r="J19" s="322"/>
      <c r="K19" s="325"/>
      <c r="L19" s="325"/>
      <c r="M19" s="325"/>
      <c r="N19" s="325"/>
      <c r="O19" s="325"/>
      <c r="P19" s="325"/>
      <c r="Q19" s="325"/>
      <c r="R19" s="325"/>
    </row>
    <row r="20" spans="1:18" s="339" customFormat="1">
      <c r="G20" s="324"/>
      <c r="H20" s="322"/>
      <c r="I20" s="322"/>
      <c r="J20" s="322"/>
      <c r="K20" s="324"/>
      <c r="L20" s="324"/>
      <c r="M20" s="324"/>
      <c r="N20" s="324"/>
      <c r="O20" s="324"/>
      <c r="P20" s="324"/>
      <c r="Q20" s="324"/>
      <c r="R20" s="324"/>
    </row>
    <row r="21" spans="1:18" s="339" customFormat="1">
      <c r="G21" s="324"/>
      <c r="H21" s="322"/>
      <c r="I21" s="322"/>
      <c r="J21" s="322"/>
      <c r="K21" s="324"/>
      <c r="L21" s="324"/>
      <c r="M21" s="324"/>
      <c r="N21" s="324"/>
      <c r="O21" s="324"/>
      <c r="P21" s="324"/>
      <c r="Q21" s="324"/>
      <c r="R21" s="324"/>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40" customFormat="1">
      <c r="G38" s="324"/>
      <c r="H38" s="322"/>
      <c r="I38" s="322"/>
      <c r="J38" s="322"/>
      <c r="K38" s="324"/>
      <c r="L38" s="324"/>
      <c r="M38" s="324"/>
      <c r="N38" s="324"/>
      <c r="O38" s="324"/>
      <c r="P38" s="324"/>
      <c r="Q38" s="324"/>
      <c r="R38" s="324"/>
    </row>
    <row r="39" spans="7:18" s="340" customFormat="1">
      <c r="G39" s="324"/>
      <c r="H39" s="322"/>
      <c r="I39" s="322"/>
      <c r="J39" s="322"/>
      <c r="K39" s="324"/>
      <c r="L39" s="324"/>
      <c r="M39" s="324"/>
      <c r="N39" s="324"/>
      <c r="O39" s="324"/>
      <c r="P39" s="324"/>
      <c r="Q39" s="324"/>
      <c r="R39" s="324"/>
    </row>
    <row r="40" spans="7:18" s="340" customFormat="1">
      <c r="G40" s="324"/>
      <c r="H40" s="322"/>
      <c r="I40" s="322"/>
      <c r="J40" s="322"/>
      <c r="K40" s="324"/>
      <c r="L40" s="324"/>
      <c r="M40" s="324"/>
      <c r="N40" s="324"/>
      <c r="O40" s="324"/>
      <c r="P40" s="324"/>
      <c r="Q40" s="324"/>
      <c r="R40" s="324"/>
    </row>
    <row r="41" spans="7:18" s="340" customFormat="1">
      <c r="G41" s="324"/>
      <c r="H41" s="322"/>
      <c r="I41" s="322"/>
      <c r="J41" s="322"/>
      <c r="K41" s="324"/>
      <c r="L41" s="324"/>
      <c r="M41" s="324"/>
      <c r="N41" s="324"/>
      <c r="O41" s="324"/>
      <c r="P41" s="324"/>
      <c r="Q41" s="324"/>
      <c r="R41" s="324"/>
    </row>
    <row r="42" spans="7:18" s="340" customFormat="1">
      <c r="G42" s="324"/>
      <c r="H42" s="322"/>
      <c r="I42" s="322"/>
      <c r="J42" s="322"/>
      <c r="K42" s="324"/>
      <c r="L42" s="324"/>
      <c r="M42" s="324"/>
      <c r="N42" s="324"/>
      <c r="O42" s="324"/>
      <c r="P42" s="324"/>
      <c r="Q42" s="324"/>
      <c r="R42" s="324"/>
    </row>
    <row r="43" spans="7:18" s="340" customFormat="1">
      <c r="G43" s="324"/>
      <c r="H43" s="322"/>
      <c r="I43" s="322"/>
      <c r="J43" s="322"/>
      <c r="K43" s="324"/>
      <c r="L43" s="324"/>
      <c r="M43" s="324"/>
      <c r="N43" s="324"/>
      <c r="O43" s="324"/>
      <c r="P43" s="324"/>
      <c r="Q43" s="324"/>
      <c r="R43" s="324"/>
    </row>
    <row r="44" spans="7:18" s="340" customFormat="1">
      <c r="G44" s="324"/>
      <c r="H44" s="322"/>
      <c r="I44" s="322"/>
      <c r="J44" s="322"/>
      <c r="K44" s="324"/>
      <c r="L44" s="324"/>
      <c r="M44" s="324"/>
      <c r="N44" s="324"/>
      <c r="O44" s="324"/>
      <c r="P44" s="324"/>
      <c r="Q44" s="324"/>
      <c r="R44" s="324"/>
    </row>
    <row r="45" spans="7:18" s="340" customFormat="1">
      <c r="G45" s="324"/>
      <c r="H45" s="322"/>
      <c r="I45" s="322"/>
      <c r="J45" s="322"/>
      <c r="K45" s="324"/>
      <c r="L45" s="324"/>
      <c r="M45" s="324"/>
      <c r="N45" s="324"/>
      <c r="O45" s="324"/>
      <c r="P45" s="324"/>
      <c r="Q45" s="324"/>
      <c r="R45" s="324"/>
    </row>
    <row r="46" spans="7:18" s="340" customFormat="1">
      <c r="G46" s="324"/>
      <c r="H46" s="322"/>
      <c r="I46" s="322"/>
      <c r="J46" s="322"/>
      <c r="K46" s="324"/>
      <c r="L46" s="324"/>
      <c r="M46" s="324"/>
      <c r="N46" s="324"/>
      <c r="O46" s="324"/>
      <c r="P46" s="324"/>
      <c r="Q46" s="324"/>
      <c r="R46" s="324"/>
    </row>
    <row r="47" spans="7:18" s="340"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8050"/>
  </sheetPr>
  <dimension ref="A1:R52"/>
  <sheetViews>
    <sheetView topLeftCell="A3" zoomScale="85" zoomScaleNormal="85" workbookViewId="0">
      <pane xSplit="2" ySplit="6" topLeftCell="C19"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65.1796875" style="362" customWidth="1"/>
    <col min="3" max="4" width="21.453125" style="329" customWidth="1"/>
    <col min="5" max="5" width="48.81640625" style="329" customWidth="1"/>
    <col min="6" max="6" width="34.81640625" style="329" customWidth="1"/>
    <col min="7" max="7" width="21.453125" style="324" customWidth="1"/>
    <col min="8" max="9" width="17.81640625" style="339" customWidth="1"/>
    <col min="10" max="18" width="8.81640625" style="324"/>
    <col min="19" max="16384" width="8.81640625" style="329"/>
  </cols>
  <sheetData>
    <row r="1" spans="1:18" s="139" customFormat="1" ht="26">
      <c r="A1" s="321" t="s">
        <v>302</v>
      </c>
      <c r="B1" s="325"/>
      <c r="C1" s="323"/>
      <c r="D1" s="322"/>
      <c r="E1" s="322"/>
      <c r="F1" s="322"/>
      <c r="G1" s="324"/>
      <c r="H1" s="339"/>
      <c r="I1" s="339"/>
      <c r="J1" s="324"/>
      <c r="K1" s="324"/>
      <c r="L1" s="324"/>
      <c r="M1" s="324"/>
      <c r="N1" s="324"/>
      <c r="O1" s="324"/>
      <c r="P1" s="324"/>
      <c r="Q1" s="324"/>
      <c r="R1" s="324"/>
    </row>
    <row r="2" spans="1:18" s="137" customFormat="1" ht="26">
      <c r="A2" s="321" t="s">
        <v>1895</v>
      </c>
      <c r="B2" s="325"/>
      <c r="C2" s="323"/>
      <c r="D2" s="322"/>
      <c r="E2" s="322"/>
      <c r="F2" s="322"/>
      <c r="G2" s="324"/>
      <c r="H2" s="339"/>
      <c r="I2" s="339"/>
      <c r="J2" s="324"/>
      <c r="K2" s="324"/>
      <c r="L2" s="324"/>
      <c r="M2" s="324"/>
      <c r="N2" s="324"/>
      <c r="O2" s="324"/>
      <c r="P2" s="324"/>
      <c r="Q2" s="324"/>
      <c r="R2" s="324"/>
    </row>
    <row r="3" spans="1:18" s="346" customFormat="1" ht="26">
      <c r="A3" s="325" t="s">
        <v>456</v>
      </c>
      <c r="B3" s="325" t="s">
        <v>303</v>
      </c>
      <c r="C3" s="322"/>
      <c r="D3" s="322"/>
      <c r="E3" s="322"/>
      <c r="F3" s="322"/>
      <c r="G3" s="324"/>
      <c r="H3" s="339"/>
      <c r="I3" s="339"/>
      <c r="J3" s="324"/>
      <c r="K3" s="324"/>
      <c r="L3" s="324"/>
      <c r="M3" s="324"/>
      <c r="N3" s="324"/>
      <c r="O3" s="324"/>
      <c r="P3" s="324"/>
      <c r="Q3" s="324"/>
      <c r="R3" s="324"/>
    </row>
    <row r="4" spans="1:18" s="139" customFormat="1">
      <c r="A4" s="325" t="s">
        <v>1724</v>
      </c>
      <c r="B4" s="325" t="s">
        <v>1896</v>
      </c>
      <c r="C4" s="322"/>
      <c r="D4" s="322"/>
      <c r="E4" s="322"/>
      <c r="F4" s="322"/>
      <c r="G4" s="324"/>
      <c r="H4" s="339"/>
      <c r="I4" s="339"/>
      <c r="J4" s="324"/>
      <c r="K4" s="324"/>
      <c r="L4" s="324"/>
      <c r="M4" s="324"/>
      <c r="N4" s="324"/>
      <c r="O4" s="324"/>
      <c r="P4" s="324"/>
      <c r="Q4" s="324"/>
      <c r="R4" s="324"/>
    </row>
    <row r="5" spans="1:18" s="139" customFormat="1" ht="26">
      <c r="A5" s="322" t="s">
        <v>457</v>
      </c>
      <c r="B5" s="325" t="s">
        <v>304</v>
      </c>
      <c r="C5" s="322"/>
      <c r="D5" s="322"/>
      <c r="E5" s="322"/>
      <c r="F5" s="322"/>
      <c r="G5" s="324"/>
      <c r="H5" s="339"/>
      <c r="I5" s="339"/>
      <c r="J5" s="324"/>
      <c r="K5" s="324"/>
      <c r="L5" s="324"/>
      <c r="M5" s="324"/>
      <c r="N5" s="324"/>
      <c r="O5" s="324"/>
      <c r="P5" s="324"/>
      <c r="Q5" s="324"/>
      <c r="R5" s="324"/>
    </row>
    <row r="6" spans="1:18" s="137" customFormat="1">
      <c r="A6" s="322" t="s">
        <v>1726</v>
      </c>
      <c r="B6" s="325" t="s">
        <v>1897</v>
      </c>
      <c r="C6" s="322"/>
      <c r="D6" s="322"/>
      <c r="E6" s="322"/>
      <c r="F6" s="322"/>
      <c r="G6" s="324"/>
      <c r="H6" s="339"/>
      <c r="I6" s="339"/>
      <c r="J6" s="324"/>
      <c r="K6" s="324"/>
      <c r="L6" s="324"/>
      <c r="M6" s="324"/>
      <c r="N6" s="324"/>
      <c r="O6" s="324"/>
      <c r="P6" s="324"/>
      <c r="Q6" s="324"/>
      <c r="R6" s="324"/>
    </row>
    <row r="7" spans="1:18" s="346" customFormat="1">
      <c r="A7" s="329"/>
      <c r="B7" s="362"/>
      <c r="C7" s="329"/>
      <c r="D7" s="329"/>
      <c r="E7" s="322"/>
      <c r="F7" s="322"/>
      <c r="G7" s="359" t="e">
        <f>#REF!</f>
        <v>#REF!</v>
      </c>
      <c r="H7" s="339"/>
      <c r="I7" s="339"/>
      <c r="J7" s="324"/>
      <c r="K7" s="324"/>
      <c r="L7" s="324"/>
      <c r="M7" s="324"/>
      <c r="N7" s="324"/>
      <c r="O7" s="324"/>
      <c r="P7" s="324"/>
      <c r="Q7" s="324"/>
      <c r="R7" s="324"/>
    </row>
    <row r="8" spans="1:18" s="139" customFormat="1">
      <c r="A8" s="350"/>
      <c r="B8" s="363"/>
      <c r="C8" s="350" t="s">
        <v>96</v>
      </c>
      <c r="D8" s="350" t="s">
        <v>562</v>
      </c>
      <c r="E8" s="350" t="s">
        <v>85</v>
      </c>
      <c r="F8" s="350" t="s">
        <v>1664</v>
      </c>
      <c r="G8" s="350" t="s">
        <v>1692</v>
      </c>
      <c r="H8" s="322"/>
      <c r="I8" s="322"/>
      <c r="J8" s="322"/>
      <c r="K8" s="322"/>
      <c r="L8" s="322"/>
      <c r="M8" s="322"/>
      <c r="N8" s="322"/>
      <c r="O8" s="322"/>
      <c r="P8" s="322"/>
      <c r="Q8" s="322"/>
      <c r="R8" s="322"/>
    </row>
    <row r="9" spans="1:18" s="139" customFormat="1">
      <c r="A9" s="342" t="s">
        <v>47</v>
      </c>
      <c r="B9" s="342"/>
      <c r="C9" s="343"/>
      <c r="D9" s="343"/>
      <c r="E9" s="343"/>
      <c r="F9" s="343"/>
      <c r="G9" s="344"/>
      <c r="H9" s="339"/>
      <c r="I9" s="339"/>
      <c r="J9" s="345"/>
      <c r="K9" s="345"/>
      <c r="L9" s="345"/>
      <c r="M9" s="345"/>
      <c r="N9" s="345"/>
      <c r="O9" s="345"/>
      <c r="P9" s="345"/>
      <c r="Q9" s="345"/>
      <c r="R9" s="345"/>
    </row>
    <row r="10" spans="1:18" s="137" customFormat="1" ht="52">
      <c r="A10" s="22" t="s">
        <v>305</v>
      </c>
      <c r="B10" s="22" t="s">
        <v>1898</v>
      </c>
      <c r="C10" s="22"/>
      <c r="D10" s="347" t="s">
        <v>1899</v>
      </c>
      <c r="E10" s="347" t="s">
        <v>1630</v>
      </c>
      <c r="F10" s="347"/>
      <c r="G10" s="348"/>
      <c r="H10" s="339"/>
      <c r="I10" s="339"/>
      <c r="J10" s="345"/>
      <c r="K10" s="345"/>
      <c r="L10" s="345"/>
      <c r="M10" s="345"/>
      <c r="N10" s="345"/>
      <c r="O10" s="345"/>
      <c r="P10" s="345"/>
      <c r="Q10" s="345"/>
      <c r="R10" s="345"/>
    </row>
    <row r="11" spans="1:18" s="346" customFormat="1" ht="26">
      <c r="A11" s="22" t="s">
        <v>306</v>
      </c>
      <c r="B11" s="22" t="s">
        <v>1900</v>
      </c>
      <c r="C11" s="22"/>
      <c r="D11" s="347" t="s">
        <v>509</v>
      </c>
      <c r="E11" s="347" t="s">
        <v>1631</v>
      </c>
      <c r="F11" s="347"/>
      <c r="G11" s="348"/>
      <c r="H11" s="339"/>
      <c r="I11" s="339"/>
      <c r="J11" s="345"/>
      <c r="K11" s="345"/>
      <c r="L11" s="345"/>
      <c r="M11" s="345"/>
      <c r="N11" s="345"/>
      <c r="O11" s="345"/>
      <c r="P11" s="345"/>
      <c r="Q11" s="345"/>
      <c r="R11" s="345"/>
    </row>
    <row r="12" spans="1:18" s="139" customFormat="1">
      <c r="A12" s="342" t="s">
        <v>54</v>
      </c>
      <c r="B12" s="342"/>
      <c r="C12" s="343"/>
      <c r="D12" s="343"/>
      <c r="E12" s="343" t="s">
        <v>1833</v>
      </c>
      <c r="F12" s="343"/>
      <c r="G12" s="344"/>
      <c r="H12" s="339"/>
      <c r="I12" s="339"/>
      <c r="J12" s="345"/>
      <c r="K12" s="345"/>
      <c r="L12" s="345"/>
      <c r="M12" s="345"/>
      <c r="N12" s="345"/>
      <c r="O12" s="345"/>
      <c r="P12" s="345"/>
      <c r="Q12" s="345"/>
      <c r="R12" s="345"/>
    </row>
    <row r="13" spans="1:18" s="139" customFormat="1" ht="52">
      <c r="A13" s="22" t="s">
        <v>307</v>
      </c>
      <c r="B13" s="22" t="s">
        <v>1901</v>
      </c>
      <c r="C13" s="22"/>
      <c r="D13" s="22"/>
      <c r="E13" s="347" t="s">
        <v>1632</v>
      </c>
      <c r="F13" s="347"/>
      <c r="G13" s="348"/>
      <c r="H13" s="339"/>
      <c r="I13" s="339"/>
      <c r="J13" s="345"/>
      <c r="K13" s="345"/>
      <c r="L13" s="345"/>
      <c r="M13" s="345"/>
      <c r="N13" s="345"/>
      <c r="O13" s="345"/>
      <c r="P13" s="345"/>
      <c r="Q13" s="345"/>
      <c r="R13" s="345"/>
    </row>
    <row r="14" spans="1:18" s="137" customFormat="1" ht="65">
      <c r="A14" s="22" t="s">
        <v>308</v>
      </c>
      <c r="B14" s="22" t="s">
        <v>1902</v>
      </c>
      <c r="C14" s="22"/>
      <c r="D14" s="347" t="s">
        <v>510</v>
      </c>
      <c r="E14" s="347" t="s">
        <v>1903</v>
      </c>
      <c r="F14" s="347"/>
      <c r="G14" s="348"/>
      <c r="H14" s="339"/>
      <c r="I14" s="339"/>
      <c r="J14" s="345"/>
      <c r="K14" s="345"/>
      <c r="L14" s="345"/>
      <c r="M14" s="345"/>
      <c r="N14" s="345"/>
      <c r="O14" s="345"/>
      <c r="P14" s="345"/>
      <c r="Q14" s="345"/>
      <c r="R14" s="345"/>
    </row>
    <row r="15" spans="1:18" s="346" customFormat="1" ht="117">
      <c r="A15" s="22" t="s">
        <v>309</v>
      </c>
      <c r="B15" s="22" t="s">
        <v>1904</v>
      </c>
      <c r="C15" s="347" t="s">
        <v>1905</v>
      </c>
      <c r="D15" s="347" t="s">
        <v>1906</v>
      </c>
      <c r="E15" s="347" t="s">
        <v>1633</v>
      </c>
      <c r="F15" s="347"/>
      <c r="G15" s="348"/>
      <c r="H15" s="339"/>
      <c r="I15" s="339"/>
      <c r="J15" s="345"/>
      <c r="K15" s="345"/>
      <c r="L15" s="345"/>
      <c r="M15" s="345"/>
      <c r="N15" s="345"/>
      <c r="O15" s="345"/>
      <c r="P15" s="345"/>
      <c r="Q15" s="345"/>
      <c r="R15" s="345"/>
    </row>
    <row r="16" spans="1:18" s="139" customFormat="1" ht="52">
      <c r="A16" s="22" t="s">
        <v>310</v>
      </c>
      <c r="B16" s="22" t="s">
        <v>1907</v>
      </c>
      <c r="C16" s="347" t="s">
        <v>512</v>
      </c>
      <c r="D16" s="347" t="s">
        <v>511</v>
      </c>
      <c r="E16" s="347" t="s">
        <v>1634</v>
      </c>
      <c r="F16" s="347"/>
      <c r="G16" s="348"/>
      <c r="H16" s="339"/>
      <c r="I16" s="339"/>
      <c r="J16" s="345"/>
      <c r="K16" s="345"/>
      <c r="L16" s="345"/>
      <c r="M16" s="345"/>
      <c r="N16" s="345"/>
      <c r="O16" s="345"/>
      <c r="P16" s="345"/>
      <c r="Q16" s="345"/>
      <c r="R16" s="345"/>
    </row>
    <row r="17" spans="1:18" s="137" customFormat="1">
      <c r="A17" s="342" t="s">
        <v>56</v>
      </c>
      <c r="B17" s="342"/>
      <c r="C17" s="343"/>
      <c r="D17" s="343"/>
      <c r="E17" s="343" t="s">
        <v>1833</v>
      </c>
      <c r="F17" s="343"/>
      <c r="G17" s="344"/>
      <c r="H17" s="339"/>
      <c r="I17" s="339"/>
      <c r="J17" s="345"/>
      <c r="K17" s="345"/>
      <c r="L17" s="345"/>
      <c r="M17" s="345"/>
      <c r="N17" s="345"/>
      <c r="O17" s="345"/>
      <c r="P17" s="345"/>
      <c r="Q17" s="345"/>
      <c r="R17" s="345"/>
    </row>
    <row r="18" spans="1:18" s="346" customFormat="1" ht="78">
      <c r="A18" s="22" t="s">
        <v>311</v>
      </c>
      <c r="B18" s="22" t="s">
        <v>1908</v>
      </c>
      <c r="C18" s="347" t="s">
        <v>513</v>
      </c>
      <c r="D18" s="347" t="s">
        <v>1909</v>
      </c>
      <c r="E18" s="347" t="s">
        <v>514</v>
      </c>
      <c r="F18" s="347"/>
      <c r="G18" s="348"/>
      <c r="H18" s="365"/>
      <c r="I18" s="365"/>
      <c r="J18" s="345"/>
      <c r="K18" s="345"/>
      <c r="L18" s="345"/>
      <c r="M18" s="345"/>
      <c r="N18" s="345"/>
      <c r="O18" s="345"/>
      <c r="P18" s="345"/>
      <c r="Q18" s="345"/>
      <c r="R18" s="345"/>
    </row>
    <row r="19" spans="1:18" s="139" customFormat="1" ht="39">
      <c r="A19" s="22" t="s">
        <v>312</v>
      </c>
      <c r="B19" s="22" t="s">
        <v>1910</v>
      </c>
      <c r="C19" s="22"/>
      <c r="D19" s="347" t="s">
        <v>515</v>
      </c>
      <c r="E19" s="347" t="s">
        <v>1635</v>
      </c>
      <c r="F19" s="347"/>
      <c r="G19" s="348"/>
      <c r="H19" s="339"/>
      <c r="I19" s="339"/>
      <c r="J19" s="345"/>
      <c r="K19" s="345"/>
      <c r="L19" s="345"/>
      <c r="M19" s="345"/>
      <c r="N19" s="345"/>
      <c r="O19" s="345"/>
      <c r="P19" s="345"/>
      <c r="Q19" s="345"/>
      <c r="R19" s="345"/>
    </row>
    <row r="20" spans="1:18" s="139" customFormat="1" ht="39">
      <c r="A20" s="22" t="s">
        <v>313</v>
      </c>
      <c r="B20" s="22" t="s">
        <v>314</v>
      </c>
      <c r="C20" s="22"/>
      <c r="D20" s="347" t="s">
        <v>516</v>
      </c>
      <c r="E20" s="347" t="s">
        <v>1636</v>
      </c>
      <c r="F20" s="347"/>
      <c r="G20" s="348"/>
      <c r="H20" s="339"/>
      <c r="I20" s="339"/>
      <c r="J20" s="345"/>
      <c r="K20" s="345"/>
      <c r="L20" s="345"/>
      <c r="M20" s="345"/>
      <c r="N20" s="345"/>
      <c r="O20" s="345"/>
      <c r="P20" s="345"/>
      <c r="Q20" s="345"/>
      <c r="R20" s="345"/>
    </row>
    <row r="21" spans="1:18" s="137" customFormat="1" ht="91">
      <c r="A21" s="22" t="s">
        <v>315</v>
      </c>
      <c r="B21" s="22" t="s">
        <v>1911</v>
      </c>
      <c r="C21" s="22"/>
      <c r="D21" s="347" t="s">
        <v>517</v>
      </c>
      <c r="E21" s="347" t="s">
        <v>1912</v>
      </c>
      <c r="F21" s="347"/>
      <c r="G21" s="348"/>
      <c r="H21" s="365"/>
      <c r="I21" s="339"/>
      <c r="J21" s="345"/>
      <c r="K21" s="345"/>
      <c r="L21" s="345"/>
      <c r="M21" s="345"/>
      <c r="N21" s="345"/>
      <c r="O21" s="345"/>
      <c r="P21" s="345"/>
      <c r="Q21" s="345"/>
      <c r="R21" s="345"/>
    </row>
    <row r="22" spans="1:18" s="339" customFormat="1">
      <c r="B22" s="346"/>
      <c r="G22" s="324"/>
      <c r="H22" s="365"/>
      <c r="I22" s="365"/>
      <c r="J22" s="324"/>
      <c r="K22" s="324"/>
      <c r="L22" s="324"/>
      <c r="M22" s="324"/>
      <c r="N22" s="324"/>
      <c r="O22" s="324"/>
      <c r="P22" s="324"/>
      <c r="Q22" s="324"/>
      <c r="R22" s="324"/>
    </row>
    <row r="23" spans="1:18" s="339" customFormat="1">
      <c r="B23" s="346"/>
      <c r="G23" s="324"/>
      <c r="J23" s="324"/>
      <c r="K23" s="324"/>
      <c r="L23" s="324"/>
      <c r="M23" s="324"/>
      <c r="N23" s="324"/>
      <c r="O23" s="324"/>
      <c r="P23" s="324"/>
      <c r="Q23" s="324"/>
      <c r="R23" s="324"/>
    </row>
    <row r="24" spans="1:18" s="339" customFormat="1">
      <c r="B24" s="346"/>
      <c r="G24" s="324"/>
      <c r="J24" s="324"/>
      <c r="K24" s="324"/>
      <c r="L24" s="324"/>
      <c r="M24" s="324"/>
      <c r="N24" s="324"/>
      <c r="O24" s="324"/>
      <c r="P24" s="324"/>
      <c r="Q24" s="324"/>
      <c r="R24" s="324"/>
    </row>
    <row r="25" spans="1:18" s="339" customFormat="1">
      <c r="B25" s="346"/>
      <c r="G25" s="324"/>
      <c r="J25" s="324"/>
      <c r="K25" s="324"/>
      <c r="L25" s="324"/>
      <c r="M25" s="324"/>
      <c r="N25" s="324"/>
      <c r="O25" s="324"/>
      <c r="P25" s="324"/>
      <c r="Q25" s="324"/>
      <c r="R25" s="324"/>
    </row>
    <row r="26" spans="1:18" s="339" customFormat="1">
      <c r="B26" s="346"/>
      <c r="G26" s="324"/>
      <c r="J26" s="324"/>
      <c r="K26" s="324"/>
      <c r="L26" s="324"/>
      <c r="M26" s="324"/>
      <c r="N26" s="324"/>
      <c r="O26" s="324"/>
      <c r="P26" s="324"/>
      <c r="Q26" s="324"/>
      <c r="R26" s="324"/>
    </row>
    <row r="27" spans="1:18" s="339" customFormat="1">
      <c r="B27" s="346"/>
      <c r="G27" s="324"/>
      <c r="J27" s="324"/>
      <c r="K27" s="324"/>
      <c r="L27" s="324"/>
      <c r="M27" s="324"/>
      <c r="N27" s="324"/>
      <c r="O27" s="324"/>
      <c r="P27" s="324"/>
      <c r="Q27" s="324"/>
      <c r="R27" s="324"/>
    </row>
    <row r="28" spans="1:18" s="339" customFormat="1">
      <c r="B28" s="346"/>
      <c r="G28" s="324"/>
      <c r="J28" s="324"/>
      <c r="K28" s="324"/>
      <c r="L28" s="324"/>
      <c r="M28" s="324"/>
      <c r="N28" s="324"/>
      <c r="O28" s="324"/>
      <c r="P28" s="324"/>
      <c r="Q28" s="324"/>
      <c r="R28" s="324"/>
    </row>
    <row r="29" spans="1:18" s="339" customFormat="1">
      <c r="B29" s="346"/>
      <c r="G29" s="324"/>
      <c r="J29" s="324"/>
      <c r="K29" s="324"/>
      <c r="L29" s="324"/>
      <c r="M29" s="324"/>
      <c r="N29" s="324"/>
      <c r="O29" s="324"/>
      <c r="P29" s="324"/>
      <c r="Q29" s="324"/>
      <c r="R29" s="324"/>
    </row>
    <row r="30" spans="1:18" s="339" customFormat="1">
      <c r="B30" s="346"/>
      <c r="G30" s="324"/>
      <c r="J30" s="324"/>
      <c r="K30" s="324"/>
      <c r="L30" s="324"/>
      <c r="M30" s="324"/>
      <c r="N30" s="324"/>
      <c r="O30" s="324"/>
      <c r="P30" s="324"/>
      <c r="Q30" s="324"/>
      <c r="R30" s="324"/>
    </row>
    <row r="31" spans="1:18" s="339" customFormat="1">
      <c r="B31" s="346"/>
      <c r="G31" s="324"/>
      <c r="J31" s="324"/>
      <c r="K31" s="324"/>
      <c r="L31" s="324"/>
      <c r="M31" s="324"/>
      <c r="N31" s="324"/>
      <c r="O31" s="324"/>
      <c r="P31" s="324"/>
      <c r="Q31" s="324"/>
      <c r="R31" s="324"/>
    </row>
    <row r="32" spans="1:18" s="340" customFormat="1">
      <c r="B32" s="364"/>
      <c r="G32" s="324"/>
      <c r="H32" s="339"/>
      <c r="I32" s="339"/>
      <c r="J32" s="324"/>
      <c r="K32" s="324"/>
      <c r="L32" s="324"/>
      <c r="M32" s="324"/>
      <c r="N32" s="324"/>
      <c r="O32" s="324"/>
      <c r="P32" s="324"/>
      <c r="Q32" s="324"/>
      <c r="R32" s="324"/>
    </row>
    <row r="33" spans="2:18" s="340" customFormat="1">
      <c r="B33" s="364"/>
      <c r="G33" s="324"/>
      <c r="H33" s="339"/>
      <c r="I33" s="339"/>
      <c r="J33" s="324"/>
      <c r="K33" s="324"/>
      <c r="L33" s="324"/>
      <c r="M33" s="324"/>
      <c r="N33" s="324"/>
      <c r="O33" s="324"/>
      <c r="P33" s="324"/>
      <c r="Q33" s="324"/>
      <c r="R33" s="324"/>
    </row>
    <row r="34" spans="2:18" s="340" customFormat="1">
      <c r="B34" s="364"/>
      <c r="G34" s="324"/>
      <c r="H34" s="339"/>
      <c r="I34" s="339"/>
      <c r="J34" s="324"/>
      <c r="K34" s="324"/>
      <c r="L34" s="324"/>
      <c r="M34" s="324"/>
      <c r="N34" s="324"/>
      <c r="O34" s="324"/>
      <c r="P34" s="324"/>
      <c r="Q34" s="324"/>
      <c r="R34" s="324"/>
    </row>
    <row r="35" spans="2:18" s="340" customFormat="1">
      <c r="B35" s="364"/>
      <c r="G35" s="324"/>
      <c r="H35" s="339"/>
      <c r="I35" s="339"/>
      <c r="J35" s="324"/>
      <c r="K35" s="324"/>
      <c r="L35" s="324"/>
      <c r="M35" s="324"/>
      <c r="N35" s="324"/>
      <c r="O35" s="324"/>
      <c r="P35" s="324"/>
      <c r="Q35" s="324"/>
      <c r="R35" s="324"/>
    </row>
    <row r="36" spans="2:18" s="340" customFormat="1">
      <c r="B36" s="364"/>
      <c r="G36" s="324"/>
      <c r="H36" s="339"/>
      <c r="I36" s="339"/>
      <c r="J36" s="324"/>
      <c r="K36" s="324"/>
      <c r="L36" s="324"/>
      <c r="M36" s="324"/>
      <c r="N36" s="324"/>
      <c r="O36" s="324"/>
      <c r="P36" s="324"/>
      <c r="Q36" s="324"/>
      <c r="R36" s="324"/>
    </row>
    <row r="37" spans="2:18" s="340" customFormat="1">
      <c r="B37" s="364"/>
      <c r="G37" s="324"/>
      <c r="H37" s="339"/>
      <c r="I37" s="339"/>
      <c r="J37" s="324"/>
      <c r="K37" s="324"/>
      <c r="L37" s="324"/>
      <c r="M37" s="324"/>
      <c r="N37" s="324"/>
      <c r="O37" s="324"/>
      <c r="P37" s="324"/>
      <c r="Q37" s="324"/>
      <c r="R37" s="324"/>
    </row>
    <row r="38" spans="2:18" s="340" customFormat="1">
      <c r="B38" s="364"/>
      <c r="G38" s="324"/>
      <c r="H38" s="339"/>
      <c r="I38" s="339"/>
      <c r="J38" s="324"/>
      <c r="K38" s="324"/>
      <c r="L38" s="324"/>
      <c r="M38" s="324"/>
      <c r="N38" s="324"/>
      <c r="O38" s="324"/>
      <c r="P38" s="324"/>
      <c r="Q38" s="324"/>
      <c r="R38" s="324"/>
    </row>
    <row r="39" spans="2:18" s="340" customFormat="1">
      <c r="B39" s="364"/>
      <c r="G39" s="324"/>
      <c r="H39" s="339"/>
      <c r="I39" s="339"/>
      <c r="J39" s="324"/>
      <c r="K39" s="324"/>
      <c r="L39" s="324"/>
      <c r="M39" s="324"/>
      <c r="N39" s="324"/>
      <c r="O39" s="324"/>
      <c r="P39" s="324"/>
      <c r="Q39" s="324"/>
      <c r="R39" s="324"/>
    </row>
    <row r="40" spans="2:18" s="340" customFormat="1">
      <c r="B40" s="364"/>
      <c r="G40" s="324"/>
      <c r="H40" s="339"/>
      <c r="I40" s="339"/>
      <c r="J40" s="324"/>
      <c r="K40" s="324"/>
      <c r="L40" s="324"/>
      <c r="M40" s="324"/>
      <c r="N40" s="324"/>
      <c r="O40" s="324"/>
      <c r="P40" s="324"/>
      <c r="Q40" s="324"/>
      <c r="R40" s="324"/>
    </row>
    <row r="41" spans="2:18" s="340" customFormat="1">
      <c r="B41" s="364"/>
      <c r="G41" s="324"/>
      <c r="H41" s="339"/>
      <c r="I41" s="339"/>
      <c r="J41" s="324"/>
      <c r="K41" s="324"/>
      <c r="L41" s="324"/>
      <c r="M41" s="324"/>
      <c r="N41" s="324"/>
      <c r="O41" s="324"/>
      <c r="P41" s="324"/>
      <c r="Q41" s="324"/>
      <c r="R41" s="324"/>
    </row>
    <row r="42" spans="2:18" s="340" customFormat="1">
      <c r="B42" s="364"/>
      <c r="G42" s="324"/>
      <c r="H42" s="339"/>
      <c r="I42" s="339"/>
      <c r="J42" s="324"/>
      <c r="K42" s="324"/>
      <c r="L42" s="324"/>
      <c r="M42" s="324"/>
      <c r="N42" s="324"/>
      <c r="O42" s="324"/>
      <c r="P42" s="324"/>
      <c r="Q42" s="324"/>
      <c r="R42" s="324"/>
    </row>
    <row r="43" spans="2:18" s="340" customFormat="1">
      <c r="B43" s="364"/>
      <c r="G43" s="324"/>
      <c r="H43" s="339"/>
      <c r="I43" s="339"/>
      <c r="J43" s="324"/>
      <c r="K43" s="324"/>
      <c r="L43" s="324"/>
      <c r="M43" s="324"/>
      <c r="N43" s="324"/>
      <c r="O43" s="324"/>
      <c r="P43" s="324"/>
      <c r="Q43" s="324"/>
      <c r="R43" s="324"/>
    </row>
    <row r="44" spans="2:18" s="340" customFormat="1">
      <c r="B44" s="364"/>
      <c r="G44" s="324"/>
      <c r="H44" s="339"/>
      <c r="I44" s="339"/>
      <c r="J44" s="324"/>
      <c r="K44" s="324"/>
      <c r="L44" s="324"/>
      <c r="M44" s="324"/>
      <c r="N44" s="324"/>
      <c r="O44" s="324"/>
      <c r="P44" s="324"/>
      <c r="Q44" s="324"/>
      <c r="R44" s="324"/>
    </row>
    <row r="45" spans="2:18" s="340" customFormat="1">
      <c r="B45" s="364"/>
      <c r="G45" s="324"/>
      <c r="H45" s="339"/>
      <c r="I45" s="339"/>
      <c r="J45" s="324"/>
      <c r="K45" s="324"/>
      <c r="L45" s="324"/>
      <c r="M45" s="324"/>
      <c r="N45" s="324"/>
      <c r="O45" s="324"/>
      <c r="P45" s="324"/>
      <c r="Q45" s="324"/>
      <c r="R45" s="324"/>
    </row>
    <row r="46" spans="2:18" s="340" customFormat="1">
      <c r="B46" s="364"/>
      <c r="G46" s="324"/>
      <c r="H46" s="339"/>
      <c r="I46" s="339"/>
      <c r="J46" s="324"/>
      <c r="K46" s="324"/>
      <c r="L46" s="324"/>
      <c r="M46" s="324"/>
      <c r="N46" s="324"/>
      <c r="O46" s="324"/>
      <c r="P46" s="324"/>
      <c r="Q46" s="324"/>
      <c r="R46" s="324"/>
    </row>
    <row r="47" spans="2:18" s="340" customFormat="1">
      <c r="B47" s="364"/>
      <c r="G47" s="324"/>
      <c r="H47" s="339"/>
      <c r="I47" s="339"/>
      <c r="J47" s="324"/>
      <c r="K47" s="324"/>
      <c r="L47" s="324"/>
      <c r="M47" s="324"/>
      <c r="N47" s="324"/>
      <c r="O47" s="324"/>
      <c r="P47" s="324"/>
      <c r="Q47" s="324"/>
      <c r="R47" s="324"/>
    </row>
    <row r="48" spans="2:18" s="340" customFormat="1">
      <c r="B48" s="364"/>
      <c r="G48" s="324"/>
      <c r="H48" s="339"/>
      <c r="I48" s="339"/>
      <c r="J48" s="324"/>
      <c r="K48" s="324"/>
      <c r="L48" s="324"/>
      <c r="M48" s="324"/>
      <c r="N48" s="324"/>
      <c r="O48" s="324"/>
      <c r="P48" s="324"/>
      <c r="Q48" s="324"/>
      <c r="R48" s="324"/>
    </row>
    <row r="49" spans="2:18" s="340" customFormat="1">
      <c r="B49" s="364"/>
      <c r="G49" s="324"/>
      <c r="H49" s="339"/>
      <c r="I49" s="339"/>
      <c r="J49" s="324"/>
      <c r="K49" s="324"/>
      <c r="L49" s="324"/>
      <c r="M49" s="324"/>
      <c r="N49" s="324"/>
      <c r="O49" s="324"/>
      <c r="P49" s="324"/>
      <c r="Q49" s="324"/>
      <c r="R49" s="324"/>
    </row>
    <row r="50" spans="2:18" s="340" customFormat="1">
      <c r="B50" s="364"/>
      <c r="G50" s="324"/>
      <c r="H50" s="339"/>
      <c r="I50" s="339"/>
      <c r="J50" s="324"/>
      <c r="K50" s="324"/>
      <c r="L50" s="324"/>
      <c r="M50" s="324"/>
      <c r="N50" s="324"/>
      <c r="O50" s="324"/>
      <c r="P50" s="324"/>
      <c r="Q50" s="324"/>
      <c r="R50" s="324"/>
    </row>
    <row r="51" spans="2:18" s="340" customFormat="1">
      <c r="B51" s="364"/>
      <c r="G51" s="324"/>
      <c r="H51" s="339"/>
      <c r="I51" s="339"/>
      <c r="J51" s="324"/>
      <c r="K51" s="324"/>
      <c r="L51" s="324"/>
      <c r="M51" s="324"/>
      <c r="N51" s="324"/>
      <c r="O51" s="324"/>
      <c r="P51" s="324"/>
      <c r="Q51" s="324"/>
      <c r="R51" s="324"/>
    </row>
    <row r="52" spans="2:18" s="340" customFormat="1">
      <c r="B52" s="364"/>
      <c r="G52" s="324"/>
      <c r="H52" s="339"/>
      <c r="I52" s="339"/>
      <c r="J52" s="324"/>
      <c r="K52" s="324"/>
      <c r="L52" s="324"/>
      <c r="M52" s="324"/>
      <c r="N52" s="324"/>
      <c r="O52" s="324"/>
      <c r="P52" s="324"/>
      <c r="Q52" s="324"/>
      <c r="R52" s="324"/>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802C19"/>
  </sheetPr>
  <dimension ref="A1:R64"/>
  <sheetViews>
    <sheetView topLeftCell="A11" workbookViewId="0">
      <selection activeCell="I11" sqref="I11:J14"/>
    </sheetView>
  </sheetViews>
  <sheetFormatPr defaultColWidth="8.81640625" defaultRowHeight="13"/>
  <cols>
    <col min="1" max="1" width="10.1796875" style="329" customWidth="1"/>
    <col min="2" max="2" width="58.1796875" style="329" customWidth="1"/>
    <col min="3" max="4" width="21.453125" style="329" customWidth="1"/>
    <col min="5" max="6" width="37.54296875" style="329" customWidth="1"/>
    <col min="7" max="7" width="21.453125" style="324" customWidth="1"/>
    <col min="8" max="18" width="8.81640625" style="324"/>
    <col min="19" max="16384" width="8.81640625" style="329"/>
  </cols>
  <sheetData>
    <row r="1" spans="1:18" s="137" customFormat="1" ht="26">
      <c r="A1" s="321" t="s">
        <v>165</v>
      </c>
      <c r="B1" s="322"/>
      <c r="C1" s="323"/>
      <c r="D1" s="322"/>
      <c r="E1" s="322"/>
      <c r="F1" s="322"/>
      <c r="G1" s="324"/>
      <c r="H1" s="324"/>
      <c r="I1" s="324"/>
      <c r="J1" s="324"/>
      <c r="K1" s="324"/>
      <c r="L1" s="324"/>
      <c r="M1" s="324"/>
      <c r="N1" s="324"/>
      <c r="O1" s="324"/>
      <c r="P1" s="324"/>
      <c r="Q1" s="324"/>
      <c r="R1" s="324"/>
    </row>
    <row r="2" spans="1:18" s="346" customFormat="1" ht="26">
      <c r="A2" s="321" t="s">
        <v>1913</v>
      </c>
      <c r="B2" s="322"/>
      <c r="C2" s="323"/>
      <c r="D2" s="322"/>
      <c r="E2" s="322"/>
      <c r="F2" s="322"/>
      <c r="G2" s="324"/>
      <c r="H2" s="324"/>
      <c r="I2" s="324"/>
      <c r="J2" s="324"/>
      <c r="K2" s="324"/>
      <c r="L2" s="324"/>
      <c r="M2" s="324"/>
      <c r="N2" s="324"/>
      <c r="O2" s="324"/>
      <c r="P2" s="324"/>
      <c r="Q2" s="324"/>
      <c r="R2" s="324"/>
    </row>
    <row r="3" spans="1:18" s="346" customFormat="1">
      <c r="A3" s="325" t="s">
        <v>456</v>
      </c>
      <c r="B3" s="322" t="s">
        <v>166</v>
      </c>
      <c r="C3" s="322"/>
      <c r="D3" s="322"/>
      <c r="E3" s="322"/>
      <c r="F3" s="322"/>
      <c r="G3" s="324"/>
      <c r="H3" s="324"/>
      <c r="I3" s="324"/>
      <c r="J3" s="324"/>
      <c r="K3" s="324"/>
      <c r="L3" s="324"/>
      <c r="M3" s="324"/>
      <c r="N3" s="324"/>
      <c r="O3" s="324"/>
      <c r="P3" s="324"/>
      <c r="Q3" s="324"/>
      <c r="R3" s="324"/>
    </row>
    <row r="4" spans="1:18" s="139" customFormat="1">
      <c r="A4" s="325" t="s">
        <v>1724</v>
      </c>
      <c r="B4" s="322" t="s">
        <v>1914</v>
      </c>
      <c r="C4" s="322"/>
      <c r="D4" s="322"/>
      <c r="E4" s="322"/>
      <c r="F4" s="322"/>
      <c r="G4" s="324"/>
      <c r="H4" s="324"/>
      <c r="I4" s="324"/>
      <c r="J4" s="324"/>
      <c r="K4" s="324"/>
      <c r="L4" s="324"/>
      <c r="M4" s="324"/>
      <c r="N4" s="324"/>
      <c r="O4" s="324"/>
      <c r="P4" s="324"/>
      <c r="Q4" s="324"/>
      <c r="R4" s="324"/>
    </row>
    <row r="5" spans="1:18" s="346" customFormat="1">
      <c r="A5" s="322" t="s">
        <v>457</v>
      </c>
      <c r="B5" s="322" t="s">
        <v>167</v>
      </c>
      <c r="C5" s="322"/>
      <c r="D5" s="322"/>
      <c r="E5" s="322"/>
      <c r="F5" s="322"/>
      <c r="G5" s="324"/>
      <c r="H5" s="324"/>
      <c r="I5" s="324"/>
      <c r="J5" s="324"/>
      <c r="K5" s="324"/>
      <c r="L5" s="324"/>
      <c r="M5" s="324"/>
      <c r="N5" s="324"/>
      <c r="O5" s="324"/>
      <c r="P5" s="324"/>
      <c r="Q5" s="324"/>
      <c r="R5" s="324"/>
    </row>
    <row r="6" spans="1:18" s="139" customFormat="1">
      <c r="A6" s="322" t="s">
        <v>1726</v>
      </c>
      <c r="B6" s="322" t="s">
        <v>1915</v>
      </c>
      <c r="C6" s="322"/>
      <c r="D6" s="322"/>
      <c r="E6" s="322"/>
      <c r="F6" s="322"/>
      <c r="G6" s="324"/>
      <c r="H6" s="324"/>
      <c r="I6" s="324"/>
      <c r="J6" s="324"/>
      <c r="K6" s="324"/>
      <c r="L6" s="324"/>
      <c r="M6" s="324"/>
      <c r="N6" s="324"/>
      <c r="O6" s="324"/>
      <c r="P6" s="324"/>
      <c r="Q6" s="324"/>
      <c r="R6" s="324"/>
    </row>
    <row r="7" spans="1:18" s="139" customFormat="1">
      <c r="A7" s="329"/>
      <c r="B7" s="329"/>
      <c r="C7" s="329"/>
      <c r="D7" s="329"/>
      <c r="E7" s="322"/>
      <c r="F7" s="322"/>
      <c r="G7" s="359" t="e">
        <f>CONCATENATE(#REF!," | ",#REF!," | ",#REF!)</f>
        <v>#REF!</v>
      </c>
      <c r="H7" s="324"/>
      <c r="I7" s="324"/>
      <c r="J7" s="324"/>
      <c r="K7" s="324"/>
      <c r="L7" s="324"/>
      <c r="M7" s="324"/>
      <c r="N7" s="324"/>
      <c r="O7" s="324"/>
      <c r="P7" s="324"/>
      <c r="Q7" s="324"/>
      <c r="R7" s="324"/>
    </row>
    <row r="8" spans="1:18" s="93"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325" customFormat="1">
      <c r="A9" s="330" t="s">
        <v>47</v>
      </c>
      <c r="B9" s="330"/>
      <c r="C9" s="331"/>
      <c r="D9" s="331"/>
      <c r="E9" s="331"/>
      <c r="F9" s="331"/>
      <c r="G9" s="331"/>
    </row>
    <row r="10" spans="1:18" s="148" customFormat="1" ht="52">
      <c r="A10" s="3" t="s">
        <v>168</v>
      </c>
      <c r="B10" s="3" t="s">
        <v>1916</v>
      </c>
      <c r="C10" s="3"/>
      <c r="D10" s="3"/>
      <c r="E10" s="336" t="s">
        <v>1577</v>
      </c>
      <c r="F10" s="336"/>
      <c r="G10" s="3"/>
      <c r="H10" s="325"/>
      <c r="I10" s="325"/>
      <c r="J10" s="325"/>
      <c r="K10" s="325"/>
      <c r="L10" s="325"/>
      <c r="M10" s="325"/>
      <c r="N10" s="325"/>
      <c r="O10" s="325"/>
      <c r="P10" s="325"/>
      <c r="Q10" s="325"/>
      <c r="R10" s="325"/>
    </row>
    <row r="11" spans="1:18" s="148" customFormat="1">
      <c r="A11" s="330" t="s">
        <v>54</v>
      </c>
      <c r="B11" s="330"/>
      <c r="C11" s="331"/>
      <c r="D11" s="331"/>
      <c r="E11" s="331"/>
      <c r="F11" s="331"/>
      <c r="G11" s="331"/>
      <c r="H11" s="325"/>
      <c r="I11" s="325"/>
      <c r="J11" s="325"/>
      <c r="K11" s="325"/>
      <c r="L11" s="325"/>
      <c r="M11" s="325"/>
      <c r="N11" s="325"/>
      <c r="O11" s="325"/>
      <c r="P11" s="325"/>
      <c r="Q11" s="325"/>
      <c r="R11" s="325"/>
    </row>
    <row r="12" spans="1:18" s="93" customFormat="1" ht="39">
      <c r="A12" s="3" t="s">
        <v>169</v>
      </c>
      <c r="B12" s="3" t="s">
        <v>1917</v>
      </c>
      <c r="C12" s="3"/>
      <c r="D12" s="3"/>
      <c r="E12" s="336" t="s">
        <v>1578</v>
      </c>
      <c r="F12" s="336"/>
      <c r="G12" s="3"/>
      <c r="H12" s="325"/>
      <c r="I12" s="325"/>
      <c r="J12" s="325"/>
      <c r="K12" s="325"/>
      <c r="L12" s="325"/>
      <c r="M12" s="325"/>
      <c r="N12" s="325"/>
      <c r="O12" s="325"/>
      <c r="P12" s="325"/>
      <c r="Q12" s="325"/>
      <c r="R12" s="325"/>
    </row>
    <row r="13" spans="1:18" s="325" customFormat="1" ht="39">
      <c r="A13" s="3" t="s">
        <v>170</v>
      </c>
      <c r="B13" s="3" t="s">
        <v>1918</v>
      </c>
      <c r="C13" s="3"/>
      <c r="D13" s="3"/>
      <c r="E13" s="336" t="s">
        <v>1579</v>
      </c>
      <c r="F13" s="336"/>
      <c r="G13" s="3"/>
    </row>
    <row r="14" spans="1:18" s="325" customFormat="1" ht="65">
      <c r="A14" s="3" t="s">
        <v>171</v>
      </c>
      <c r="B14" s="3" t="s">
        <v>1919</v>
      </c>
      <c r="C14" s="336" t="s">
        <v>1920</v>
      </c>
      <c r="D14" s="3"/>
      <c r="E14" s="336" t="s">
        <v>172</v>
      </c>
      <c r="F14" s="336"/>
      <c r="G14" s="3"/>
    </row>
    <row r="15" spans="1:18" s="148" customFormat="1" ht="39">
      <c r="A15" s="3" t="s">
        <v>173</v>
      </c>
      <c r="B15" s="3" t="s">
        <v>1921</v>
      </c>
      <c r="C15" s="3"/>
      <c r="D15" s="3"/>
      <c r="E15" s="336" t="s">
        <v>1580</v>
      </c>
      <c r="F15" s="336"/>
      <c r="G15" s="3"/>
      <c r="H15" s="325"/>
      <c r="I15" s="325"/>
      <c r="J15" s="325"/>
      <c r="K15" s="325"/>
      <c r="L15" s="325"/>
      <c r="M15" s="325"/>
      <c r="N15" s="325"/>
      <c r="O15" s="325"/>
      <c r="P15" s="325"/>
      <c r="Q15" s="325"/>
      <c r="R15" s="325"/>
    </row>
    <row r="16" spans="1:18" s="148" customFormat="1">
      <c r="A16" s="330" t="s">
        <v>56</v>
      </c>
      <c r="B16" s="330"/>
      <c r="C16" s="331"/>
      <c r="D16" s="331"/>
      <c r="E16" s="331"/>
      <c r="F16" s="331"/>
      <c r="G16" s="331"/>
      <c r="H16" s="325"/>
      <c r="I16" s="325"/>
      <c r="J16" s="325"/>
      <c r="K16" s="325"/>
      <c r="L16" s="325"/>
      <c r="M16" s="325"/>
      <c r="N16" s="325"/>
      <c r="O16" s="325"/>
      <c r="P16" s="325"/>
      <c r="Q16" s="325"/>
      <c r="R16" s="325"/>
    </row>
    <row r="17" spans="1:18" s="93" customFormat="1" ht="38.5" customHeight="1">
      <c r="A17" s="3" t="s">
        <v>174</v>
      </c>
      <c r="B17" s="3" t="s">
        <v>1922</v>
      </c>
      <c r="C17" s="336" t="s">
        <v>1923</v>
      </c>
      <c r="D17" s="3"/>
      <c r="E17" s="336" t="s">
        <v>1581</v>
      </c>
      <c r="F17" s="336"/>
      <c r="G17" s="3"/>
      <c r="H17" s="325"/>
      <c r="I17" s="325"/>
      <c r="J17" s="325"/>
      <c r="K17" s="325"/>
      <c r="L17" s="325"/>
      <c r="M17" s="325"/>
      <c r="N17" s="325"/>
      <c r="O17" s="325"/>
      <c r="P17" s="325"/>
      <c r="Q17" s="325"/>
      <c r="R17" s="325"/>
    </row>
    <row r="18" spans="1:18" s="339" customFormat="1">
      <c r="G18" s="324"/>
      <c r="H18" s="324"/>
      <c r="I18" s="324"/>
      <c r="J18" s="324"/>
      <c r="K18" s="324"/>
      <c r="L18" s="324"/>
      <c r="M18" s="324"/>
      <c r="N18" s="324"/>
      <c r="O18" s="324"/>
      <c r="P18" s="324"/>
      <c r="Q18" s="324"/>
      <c r="R18" s="324"/>
    </row>
    <row r="19" spans="1:18" s="339" customFormat="1">
      <c r="G19" s="324"/>
      <c r="H19" s="324"/>
      <c r="I19" s="324"/>
      <c r="J19" s="324"/>
      <c r="K19" s="324"/>
      <c r="L19" s="324"/>
      <c r="M19" s="324"/>
      <c r="N19" s="324"/>
      <c r="O19" s="324"/>
      <c r="P19" s="324"/>
      <c r="Q19" s="324"/>
      <c r="R19" s="324"/>
    </row>
    <row r="20" spans="1:18" s="339" customFormat="1">
      <c r="G20" s="324"/>
      <c r="H20" s="324"/>
      <c r="I20" s="324"/>
      <c r="J20" s="324"/>
      <c r="K20" s="324"/>
      <c r="L20" s="324"/>
      <c r="M20" s="324"/>
      <c r="N20" s="324"/>
      <c r="O20" s="324"/>
      <c r="P20" s="324"/>
      <c r="Q20" s="324"/>
      <c r="R20" s="324"/>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39" customFormat="1">
      <c r="G38" s="324"/>
      <c r="H38" s="324"/>
      <c r="I38" s="324"/>
      <c r="J38" s="324"/>
      <c r="K38" s="324"/>
      <c r="L38" s="324"/>
      <c r="M38" s="324"/>
      <c r="N38" s="324"/>
      <c r="O38" s="324"/>
      <c r="P38" s="324"/>
      <c r="Q38" s="324"/>
      <c r="R38" s="324"/>
    </row>
    <row r="39" spans="7:18" s="339" customFormat="1">
      <c r="G39" s="324"/>
      <c r="H39" s="324"/>
      <c r="I39" s="324"/>
      <c r="J39" s="324"/>
      <c r="K39" s="324"/>
      <c r="L39" s="324"/>
      <c r="M39" s="324"/>
      <c r="N39" s="324"/>
      <c r="O39" s="324"/>
      <c r="P39" s="324"/>
      <c r="Q39" s="324"/>
      <c r="R39" s="324"/>
    </row>
    <row r="40" spans="7:18" s="339" customFormat="1">
      <c r="G40" s="324"/>
      <c r="H40" s="324"/>
      <c r="I40" s="324"/>
      <c r="J40" s="324"/>
      <c r="K40" s="324"/>
      <c r="L40" s="324"/>
      <c r="M40" s="324"/>
      <c r="N40" s="324"/>
      <c r="O40" s="324"/>
      <c r="P40" s="324"/>
      <c r="Q40" s="324"/>
      <c r="R40" s="324"/>
    </row>
    <row r="41" spans="7:18" s="339" customFormat="1">
      <c r="G41" s="324"/>
      <c r="H41" s="324"/>
      <c r="I41" s="324"/>
      <c r="J41" s="324"/>
      <c r="K41" s="324"/>
      <c r="L41" s="324"/>
      <c r="M41" s="324"/>
      <c r="N41" s="324"/>
      <c r="O41" s="324"/>
      <c r="P41" s="324"/>
      <c r="Q41" s="324"/>
      <c r="R41" s="324"/>
    </row>
    <row r="42" spans="7:18" s="339" customFormat="1">
      <c r="G42" s="324"/>
      <c r="H42" s="324"/>
      <c r="I42" s="324"/>
      <c r="J42" s="324"/>
      <c r="K42" s="324"/>
      <c r="L42" s="324"/>
      <c r="M42" s="324"/>
      <c r="N42" s="324"/>
      <c r="O42" s="324"/>
      <c r="P42" s="324"/>
      <c r="Q42" s="324"/>
      <c r="R42" s="324"/>
    </row>
    <row r="43" spans="7:18" s="339"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row r="59" spans="7:18" s="340" customFormat="1">
      <c r="G59" s="324"/>
      <c r="H59" s="324"/>
      <c r="I59" s="324"/>
      <c r="J59" s="324"/>
      <c r="K59" s="324"/>
      <c r="L59" s="324"/>
      <c r="M59" s="324"/>
      <c r="N59" s="324"/>
      <c r="O59" s="324"/>
      <c r="P59" s="324"/>
      <c r="Q59" s="324"/>
      <c r="R59" s="324"/>
    </row>
    <row r="60" spans="7:18" s="340" customFormat="1">
      <c r="G60" s="324"/>
      <c r="H60" s="324"/>
      <c r="I60" s="324"/>
      <c r="J60" s="324"/>
      <c r="K60" s="324"/>
      <c r="L60" s="324"/>
      <c r="M60" s="324"/>
      <c r="N60" s="324"/>
      <c r="O60" s="324"/>
      <c r="P60" s="324"/>
      <c r="Q60" s="324"/>
      <c r="R60" s="324"/>
    </row>
    <row r="61" spans="7:18" s="340" customFormat="1">
      <c r="G61" s="324"/>
      <c r="H61" s="324"/>
      <c r="I61" s="324"/>
      <c r="J61" s="324"/>
      <c r="K61" s="324"/>
      <c r="L61" s="324"/>
      <c r="M61" s="324"/>
      <c r="N61" s="324"/>
      <c r="O61" s="324"/>
      <c r="P61" s="324"/>
      <c r="Q61" s="324"/>
      <c r="R61" s="324"/>
    </row>
    <row r="62" spans="7:18" s="340" customFormat="1">
      <c r="G62" s="324"/>
      <c r="H62" s="324"/>
      <c r="I62" s="324"/>
      <c r="J62" s="324"/>
      <c r="K62" s="324"/>
      <c r="L62" s="324"/>
      <c r="M62" s="324"/>
      <c r="N62" s="324"/>
      <c r="O62" s="324"/>
      <c r="P62" s="324"/>
      <c r="Q62" s="324"/>
      <c r="R62" s="324"/>
    </row>
    <row r="63" spans="7:18" s="340" customFormat="1">
      <c r="G63" s="324"/>
      <c r="H63" s="324"/>
      <c r="I63" s="324"/>
      <c r="J63" s="324"/>
      <c r="K63" s="324"/>
      <c r="L63" s="324"/>
      <c r="M63" s="324"/>
      <c r="N63" s="324"/>
      <c r="O63" s="324"/>
      <c r="P63" s="324"/>
      <c r="Q63" s="324"/>
      <c r="R63" s="324"/>
    </row>
    <row r="64" spans="7:18" s="340" customFormat="1">
      <c r="G64" s="324"/>
      <c r="H64" s="324"/>
      <c r="I64" s="324"/>
      <c r="J64" s="324"/>
      <c r="K64" s="324"/>
      <c r="L64" s="324"/>
      <c r="M64" s="324"/>
      <c r="N64" s="324"/>
      <c r="O64" s="324"/>
      <c r="P64" s="324"/>
      <c r="Q64" s="324"/>
      <c r="R64" s="324"/>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59.1796875" style="362" customWidth="1"/>
    <col min="3" max="4" width="21.453125" style="329" customWidth="1"/>
    <col min="5" max="5" width="41.81640625" style="325" customWidth="1"/>
    <col min="6" max="6" width="28.453125" style="325" customWidth="1"/>
    <col min="7" max="7" width="21.453125" style="325" customWidth="1"/>
    <col min="8" max="9" width="22.1796875" style="322" customWidth="1"/>
    <col min="10" max="10" width="8.81640625" style="322"/>
    <col min="11" max="18" width="8.81640625" style="324"/>
    <col min="19" max="16384" width="8.81640625" style="329"/>
  </cols>
  <sheetData>
    <row r="1" spans="1:18" s="139" customFormat="1" ht="26">
      <c r="A1" s="321" t="s">
        <v>264</v>
      </c>
      <c r="B1" s="325"/>
      <c r="C1" s="323"/>
      <c r="D1" s="322"/>
      <c r="E1" s="325"/>
      <c r="F1" s="325"/>
      <c r="G1" s="325"/>
      <c r="H1" s="322"/>
      <c r="I1" s="322"/>
      <c r="J1" s="322"/>
      <c r="K1" s="324"/>
      <c r="L1" s="324"/>
      <c r="M1" s="324"/>
      <c r="N1" s="324"/>
      <c r="O1" s="324"/>
      <c r="P1" s="324"/>
      <c r="Q1" s="324"/>
      <c r="R1" s="324"/>
    </row>
    <row r="2" spans="1:18" s="137" customFormat="1" ht="26">
      <c r="A2" s="321" t="s">
        <v>1924</v>
      </c>
      <c r="B2" s="325"/>
      <c r="C2" s="323"/>
      <c r="D2" s="322"/>
      <c r="E2" s="325"/>
      <c r="F2" s="325"/>
      <c r="G2" s="325"/>
      <c r="H2" s="322"/>
      <c r="I2" s="322"/>
      <c r="J2" s="322"/>
      <c r="K2" s="324"/>
      <c r="L2" s="324"/>
      <c r="M2" s="324"/>
      <c r="N2" s="324"/>
      <c r="O2" s="324"/>
      <c r="P2" s="324"/>
      <c r="Q2" s="324"/>
      <c r="R2" s="324"/>
    </row>
    <row r="3" spans="1:18" s="346" customFormat="1">
      <c r="A3" s="325" t="s">
        <v>456</v>
      </c>
      <c r="B3" s="325" t="s">
        <v>265</v>
      </c>
      <c r="C3" s="322"/>
      <c r="D3" s="322"/>
      <c r="E3" s="325"/>
      <c r="F3" s="325"/>
      <c r="G3" s="325"/>
      <c r="H3" s="322"/>
      <c r="I3" s="322"/>
      <c r="J3" s="322"/>
      <c r="K3" s="324"/>
      <c r="L3" s="324"/>
      <c r="M3" s="324"/>
      <c r="N3" s="324"/>
      <c r="O3" s="324"/>
      <c r="P3" s="324"/>
      <c r="Q3" s="324"/>
      <c r="R3" s="324"/>
    </row>
    <row r="4" spans="1:18" s="139" customFormat="1">
      <c r="A4" s="325" t="s">
        <v>1724</v>
      </c>
      <c r="B4" s="325" t="s">
        <v>1925</v>
      </c>
      <c r="C4" s="322"/>
      <c r="D4" s="322"/>
      <c r="E4" s="325"/>
      <c r="F4" s="325"/>
      <c r="G4" s="325"/>
      <c r="H4" s="322"/>
      <c r="I4" s="322"/>
      <c r="J4" s="322"/>
      <c r="K4" s="324"/>
      <c r="L4" s="324"/>
      <c r="M4" s="324"/>
      <c r="N4" s="324"/>
      <c r="O4" s="324"/>
      <c r="P4" s="324"/>
      <c r="Q4" s="324"/>
      <c r="R4" s="324"/>
    </row>
    <row r="5" spans="1:18" s="139" customFormat="1" ht="26">
      <c r="A5" s="322" t="s">
        <v>457</v>
      </c>
      <c r="B5" s="325" t="s">
        <v>266</v>
      </c>
      <c r="C5" s="322"/>
      <c r="D5" s="322"/>
      <c r="E5" s="325"/>
      <c r="F5" s="325"/>
      <c r="G5" s="325"/>
      <c r="H5" s="322"/>
      <c r="I5" s="322"/>
      <c r="J5" s="322"/>
      <c r="K5" s="324"/>
      <c r="L5" s="324"/>
      <c r="M5" s="324"/>
      <c r="N5" s="324"/>
      <c r="O5" s="324"/>
      <c r="P5" s="324"/>
      <c r="Q5" s="324"/>
      <c r="R5" s="324"/>
    </row>
    <row r="6" spans="1:18" s="139" customFormat="1">
      <c r="A6" s="322" t="s">
        <v>1726</v>
      </c>
      <c r="B6" s="325" t="s">
        <v>1926</v>
      </c>
      <c r="C6" s="322"/>
      <c r="D6" s="322"/>
      <c r="E6" s="325"/>
      <c r="F6" s="325"/>
      <c r="G6" s="325"/>
      <c r="H6" s="322"/>
      <c r="I6" s="322"/>
      <c r="J6" s="322"/>
      <c r="K6" s="324"/>
      <c r="L6" s="324"/>
      <c r="M6" s="324"/>
      <c r="N6" s="324"/>
      <c r="O6" s="324"/>
      <c r="P6" s="324"/>
      <c r="Q6" s="324"/>
      <c r="R6" s="324"/>
    </row>
    <row r="7" spans="1:18" s="137" customFormat="1">
      <c r="A7" s="329"/>
      <c r="B7" s="362"/>
      <c r="C7" s="329"/>
      <c r="D7" s="329"/>
      <c r="E7" s="325"/>
      <c r="F7" s="325"/>
      <c r="G7" s="325" t="e">
        <f>#REF!</f>
        <v>#REF!</v>
      </c>
      <c r="H7" s="322"/>
      <c r="I7" s="322"/>
      <c r="J7" s="322"/>
      <c r="K7" s="324"/>
      <c r="L7" s="324"/>
      <c r="M7" s="324"/>
      <c r="N7" s="324"/>
      <c r="O7" s="324"/>
      <c r="P7" s="324"/>
      <c r="Q7" s="324"/>
      <c r="R7" s="324"/>
    </row>
    <row r="8" spans="1:18" s="346" customFormat="1">
      <c r="A8" s="363"/>
      <c r="B8" s="363"/>
      <c r="C8" s="363" t="s">
        <v>96</v>
      </c>
      <c r="D8" s="363" t="s">
        <v>562</v>
      </c>
      <c r="E8" s="363" t="s">
        <v>85</v>
      </c>
      <c r="F8" s="363" t="s">
        <v>1664</v>
      </c>
      <c r="G8" s="363" t="s">
        <v>1692</v>
      </c>
      <c r="H8" s="325"/>
      <c r="I8" s="322"/>
      <c r="J8" s="322"/>
      <c r="K8" s="322"/>
      <c r="L8" s="325"/>
      <c r="M8" s="325"/>
      <c r="N8" s="325"/>
      <c r="O8" s="325"/>
      <c r="P8" s="325"/>
      <c r="Q8" s="325"/>
      <c r="R8" s="325"/>
    </row>
    <row r="9" spans="1:18" s="139" customFormat="1">
      <c r="A9" s="342" t="s">
        <v>47</v>
      </c>
      <c r="B9" s="342"/>
      <c r="C9" s="343"/>
      <c r="D9" s="343"/>
      <c r="E9" s="331"/>
      <c r="F9" s="331"/>
      <c r="G9" s="331"/>
      <c r="H9" s="325"/>
      <c r="I9" s="322"/>
      <c r="J9" s="322"/>
      <c r="K9" s="324"/>
      <c r="L9" s="345"/>
      <c r="M9" s="345"/>
      <c r="N9" s="345"/>
      <c r="O9" s="345"/>
      <c r="P9" s="345"/>
      <c r="Q9" s="345"/>
      <c r="R9" s="345"/>
    </row>
    <row r="10" spans="1:18" s="139" customFormat="1" ht="39">
      <c r="A10" s="22" t="s">
        <v>267</v>
      </c>
      <c r="B10" s="22" t="s">
        <v>1927</v>
      </c>
      <c r="C10" s="22"/>
      <c r="D10" s="22"/>
      <c r="E10" s="336" t="s">
        <v>1619</v>
      </c>
      <c r="F10" s="336"/>
      <c r="G10" s="3"/>
      <c r="H10" s="325"/>
      <c r="I10" s="322"/>
      <c r="J10" s="322"/>
      <c r="K10" s="324"/>
      <c r="L10" s="345"/>
      <c r="M10" s="345"/>
      <c r="N10" s="345"/>
      <c r="O10" s="345"/>
      <c r="P10" s="345"/>
      <c r="Q10" s="345"/>
      <c r="R10" s="345"/>
    </row>
    <row r="11" spans="1:18" s="137" customFormat="1">
      <c r="A11" s="342" t="s">
        <v>54</v>
      </c>
      <c r="B11" s="342"/>
      <c r="C11" s="343"/>
      <c r="D11" s="343"/>
      <c r="E11" s="331" t="s">
        <v>1833</v>
      </c>
      <c r="F11" s="331"/>
      <c r="G11" s="331"/>
      <c r="H11" s="325"/>
      <c r="I11" s="322"/>
      <c r="J11" s="322"/>
      <c r="K11" s="324"/>
      <c r="L11" s="345"/>
      <c r="M11" s="345"/>
      <c r="N11" s="345"/>
      <c r="O11" s="345"/>
      <c r="P11" s="345"/>
      <c r="Q11" s="345"/>
      <c r="R11" s="345"/>
    </row>
    <row r="12" spans="1:18" s="346" customFormat="1" ht="37.5" customHeight="1">
      <c r="A12" s="22" t="s">
        <v>268</v>
      </c>
      <c r="B12" s="22" t="s">
        <v>1928</v>
      </c>
      <c r="C12" s="22"/>
      <c r="D12" s="22"/>
      <c r="E12" s="336" t="s">
        <v>269</v>
      </c>
      <c r="F12" s="336"/>
      <c r="G12" s="3"/>
      <c r="H12" s="325"/>
      <c r="I12" s="322"/>
      <c r="J12" s="322"/>
      <c r="K12" s="324"/>
      <c r="L12" s="345"/>
      <c r="M12" s="345"/>
      <c r="N12" s="345"/>
      <c r="O12" s="345"/>
      <c r="P12" s="345"/>
      <c r="Q12" s="345"/>
      <c r="R12" s="345"/>
    </row>
    <row r="13" spans="1:18" s="139" customFormat="1" ht="58.5" customHeight="1">
      <c r="A13" s="22" t="s">
        <v>270</v>
      </c>
      <c r="B13" s="22" t="s">
        <v>1929</v>
      </c>
      <c r="C13" s="22"/>
      <c r="D13" s="22"/>
      <c r="E13" s="336" t="s">
        <v>1620</v>
      </c>
      <c r="F13" s="336"/>
      <c r="G13" s="3"/>
      <c r="H13" s="325"/>
      <c r="I13" s="322"/>
      <c r="J13" s="322"/>
      <c r="K13" s="324"/>
      <c r="L13" s="345"/>
      <c r="M13" s="345"/>
      <c r="N13" s="345"/>
      <c r="O13" s="345"/>
      <c r="P13" s="345"/>
      <c r="Q13" s="345"/>
      <c r="R13" s="345"/>
    </row>
    <row r="14" spans="1:18" s="139" customFormat="1">
      <c r="A14" s="342" t="s">
        <v>56</v>
      </c>
      <c r="B14" s="342"/>
      <c r="C14" s="343"/>
      <c r="D14" s="343"/>
      <c r="E14" s="331" t="s">
        <v>1833</v>
      </c>
      <c r="F14" s="331"/>
      <c r="G14" s="331"/>
      <c r="H14" s="325"/>
      <c r="I14" s="322"/>
      <c r="J14" s="322"/>
      <c r="K14" s="324"/>
      <c r="L14" s="345"/>
      <c r="M14" s="345"/>
      <c r="N14" s="345"/>
      <c r="O14" s="345"/>
      <c r="P14" s="345"/>
      <c r="Q14" s="345"/>
      <c r="R14" s="345"/>
    </row>
    <row r="15" spans="1:18" s="137" customFormat="1" ht="39">
      <c r="A15" s="22" t="s">
        <v>271</v>
      </c>
      <c r="B15" s="22" t="s">
        <v>1930</v>
      </c>
      <c r="C15" s="22"/>
      <c r="D15" s="22"/>
      <c r="E15" s="336" t="s">
        <v>272</v>
      </c>
      <c r="F15" s="336"/>
      <c r="G15" s="3"/>
      <c r="H15" s="325"/>
      <c r="I15" s="322"/>
      <c r="J15" s="322"/>
      <c r="K15" s="324"/>
      <c r="L15" s="345"/>
      <c r="M15" s="345"/>
      <c r="N15" s="345"/>
      <c r="O15" s="345"/>
      <c r="P15" s="345"/>
      <c r="Q15" s="345"/>
      <c r="R15" s="345"/>
    </row>
    <row r="16" spans="1:18" s="346" customFormat="1" ht="52">
      <c r="A16" s="22" t="s">
        <v>273</v>
      </c>
      <c r="B16" s="22" t="s">
        <v>1931</v>
      </c>
      <c r="C16" s="22"/>
      <c r="D16" s="22"/>
      <c r="E16" s="336" t="s">
        <v>1621</v>
      </c>
      <c r="F16" s="336"/>
      <c r="G16" s="3"/>
      <c r="H16" s="325"/>
      <c r="I16" s="322"/>
      <c r="J16" s="322"/>
      <c r="K16" s="324"/>
      <c r="L16" s="345"/>
      <c r="M16" s="345"/>
      <c r="N16" s="345"/>
      <c r="O16" s="345"/>
      <c r="P16" s="345"/>
      <c r="Q16" s="345"/>
      <c r="R16" s="345"/>
    </row>
    <row r="17" spans="1:18" s="139" customFormat="1" ht="39">
      <c r="A17" s="22" t="s">
        <v>274</v>
      </c>
      <c r="B17" s="22" t="s">
        <v>1932</v>
      </c>
      <c r="C17" s="22"/>
      <c r="D17" s="22"/>
      <c r="E17" s="336" t="s">
        <v>275</v>
      </c>
      <c r="F17" s="336"/>
      <c r="G17" s="3"/>
      <c r="H17" s="325"/>
      <c r="I17" s="322"/>
      <c r="J17" s="322"/>
      <c r="K17" s="324"/>
      <c r="L17" s="345"/>
      <c r="M17" s="345"/>
      <c r="N17" s="345"/>
      <c r="O17" s="345"/>
      <c r="P17" s="345"/>
      <c r="Q17" s="345"/>
      <c r="R17" s="345"/>
    </row>
    <row r="18" spans="1:18" s="139" customFormat="1" ht="39">
      <c r="A18" s="22" t="s">
        <v>276</v>
      </c>
      <c r="B18" s="22" t="s">
        <v>1933</v>
      </c>
      <c r="C18" s="22"/>
      <c r="D18" s="22"/>
      <c r="E18" s="336" t="s">
        <v>277</v>
      </c>
      <c r="F18" s="336"/>
      <c r="G18" s="3"/>
      <c r="H18" s="325"/>
      <c r="I18" s="322"/>
      <c r="J18" s="322"/>
      <c r="K18" s="324"/>
      <c r="L18" s="345"/>
      <c r="M18" s="345"/>
      <c r="N18" s="345"/>
      <c r="O18" s="345"/>
      <c r="P18" s="345"/>
      <c r="Q18" s="345"/>
      <c r="R18" s="345"/>
    </row>
    <row r="19" spans="1:18" s="137" customFormat="1" ht="39">
      <c r="A19" s="22" t="s">
        <v>278</v>
      </c>
      <c r="B19" s="22" t="s">
        <v>1934</v>
      </c>
      <c r="C19" s="22"/>
      <c r="D19" s="22"/>
      <c r="E19" s="336" t="s">
        <v>279</v>
      </c>
      <c r="F19" s="336"/>
      <c r="G19" s="3"/>
      <c r="H19" s="325"/>
      <c r="I19" s="322"/>
      <c r="J19" s="322"/>
      <c r="K19" s="324"/>
      <c r="L19" s="345"/>
      <c r="M19" s="345"/>
      <c r="N19" s="345"/>
      <c r="O19" s="345"/>
      <c r="P19" s="345"/>
      <c r="Q19" s="345"/>
      <c r="R19" s="345"/>
    </row>
    <row r="20" spans="1:18" s="346" customFormat="1">
      <c r="E20" s="325"/>
      <c r="F20" s="325"/>
      <c r="G20" s="325"/>
      <c r="H20" s="325"/>
      <c r="I20" s="322"/>
      <c r="J20" s="322"/>
      <c r="K20" s="324"/>
      <c r="L20" s="345"/>
      <c r="M20" s="345"/>
      <c r="N20" s="345"/>
      <c r="O20" s="345"/>
      <c r="P20" s="345"/>
      <c r="Q20" s="345"/>
      <c r="R20" s="345"/>
    </row>
    <row r="21" spans="1:18" s="339" customFormat="1">
      <c r="B21" s="346"/>
      <c r="E21" s="325"/>
      <c r="F21" s="325"/>
      <c r="G21" s="325"/>
      <c r="H21" s="322"/>
      <c r="I21" s="322"/>
      <c r="J21" s="322"/>
      <c r="K21" s="324"/>
      <c r="L21" s="324"/>
      <c r="M21" s="324"/>
      <c r="N21" s="324"/>
      <c r="O21" s="324"/>
      <c r="P21" s="324"/>
      <c r="Q21" s="324"/>
      <c r="R21" s="324"/>
    </row>
    <row r="22" spans="1:18" s="339" customFormat="1">
      <c r="B22" s="346"/>
      <c r="E22" s="325"/>
      <c r="F22" s="325"/>
      <c r="G22" s="325"/>
      <c r="H22" s="322"/>
      <c r="I22" s="322"/>
      <c r="J22" s="322"/>
      <c r="K22" s="324"/>
      <c r="L22" s="324"/>
      <c r="M22" s="324"/>
      <c r="N22" s="324"/>
      <c r="O22" s="324"/>
      <c r="P22" s="324"/>
      <c r="Q22" s="324"/>
      <c r="R22" s="324"/>
    </row>
    <row r="23" spans="1:18" s="339" customFormat="1">
      <c r="B23" s="346"/>
      <c r="E23" s="325"/>
      <c r="F23" s="325"/>
      <c r="G23" s="325"/>
      <c r="H23" s="322"/>
      <c r="I23" s="322"/>
      <c r="J23" s="322"/>
      <c r="K23" s="324"/>
      <c r="L23" s="324"/>
      <c r="M23" s="324"/>
      <c r="N23" s="324"/>
      <c r="O23" s="324"/>
      <c r="P23" s="324"/>
      <c r="Q23" s="324"/>
      <c r="R23" s="324"/>
    </row>
    <row r="24" spans="1:18" s="339" customFormat="1">
      <c r="B24" s="346"/>
      <c r="E24" s="325"/>
      <c r="F24" s="325"/>
      <c r="G24" s="325"/>
      <c r="H24" s="322"/>
      <c r="I24" s="322"/>
      <c r="J24" s="322"/>
      <c r="K24" s="324"/>
      <c r="L24" s="324"/>
      <c r="M24" s="324"/>
      <c r="N24" s="324"/>
      <c r="O24" s="324"/>
      <c r="P24" s="324"/>
      <c r="Q24" s="324"/>
      <c r="R24" s="324"/>
    </row>
    <row r="25" spans="1:18" s="339" customFormat="1">
      <c r="B25" s="346"/>
      <c r="E25" s="325"/>
      <c r="F25" s="325"/>
      <c r="G25" s="325"/>
      <c r="H25" s="322"/>
      <c r="I25" s="322"/>
      <c r="J25" s="322"/>
      <c r="K25" s="324"/>
      <c r="L25" s="324"/>
      <c r="M25" s="324"/>
      <c r="N25" s="324"/>
      <c r="O25" s="324"/>
      <c r="P25" s="324"/>
      <c r="Q25" s="324"/>
      <c r="R25" s="324"/>
    </row>
    <row r="26" spans="1:18" s="339" customFormat="1">
      <c r="B26" s="346"/>
      <c r="E26" s="325"/>
      <c r="F26" s="325"/>
      <c r="G26" s="325"/>
      <c r="H26" s="322"/>
      <c r="I26" s="322"/>
      <c r="J26" s="322"/>
      <c r="K26" s="324"/>
      <c r="L26" s="324"/>
      <c r="M26" s="324"/>
      <c r="N26" s="324"/>
      <c r="O26" s="324"/>
      <c r="P26" s="324"/>
      <c r="Q26" s="324"/>
      <c r="R26" s="324"/>
    </row>
    <row r="27" spans="1:18" s="340" customFormat="1">
      <c r="B27" s="364"/>
      <c r="E27" s="325"/>
      <c r="F27" s="325"/>
      <c r="G27" s="325"/>
      <c r="H27" s="322"/>
      <c r="J27" s="322"/>
      <c r="K27" s="324"/>
      <c r="L27" s="324"/>
      <c r="M27" s="324"/>
      <c r="N27" s="324"/>
      <c r="O27" s="324"/>
      <c r="P27" s="324"/>
      <c r="Q27" s="324"/>
      <c r="R27" s="324"/>
    </row>
    <row r="28" spans="1:18" s="340" customFormat="1">
      <c r="B28" s="364"/>
      <c r="E28" s="325"/>
      <c r="F28" s="325"/>
      <c r="G28" s="325"/>
      <c r="H28" s="322"/>
      <c r="I28" s="322"/>
      <c r="J28" s="322"/>
      <c r="K28" s="324"/>
      <c r="L28" s="324"/>
      <c r="M28" s="324"/>
      <c r="N28" s="324"/>
      <c r="O28" s="324"/>
      <c r="P28" s="324"/>
      <c r="Q28" s="324"/>
      <c r="R28" s="324"/>
    </row>
    <row r="29" spans="1:18" s="340" customFormat="1">
      <c r="B29" s="364"/>
      <c r="E29" s="325"/>
      <c r="F29" s="325"/>
      <c r="G29" s="325"/>
      <c r="H29" s="322"/>
      <c r="I29" s="322"/>
      <c r="J29" s="322"/>
      <c r="K29" s="324"/>
      <c r="L29" s="324"/>
      <c r="M29" s="324"/>
      <c r="N29" s="324"/>
      <c r="O29" s="324"/>
      <c r="P29" s="324"/>
      <c r="Q29" s="324"/>
      <c r="R29" s="324"/>
    </row>
    <row r="30" spans="1:18" s="340" customFormat="1">
      <c r="B30" s="364"/>
      <c r="E30" s="325"/>
      <c r="F30" s="325"/>
      <c r="G30" s="325"/>
      <c r="H30" s="322"/>
      <c r="I30" s="322"/>
      <c r="J30" s="322"/>
      <c r="K30" s="324"/>
      <c r="L30" s="324"/>
      <c r="M30" s="324"/>
      <c r="N30" s="324"/>
      <c r="O30" s="324"/>
      <c r="P30" s="324"/>
      <c r="Q30" s="324"/>
      <c r="R30" s="324"/>
    </row>
    <row r="31" spans="1:18" s="340" customFormat="1">
      <c r="B31" s="364"/>
      <c r="E31" s="325"/>
      <c r="F31" s="325"/>
      <c r="G31" s="325"/>
      <c r="H31" s="322"/>
      <c r="I31" s="322"/>
      <c r="J31" s="322"/>
      <c r="K31" s="324"/>
      <c r="L31" s="324"/>
      <c r="M31" s="324"/>
      <c r="N31" s="324"/>
      <c r="O31" s="324"/>
      <c r="P31" s="324"/>
      <c r="Q31" s="324"/>
      <c r="R31" s="324"/>
    </row>
    <row r="32" spans="1:18" s="340" customFormat="1">
      <c r="B32" s="364"/>
      <c r="E32" s="325"/>
      <c r="F32" s="325"/>
      <c r="G32" s="325"/>
      <c r="H32" s="322"/>
      <c r="I32" s="322"/>
      <c r="J32" s="322"/>
      <c r="K32" s="324"/>
      <c r="L32" s="324"/>
      <c r="M32" s="324"/>
      <c r="N32" s="324"/>
      <c r="O32" s="324"/>
      <c r="P32" s="324"/>
      <c r="Q32" s="324"/>
      <c r="R32" s="324"/>
    </row>
    <row r="33" spans="2:18" s="340" customFormat="1">
      <c r="B33" s="364"/>
      <c r="E33" s="325"/>
      <c r="F33" s="325"/>
      <c r="G33" s="325"/>
      <c r="H33" s="322"/>
      <c r="I33" s="322"/>
      <c r="J33" s="322"/>
      <c r="K33" s="324"/>
      <c r="L33" s="324"/>
      <c r="M33" s="324"/>
      <c r="N33" s="324"/>
      <c r="O33" s="324"/>
      <c r="P33" s="324"/>
      <c r="Q33" s="324"/>
      <c r="R33" s="324"/>
    </row>
    <row r="34" spans="2:18" s="340" customFormat="1">
      <c r="B34" s="364"/>
      <c r="E34" s="325"/>
      <c r="F34" s="325"/>
      <c r="G34" s="325"/>
      <c r="H34" s="322"/>
      <c r="I34" s="322"/>
      <c r="J34" s="322"/>
      <c r="K34" s="324"/>
      <c r="L34" s="324"/>
      <c r="M34" s="324"/>
      <c r="N34" s="324"/>
      <c r="O34" s="324"/>
      <c r="P34" s="324"/>
      <c r="Q34" s="324"/>
      <c r="R34" s="324"/>
    </row>
    <row r="35" spans="2:18" s="340" customFormat="1">
      <c r="B35" s="364"/>
      <c r="E35" s="325"/>
      <c r="F35" s="325"/>
      <c r="G35" s="325"/>
      <c r="H35" s="322"/>
      <c r="I35" s="322"/>
      <c r="J35" s="322"/>
      <c r="K35" s="324"/>
      <c r="L35" s="324"/>
      <c r="M35" s="324"/>
      <c r="N35" s="324"/>
      <c r="O35" s="324"/>
      <c r="P35" s="324"/>
      <c r="Q35" s="324"/>
      <c r="R35" s="324"/>
    </row>
    <row r="36" spans="2:18" s="340" customFormat="1">
      <c r="B36" s="364"/>
      <c r="E36" s="325"/>
      <c r="F36" s="325"/>
      <c r="G36" s="325"/>
      <c r="H36" s="322"/>
      <c r="I36" s="322"/>
      <c r="J36" s="322"/>
      <c r="K36" s="324"/>
      <c r="L36" s="324"/>
      <c r="M36" s="324"/>
      <c r="N36" s="324"/>
      <c r="O36" s="324"/>
      <c r="P36" s="324"/>
      <c r="Q36" s="324"/>
      <c r="R36" s="324"/>
    </row>
    <row r="37" spans="2:18" s="340" customFormat="1">
      <c r="B37" s="364"/>
      <c r="E37" s="325"/>
      <c r="F37" s="325"/>
      <c r="G37" s="325"/>
      <c r="H37" s="322"/>
      <c r="I37" s="322"/>
      <c r="J37" s="322"/>
      <c r="K37" s="324"/>
      <c r="L37" s="324"/>
      <c r="M37" s="324"/>
      <c r="N37" s="324"/>
      <c r="O37" s="324"/>
      <c r="P37" s="324"/>
      <c r="Q37" s="324"/>
      <c r="R37" s="324"/>
    </row>
    <row r="38" spans="2:18" s="340" customFormat="1">
      <c r="B38" s="364"/>
      <c r="E38" s="325"/>
      <c r="F38" s="325"/>
      <c r="G38" s="325"/>
      <c r="H38" s="322"/>
      <c r="I38" s="322"/>
      <c r="J38" s="322"/>
      <c r="K38" s="324"/>
      <c r="L38" s="324"/>
      <c r="M38" s="324"/>
      <c r="N38" s="324"/>
      <c r="O38" s="324"/>
      <c r="P38" s="324"/>
      <c r="Q38" s="324"/>
      <c r="R38" s="324"/>
    </row>
    <row r="39" spans="2:18" s="340" customFormat="1">
      <c r="B39" s="364"/>
      <c r="E39" s="325"/>
      <c r="F39" s="325"/>
      <c r="G39" s="325"/>
      <c r="H39" s="322"/>
      <c r="I39" s="322"/>
      <c r="J39" s="322"/>
      <c r="K39" s="324"/>
      <c r="L39" s="324"/>
      <c r="M39" s="324"/>
      <c r="N39" s="324"/>
      <c r="O39" s="324"/>
      <c r="P39" s="324"/>
      <c r="Q39" s="324"/>
      <c r="R39" s="324"/>
    </row>
    <row r="40" spans="2:18" s="340" customFormat="1">
      <c r="B40" s="364"/>
      <c r="E40" s="325"/>
      <c r="F40" s="325"/>
      <c r="G40" s="325"/>
      <c r="H40" s="322"/>
      <c r="I40" s="322"/>
      <c r="J40" s="322"/>
      <c r="K40" s="324"/>
      <c r="L40" s="324"/>
      <c r="M40" s="324"/>
      <c r="N40" s="324"/>
      <c r="O40" s="324"/>
      <c r="P40" s="324"/>
      <c r="Q40" s="324"/>
      <c r="R40" s="324"/>
    </row>
    <row r="41" spans="2:18" s="340" customFormat="1">
      <c r="B41" s="364"/>
      <c r="E41" s="325"/>
      <c r="F41" s="325"/>
      <c r="G41" s="325"/>
      <c r="H41" s="322"/>
      <c r="I41" s="322"/>
      <c r="J41" s="322"/>
      <c r="K41" s="324"/>
      <c r="L41" s="324"/>
      <c r="M41" s="324"/>
      <c r="N41" s="324"/>
      <c r="O41" s="324"/>
      <c r="P41" s="324"/>
      <c r="Q41" s="324"/>
      <c r="R41" s="324"/>
    </row>
    <row r="42" spans="2:18" s="340" customFormat="1">
      <c r="B42" s="364"/>
      <c r="E42" s="325"/>
      <c r="F42" s="325"/>
      <c r="G42" s="325"/>
      <c r="H42" s="322"/>
      <c r="I42" s="322"/>
      <c r="J42" s="322"/>
      <c r="K42" s="324"/>
      <c r="L42" s="324"/>
      <c r="M42" s="324"/>
      <c r="N42" s="324"/>
      <c r="O42" s="324"/>
      <c r="P42" s="324"/>
      <c r="Q42" s="324"/>
      <c r="R42" s="324"/>
    </row>
    <row r="43" spans="2:18" s="340" customFormat="1">
      <c r="B43" s="364"/>
      <c r="E43" s="325"/>
      <c r="F43" s="325"/>
      <c r="G43" s="325"/>
      <c r="H43" s="322"/>
      <c r="I43" s="322"/>
      <c r="J43" s="322"/>
      <c r="K43" s="324"/>
      <c r="L43" s="324"/>
      <c r="M43" s="324"/>
      <c r="N43" s="324"/>
      <c r="O43" s="324"/>
      <c r="P43" s="324"/>
      <c r="Q43" s="324"/>
      <c r="R43" s="324"/>
    </row>
    <row r="44" spans="2:18" s="340" customFormat="1">
      <c r="B44" s="364"/>
      <c r="E44" s="325"/>
      <c r="F44" s="325"/>
      <c r="G44" s="325"/>
      <c r="H44" s="322"/>
      <c r="I44" s="322"/>
      <c r="J44" s="322"/>
      <c r="K44" s="324"/>
      <c r="L44" s="324"/>
      <c r="M44" s="324"/>
      <c r="N44" s="324"/>
      <c r="O44" s="324"/>
      <c r="P44" s="324"/>
      <c r="Q44" s="324"/>
      <c r="R44" s="324"/>
    </row>
    <row r="45" spans="2:18" s="340" customFormat="1">
      <c r="B45" s="364"/>
      <c r="E45" s="325"/>
      <c r="F45" s="325"/>
      <c r="G45" s="325"/>
      <c r="H45" s="322"/>
      <c r="I45" s="322"/>
      <c r="J45" s="322"/>
      <c r="K45" s="324"/>
      <c r="L45" s="324"/>
      <c r="M45" s="324"/>
      <c r="N45" s="324"/>
      <c r="O45" s="324"/>
      <c r="P45" s="324"/>
      <c r="Q45" s="324"/>
      <c r="R45" s="324"/>
    </row>
    <row r="46" spans="2:18" s="340" customFormat="1">
      <c r="B46" s="364"/>
      <c r="E46" s="325"/>
      <c r="F46" s="325"/>
      <c r="G46" s="325"/>
      <c r="H46" s="322"/>
      <c r="I46" s="322"/>
      <c r="J46" s="322"/>
      <c r="K46" s="324"/>
      <c r="L46" s="324"/>
      <c r="M46" s="324"/>
      <c r="N46" s="324"/>
      <c r="O46" s="324"/>
      <c r="P46" s="324"/>
      <c r="Q46" s="324"/>
      <c r="R46" s="324"/>
    </row>
    <row r="47" spans="2:18" s="340" customFormat="1">
      <c r="B47" s="364"/>
      <c r="E47" s="325"/>
      <c r="F47" s="325"/>
      <c r="G47" s="325"/>
      <c r="H47" s="322"/>
      <c r="I47" s="322"/>
      <c r="J47" s="322"/>
      <c r="K47" s="324"/>
      <c r="L47" s="324"/>
      <c r="M47" s="324"/>
      <c r="N47" s="324"/>
      <c r="O47" s="324"/>
      <c r="P47" s="324"/>
      <c r="Q47" s="324"/>
      <c r="R47" s="324"/>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8050"/>
  </sheetPr>
  <dimension ref="A1:R53"/>
  <sheetViews>
    <sheetView topLeftCell="A7" workbookViewId="0">
      <pane xSplit="11" ySplit="3" topLeftCell="L25"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2" customWidth="1"/>
    <col min="2" max="2" width="61" style="322" customWidth="1"/>
    <col min="3" max="4" width="21.453125" style="322" customWidth="1"/>
    <col min="5" max="6" width="35.453125" style="322" customWidth="1"/>
    <col min="7" max="7" width="21.453125" style="324" customWidth="1"/>
    <col min="8" max="10" width="8.81640625" style="322" customWidth="1"/>
    <col min="11" max="11" width="8.81640625" style="324"/>
    <col min="12" max="12" width="8.81640625" style="322"/>
    <col min="13" max="18" width="8.81640625" style="324"/>
    <col min="19" max="16384" width="8.81640625" style="322"/>
  </cols>
  <sheetData>
    <row r="1" spans="1:18" s="346" customFormat="1" ht="26">
      <c r="A1" s="321" t="s">
        <v>316</v>
      </c>
      <c r="B1" s="322"/>
      <c r="C1" s="323"/>
      <c r="D1" s="322"/>
      <c r="E1" s="322"/>
      <c r="F1" s="322"/>
      <c r="G1" s="324"/>
      <c r="H1" s="322"/>
      <c r="I1" s="322"/>
      <c r="J1" s="322"/>
      <c r="K1" s="324"/>
      <c r="L1" s="322"/>
      <c r="M1" s="324"/>
      <c r="N1" s="324"/>
      <c r="O1" s="324"/>
      <c r="P1" s="324"/>
      <c r="Q1" s="324"/>
      <c r="R1" s="324"/>
    </row>
    <row r="2" spans="1:18" s="139" customFormat="1" ht="26">
      <c r="A2" s="321" t="s">
        <v>1935</v>
      </c>
      <c r="B2" s="322"/>
      <c r="C2" s="323"/>
      <c r="D2" s="322"/>
      <c r="E2" s="322"/>
      <c r="F2" s="322"/>
      <c r="G2" s="324"/>
      <c r="H2" s="322"/>
      <c r="I2" s="322"/>
      <c r="J2" s="322"/>
      <c r="K2" s="324"/>
      <c r="L2" s="322"/>
      <c r="M2" s="324"/>
      <c r="N2" s="324"/>
      <c r="O2" s="324"/>
      <c r="P2" s="324"/>
      <c r="Q2" s="324"/>
      <c r="R2" s="324"/>
    </row>
    <row r="3" spans="1:18" s="139" customFormat="1" ht="234">
      <c r="A3" s="325" t="s">
        <v>456</v>
      </c>
      <c r="B3" s="325" t="s">
        <v>1936</v>
      </c>
      <c r="C3" s="322"/>
      <c r="D3" s="322"/>
      <c r="E3" s="322"/>
      <c r="F3" s="322"/>
      <c r="G3" s="324"/>
      <c r="H3" s="322"/>
      <c r="I3" s="322"/>
      <c r="J3" s="322"/>
      <c r="K3" s="324"/>
      <c r="L3" s="322"/>
      <c r="M3" s="324"/>
      <c r="N3" s="324"/>
      <c r="O3" s="324"/>
      <c r="P3" s="324"/>
      <c r="Q3" s="324"/>
      <c r="R3" s="324"/>
    </row>
    <row r="4" spans="1:18" s="137" customFormat="1" ht="65">
      <c r="A4" s="325" t="s">
        <v>1724</v>
      </c>
      <c r="B4" s="325" t="s">
        <v>1937</v>
      </c>
      <c r="C4" s="322"/>
      <c r="D4" s="322"/>
      <c r="E4" s="322"/>
      <c r="F4" s="322"/>
      <c r="G4" s="324"/>
      <c r="H4" s="322"/>
      <c r="I4" s="322"/>
      <c r="J4" s="322"/>
      <c r="K4" s="324"/>
      <c r="L4" s="322"/>
      <c r="M4" s="324"/>
      <c r="N4" s="324"/>
      <c r="O4" s="324"/>
      <c r="P4" s="324"/>
      <c r="Q4" s="324"/>
      <c r="R4" s="324"/>
    </row>
    <row r="5" spans="1:18" s="346" customFormat="1">
      <c r="A5" s="322" t="s">
        <v>457</v>
      </c>
      <c r="B5" s="322" t="s">
        <v>317</v>
      </c>
      <c r="C5" s="322"/>
      <c r="D5" s="322"/>
      <c r="E5" s="322"/>
      <c r="F5" s="322"/>
      <c r="G5" s="324"/>
      <c r="H5" s="322"/>
      <c r="I5" s="322"/>
      <c r="J5" s="322"/>
      <c r="K5" s="324"/>
      <c r="L5" s="322"/>
      <c r="M5" s="324"/>
      <c r="N5" s="324"/>
      <c r="O5" s="324"/>
      <c r="P5" s="324"/>
      <c r="Q5" s="324"/>
      <c r="R5" s="324"/>
    </row>
    <row r="6" spans="1:18" s="346" customFormat="1">
      <c r="A6" s="322" t="s">
        <v>1726</v>
      </c>
      <c r="B6" s="322" t="s">
        <v>1938</v>
      </c>
      <c r="C6" s="322"/>
      <c r="D6" s="322"/>
      <c r="E6" s="322"/>
      <c r="F6" s="322"/>
      <c r="G6" s="324"/>
      <c r="H6" s="322"/>
      <c r="I6" s="322"/>
      <c r="J6" s="322"/>
      <c r="K6" s="324"/>
      <c r="L6" s="322"/>
      <c r="M6" s="324"/>
      <c r="N6" s="324"/>
      <c r="O6" s="324"/>
      <c r="P6" s="324"/>
      <c r="Q6" s="324"/>
      <c r="R6" s="324"/>
    </row>
    <row r="7" spans="1:18" s="346" customFormat="1">
      <c r="A7" s="322"/>
      <c r="B7" s="322"/>
      <c r="C7" s="322"/>
      <c r="D7" s="322"/>
      <c r="E7" s="322"/>
      <c r="F7" s="322"/>
      <c r="G7" s="359"/>
      <c r="H7" s="322"/>
      <c r="I7" s="322"/>
      <c r="J7" s="322"/>
      <c r="K7" s="324"/>
      <c r="L7" s="322"/>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22"/>
      <c r="K9" s="345"/>
      <c r="L9" s="322"/>
      <c r="M9" s="345"/>
      <c r="N9" s="345"/>
      <c r="O9" s="345"/>
      <c r="P9" s="345"/>
      <c r="Q9" s="345"/>
      <c r="R9" s="345"/>
    </row>
    <row r="10" spans="1:18" s="137" customFormat="1" ht="39">
      <c r="A10" s="22" t="s">
        <v>318</v>
      </c>
      <c r="B10" s="22" t="s">
        <v>1939</v>
      </c>
      <c r="C10" s="22"/>
      <c r="D10" s="22"/>
      <c r="E10" s="347" t="s">
        <v>319</v>
      </c>
      <c r="F10" s="347"/>
      <c r="G10" s="348"/>
      <c r="H10" s="322"/>
      <c r="I10" s="322"/>
      <c r="J10" s="322"/>
      <c r="K10" s="345"/>
      <c r="L10" s="322"/>
      <c r="M10" s="345"/>
      <c r="N10" s="345"/>
      <c r="O10" s="345"/>
      <c r="P10" s="345"/>
      <c r="Q10" s="345"/>
      <c r="R10" s="345"/>
    </row>
    <row r="11" spans="1:18" s="346" customFormat="1" ht="26">
      <c r="A11" s="22" t="s">
        <v>320</v>
      </c>
      <c r="B11" s="22" t="s">
        <v>1940</v>
      </c>
      <c r="C11" s="22"/>
      <c r="D11" s="22"/>
      <c r="E11" s="347" t="s">
        <v>321</v>
      </c>
      <c r="F11" s="347"/>
      <c r="G11" s="348"/>
      <c r="H11" s="322"/>
      <c r="I11" s="322"/>
      <c r="J11" s="322"/>
      <c r="K11" s="345"/>
      <c r="L11" s="322"/>
      <c r="M11" s="345"/>
      <c r="N11" s="345"/>
      <c r="O11" s="345"/>
      <c r="P11" s="345"/>
      <c r="Q11" s="345"/>
      <c r="R11" s="345"/>
    </row>
    <row r="12" spans="1:18" s="139" customFormat="1">
      <c r="A12" s="342" t="s">
        <v>54</v>
      </c>
      <c r="B12" s="342"/>
      <c r="C12" s="343"/>
      <c r="D12" s="343"/>
      <c r="E12" s="343" t="s">
        <v>1833</v>
      </c>
      <c r="F12" s="343"/>
      <c r="G12" s="344"/>
      <c r="H12" s="322"/>
      <c r="I12" s="322"/>
      <c r="J12" s="322"/>
      <c r="K12" s="345"/>
      <c r="L12" s="322"/>
      <c r="M12" s="345"/>
      <c r="N12" s="345"/>
      <c r="O12" s="345"/>
      <c r="P12" s="345"/>
      <c r="Q12" s="345"/>
      <c r="R12" s="345"/>
    </row>
    <row r="13" spans="1:18" s="139" customFormat="1" ht="39">
      <c r="A13" s="22" t="s">
        <v>322</v>
      </c>
      <c r="B13" s="22" t="s">
        <v>1941</v>
      </c>
      <c r="C13" s="22"/>
      <c r="D13" s="22"/>
      <c r="E13" s="347" t="s">
        <v>323</v>
      </c>
      <c r="F13" s="347"/>
      <c r="G13" s="348"/>
      <c r="H13" s="322"/>
      <c r="I13" s="322"/>
      <c r="J13" s="322"/>
      <c r="K13" s="345"/>
      <c r="L13" s="322"/>
      <c r="M13" s="345"/>
      <c r="N13" s="345"/>
      <c r="O13" s="345"/>
      <c r="P13" s="345"/>
      <c r="Q13" s="345"/>
      <c r="R13" s="345"/>
    </row>
    <row r="14" spans="1:18" s="137" customFormat="1" ht="65">
      <c r="A14" s="22" t="s">
        <v>324</v>
      </c>
      <c r="B14" s="22" t="s">
        <v>1942</v>
      </c>
      <c r="C14" s="22"/>
      <c r="D14" s="22"/>
      <c r="E14" s="347" t="s">
        <v>1637</v>
      </c>
      <c r="F14" s="347"/>
      <c r="G14" s="348"/>
      <c r="H14" s="322"/>
      <c r="I14" s="322"/>
      <c r="J14" s="322"/>
      <c r="K14" s="345"/>
      <c r="L14" s="322"/>
      <c r="M14" s="345"/>
      <c r="N14" s="345"/>
      <c r="O14" s="345"/>
      <c r="P14" s="345"/>
      <c r="Q14" s="345"/>
      <c r="R14" s="345"/>
    </row>
    <row r="15" spans="1:18" s="346" customFormat="1" ht="39">
      <c r="A15" s="22" t="s">
        <v>325</v>
      </c>
      <c r="B15" s="22" t="s">
        <v>1943</v>
      </c>
      <c r="C15" s="22"/>
      <c r="D15" s="22"/>
      <c r="E15" s="347" t="s">
        <v>1638</v>
      </c>
      <c r="F15" s="347"/>
      <c r="G15" s="348"/>
      <c r="H15" s="322"/>
      <c r="I15" s="322"/>
      <c r="J15" s="322"/>
      <c r="K15" s="345"/>
      <c r="L15" s="322"/>
      <c r="M15" s="345"/>
      <c r="N15" s="345"/>
      <c r="O15" s="345"/>
      <c r="P15" s="345"/>
      <c r="Q15" s="345"/>
      <c r="R15" s="345"/>
    </row>
    <row r="16" spans="1:18" s="139" customFormat="1" ht="39">
      <c r="A16" s="22" t="s">
        <v>326</v>
      </c>
      <c r="B16" s="22" t="s">
        <v>1944</v>
      </c>
      <c r="C16" s="22"/>
      <c r="D16" s="22"/>
      <c r="E16" s="347" t="s">
        <v>1639</v>
      </c>
      <c r="F16" s="347"/>
      <c r="G16" s="348"/>
      <c r="H16" s="322"/>
      <c r="I16" s="322"/>
      <c r="J16" s="322"/>
      <c r="K16" s="345"/>
      <c r="L16" s="322"/>
      <c r="M16" s="345"/>
      <c r="N16" s="345"/>
      <c r="O16" s="345"/>
      <c r="P16" s="345"/>
      <c r="Q16" s="345"/>
      <c r="R16" s="345"/>
    </row>
    <row r="17" spans="1:18" s="139" customFormat="1" ht="52">
      <c r="A17" s="22" t="s">
        <v>327</v>
      </c>
      <c r="B17" s="22" t="s">
        <v>1945</v>
      </c>
      <c r="C17" s="22"/>
      <c r="D17" s="22"/>
      <c r="E17" s="347" t="s">
        <v>1640</v>
      </c>
      <c r="F17" s="347"/>
      <c r="G17" s="348"/>
      <c r="H17" s="322"/>
      <c r="I17" s="322"/>
      <c r="J17" s="322"/>
      <c r="K17" s="345"/>
      <c r="L17" s="322"/>
      <c r="M17" s="345"/>
      <c r="N17" s="345"/>
      <c r="O17" s="345"/>
      <c r="P17" s="345"/>
      <c r="Q17" s="345"/>
      <c r="R17" s="345"/>
    </row>
    <row r="18" spans="1:18" s="137" customFormat="1" ht="65">
      <c r="A18" s="22" t="s">
        <v>328</v>
      </c>
      <c r="B18" s="22" t="s">
        <v>1946</v>
      </c>
      <c r="C18" s="22"/>
      <c r="D18" s="22"/>
      <c r="E18" s="347" t="s">
        <v>1641</v>
      </c>
      <c r="F18" s="347"/>
      <c r="G18" s="348"/>
      <c r="H18" s="322"/>
      <c r="I18" s="322"/>
      <c r="J18" s="322"/>
      <c r="K18" s="345"/>
      <c r="L18" s="322"/>
      <c r="M18" s="345"/>
      <c r="N18" s="345"/>
      <c r="O18" s="345"/>
      <c r="P18" s="345"/>
      <c r="Q18" s="345"/>
      <c r="R18" s="345"/>
    </row>
    <row r="19" spans="1:18" s="346" customFormat="1" ht="39">
      <c r="A19" s="22" t="s">
        <v>329</v>
      </c>
      <c r="B19" s="22" t="s">
        <v>1947</v>
      </c>
      <c r="C19" s="22"/>
      <c r="D19" s="22"/>
      <c r="E19" s="347" t="s">
        <v>1642</v>
      </c>
      <c r="F19" s="347"/>
      <c r="G19" s="348"/>
      <c r="H19" s="322"/>
      <c r="I19" s="322"/>
      <c r="J19" s="322"/>
      <c r="K19" s="345"/>
      <c r="L19" s="322"/>
      <c r="M19" s="345"/>
      <c r="N19" s="345"/>
      <c r="O19" s="345"/>
      <c r="P19" s="345"/>
      <c r="Q19" s="345"/>
      <c r="R19" s="345"/>
    </row>
    <row r="20" spans="1:18" s="139" customFormat="1" ht="65">
      <c r="A20" s="22" t="s">
        <v>330</v>
      </c>
      <c r="B20" s="22" t="s">
        <v>1948</v>
      </c>
      <c r="C20" s="22"/>
      <c r="D20" s="22"/>
      <c r="E20" s="347" t="s">
        <v>1643</v>
      </c>
      <c r="F20" s="347"/>
      <c r="G20" s="348"/>
      <c r="H20" s="322"/>
      <c r="I20" s="322"/>
      <c r="J20" s="322"/>
      <c r="K20" s="345"/>
      <c r="L20" s="322"/>
      <c r="M20" s="345"/>
      <c r="N20" s="345"/>
      <c r="O20" s="345"/>
      <c r="P20" s="345"/>
      <c r="Q20" s="345"/>
      <c r="R20" s="345"/>
    </row>
    <row r="21" spans="1:18" s="139" customFormat="1">
      <c r="A21" s="342" t="s">
        <v>56</v>
      </c>
      <c r="B21" s="342"/>
      <c r="C21" s="343"/>
      <c r="D21" s="343"/>
      <c r="E21" s="343" t="s">
        <v>1833</v>
      </c>
      <c r="F21" s="343"/>
      <c r="G21" s="344"/>
      <c r="H21" s="322"/>
      <c r="I21" s="322"/>
      <c r="J21" s="322"/>
      <c r="K21" s="345"/>
      <c r="L21" s="322"/>
      <c r="M21" s="345"/>
      <c r="N21" s="345"/>
      <c r="O21" s="345"/>
      <c r="P21" s="345"/>
      <c r="Q21" s="345"/>
      <c r="R21" s="345"/>
    </row>
    <row r="22" spans="1:18" s="137" customFormat="1" ht="91">
      <c r="A22" s="22" t="s">
        <v>331</v>
      </c>
      <c r="B22" s="22" t="s">
        <v>1949</v>
      </c>
      <c r="C22" s="22"/>
      <c r="D22" s="22"/>
      <c r="E22" s="347" t="s">
        <v>2080</v>
      </c>
      <c r="F22" s="347"/>
      <c r="G22" s="348"/>
      <c r="H22" s="322"/>
      <c r="I22" s="322"/>
      <c r="J22" s="322"/>
      <c r="K22" s="345"/>
      <c r="L22" s="322"/>
      <c r="M22" s="345"/>
      <c r="N22" s="345"/>
      <c r="O22" s="345"/>
      <c r="P22" s="345"/>
      <c r="Q22" s="345"/>
      <c r="R22" s="345"/>
    </row>
    <row r="23" spans="1:18" s="346" customFormat="1" ht="65">
      <c r="A23" s="22" t="s">
        <v>332</v>
      </c>
      <c r="B23" s="22" t="s">
        <v>1950</v>
      </c>
      <c r="C23" s="22"/>
      <c r="D23" s="22"/>
      <c r="E23" s="347" t="s">
        <v>1644</v>
      </c>
      <c r="F23" s="347"/>
      <c r="G23" s="348"/>
      <c r="H23" s="322"/>
      <c r="I23" s="322"/>
      <c r="J23" s="322"/>
      <c r="K23" s="345"/>
      <c r="L23" s="322"/>
      <c r="M23" s="345"/>
      <c r="N23" s="345"/>
      <c r="O23" s="345"/>
      <c r="P23" s="345"/>
      <c r="Q23" s="345"/>
      <c r="R23" s="345"/>
    </row>
    <row r="24" spans="1:18" s="346" customFormat="1" ht="39">
      <c r="A24" s="22" t="s">
        <v>333</v>
      </c>
      <c r="B24" s="22" t="s">
        <v>1951</v>
      </c>
      <c r="C24" s="22"/>
      <c r="D24" s="22"/>
      <c r="E24" s="347" t="s">
        <v>334</v>
      </c>
      <c r="F24" s="347"/>
      <c r="G24" s="348"/>
      <c r="H24" s="322"/>
      <c r="I24" s="322"/>
      <c r="J24" s="322"/>
      <c r="K24" s="345"/>
      <c r="L24" s="322"/>
      <c r="M24" s="345"/>
      <c r="N24" s="345"/>
      <c r="O24" s="345"/>
      <c r="P24" s="345"/>
      <c r="Q24" s="345"/>
      <c r="R24" s="345"/>
    </row>
    <row r="25" spans="1:18" s="139" customFormat="1" ht="65">
      <c r="A25" s="22" t="s">
        <v>335</v>
      </c>
      <c r="B25" s="22" t="s">
        <v>1952</v>
      </c>
      <c r="C25" s="22"/>
      <c r="D25" s="22"/>
      <c r="E25" s="347" t="s">
        <v>2081</v>
      </c>
      <c r="F25" s="347"/>
      <c r="G25" s="348"/>
      <c r="H25" s="322"/>
      <c r="I25" s="322"/>
      <c r="J25" s="322"/>
      <c r="K25" s="345"/>
      <c r="L25" s="322"/>
      <c r="M25" s="345"/>
      <c r="N25" s="345"/>
      <c r="O25" s="345"/>
      <c r="P25" s="345"/>
      <c r="Q25" s="345"/>
      <c r="R25" s="345"/>
    </row>
    <row r="26" spans="1:18" s="139" customFormat="1">
      <c r="A26" s="342" t="s">
        <v>57</v>
      </c>
      <c r="B26" s="342"/>
      <c r="C26" s="343"/>
      <c r="D26" s="343"/>
      <c r="E26" s="343" t="s">
        <v>1833</v>
      </c>
      <c r="F26" s="343"/>
      <c r="G26" s="344"/>
      <c r="H26" s="322"/>
      <c r="I26" s="322"/>
      <c r="J26" s="322"/>
      <c r="K26" s="345"/>
      <c r="L26" s="322"/>
      <c r="M26" s="345"/>
      <c r="N26" s="345"/>
      <c r="O26" s="345"/>
      <c r="P26" s="345"/>
      <c r="Q26" s="345"/>
      <c r="R26" s="345"/>
    </row>
    <row r="27" spans="1:18" s="137" customFormat="1" ht="117">
      <c r="A27" s="22" t="s">
        <v>336</v>
      </c>
      <c r="B27" s="22" t="s">
        <v>1953</v>
      </c>
      <c r="C27" s="22"/>
      <c r="D27" s="22"/>
      <c r="E27" s="347" t="s">
        <v>2082</v>
      </c>
      <c r="F27" s="347"/>
      <c r="G27" s="348"/>
      <c r="H27" s="322"/>
      <c r="I27" s="322"/>
      <c r="J27" s="322"/>
      <c r="K27" s="345"/>
      <c r="L27" s="322"/>
      <c r="M27" s="345"/>
      <c r="N27" s="345"/>
      <c r="O27" s="345"/>
      <c r="P27" s="345"/>
      <c r="Q27" s="345"/>
      <c r="R27" s="345"/>
    </row>
    <row r="28" spans="1:18" s="339" customFormat="1">
      <c r="G28" s="324"/>
      <c r="H28" s="322"/>
      <c r="I28" s="322"/>
      <c r="J28" s="322"/>
      <c r="K28" s="324"/>
      <c r="L28" s="322"/>
      <c r="M28" s="324"/>
      <c r="N28" s="324"/>
      <c r="O28" s="324"/>
      <c r="P28" s="324"/>
      <c r="Q28" s="324"/>
      <c r="R28" s="324"/>
    </row>
    <row r="29" spans="1:18" s="339" customFormat="1">
      <c r="G29" s="324"/>
      <c r="H29" s="322"/>
      <c r="I29" s="322"/>
      <c r="J29" s="322"/>
      <c r="K29" s="324"/>
      <c r="L29" s="322"/>
      <c r="M29" s="324"/>
      <c r="N29" s="324"/>
      <c r="O29" s="324"/>
      <c r="P29" s="324"/>
      <c r="Q29" s="324"/>
      <c r="R29" s="324"/>
    </row>
    <row r="30" spans="1:18" s="339" customFormat="1">
      <c r="G30" s="324"/>
      <c r="H30" s="322"/>
      <c r="I30" s="322"/>
      <c r="J30" s="322"/>
      <c r="K30" s="324"/>
      <c r="L30" s="322"/>
      <c r="M30" s="324"/>
      <c r="N30" s="324"/>
      <c r="O30" s="324"/>
      <c r="P30" s="324"/>
      <c r="Q30" s="324"/>
      <c r="R30" s="324"/>
    </row>
    <row r="31" spans="1:18" s="339" customFormat="1">
      <c r="G31" s="324"/>
      <c r="H31" s="322"/>
      <c r="I31" s="322"/>
      <c r="J31" s="322"/>
      <c r="K31" s="324"/>
      <c r="L31" s="322"/>
      <c r="M31" s="324"/>
      <c r="N31" s="324"/>
      <c r="O31" s="324"/>
      <c r="P31" s="324"/>
      <c r="Q31" s="324"/>
      <c r="R31" s="324"/>
    </row>
    <row r="32" spans="1:18" s="339" customFormat="1">
      <c r="G32" s="324"/>
      <c r="H32" s="322"/>
      <c r="I32" s="322"/>
      <c r="J32" s="322"/>
      <c r="K32" s="324"/>
      <c r="L32" s="322"/>
      <c r="M32" s="324"/>
      <c r="N32" s="324"/>
      <c r="O32" s="324"/>
      <c r="P32" s="324"/>
      <c r="Q32" s="324"/>
      <c r="R32" s="324"/>
    </row>
    <row r="33" spans="7:18" s="339" customFormat="1">
      <c r="G33" s="324"/>
      <c r="H33" s="322"/>
      <c r="I33" s="322"/>
      <c r="J33" s="322"/>
      <c r="K33" s="324"/>
      <c r="L33" s="322"/>
      <c r="M33" s="324"/>
      <c r="N33" s="324"/>
      <c r="O33" s="324"/>
      <c r="P33" s="324"/>
      <c r="Q33" s="324"/>
      <c r="R33" s="324"/>
    </row>
    <row r="34" spans="7:18" s="339" customFormat="1">
      <c r="G34" s="324"/>
      <c r="H34" s="322"/>
      <c r="I34" s="322"/>
      <c r="J34" s="322"/>
      <c r="K34" s="324"/>
      <c r="L34" s="322"/>
      <c r="M34" s="324"/>
      <c r="N34" s="324"/>
      <c r="O34" s="324"/>
      <c r="P34" s="324"/>
      <c r="Q34" s="324"/>
      <c r="R34" s="324"/>
    </row>
    <row r="35" spans="7:18" s="339" customFormat="1">
      <c r="G35" s="324"/>
      <c r="H35" s="322"/>
      <c r="I35" s="322"/>
      <c r="J35" s="322"/>
      <c r="K35" s="324"/>
      <c r="L35" s="322"/>
      <c r="M35" s="324"/>
      <c r="N35" s="324"/>
      <c r="O35" s="324"/>
      <c r="P35" s="324"/>
      <c r="Q35" s="324"/>
      <c r="R35" s="324"/>
    </row>
    <row r="36" spans="7:18" s="339" customFormat="1">
      <c r="G36" s="324"/>
      <c r="H36" s="322"/>
      <c r="I36" s="322"/>
      <c r="J36" s="322"/>
      <c r="K36" s="324"/>
      <c r="L36" s="322"/>
      <c r="M36" s="324"/>
      <c r="N36" s="324"/>
      <c r="O36" s="324"/>
      <c r="P36" s="324"/>
      <c r="Q36" s="324"/>
      <c r="R36" s="324"/>
    </row>
    <row r="37" spans="7:18" s="339" customFormat="1">
      <c r="G37" s="324"/>
      <c r="H37" s="322"/>
      <c r="I37" s="322"/>
      <c r="J37" s="322"/>
      <c r="K37" s="324"/>
      <c r="L37" s="322"/>
      <c r="M37" s="324"/>
      <c r="N37" s="324"/>
      <c r="O37" s="324"/>
      <c r="P37" s="324"/>
      <c r="Q37" s="324"/>
      <c r="R37" s="324"/>
    </row>
    <row r="38" spans="7:18" s="339" customFormat="1">
      <c r="G38" s="324"/>
      <c r="H38" s="322"/>
      <c r="I38" s="322"/>
      <c r="J38" s="322"/>
      <c r="K38" s="324"/>
      <c r="L38" s="322"/>
      <c r="M38" s="324"/>
      <c r="N38" s="324"/>
      <c r="O38" s="324"/>
      <c r="P38" s="324"/>
      <c r="Q38" s="324"/>
      <c r="R38" s="324"/>
    </row>
    <row r="39" spans="7:18" s="339" customFormat="1">
      <c r="G39" s="324"/>
      <c r="H39" s="322"/>
      <c r="I39" s="322"/>
      <c r="J39" s="322"/>
      <c r="K39" s="324"/>
      <c r="L39" s="322"/>
      <c r="M39" s="324"/>
      <c r="N39" s="324"/>
      <c r="O39" s="324"/>
      <c r="P39" s="324"/>
      <c r="Q39" s="324"/>
      <c r="R39" s="324"/>
    </row>
    <row r="40" spans="7:18" s="339" customFormat="1">
      <c r="G40" s="324"/>
      <c r="H40" s="322"/>
      <c r="I40" s="322"/>
      <c r="J40" s="322"/>
      <c r="K40" s="324"/>
      <c r="L40" s="322"/>
      <c r="M40" s="324"/>
      <c r="N40" s="324"/>
      <c r="O40" s="324"/>
      <c r="P40" s="324"/>
      <c r="Q40" s="324"/>
      <c r="R40" s="324"/>
    </row>
    <row r="41" spans="7:18" s="339" customFormat="1">
      <c r="G41" s="324"/>
      <c r="H41" s="322"/>
      <c r="I41" s="322"/>
      <c r="J41" s="322"/>
      <c r="K41" s="324"/>
      <c r="L41" s="322"/>
      <c r="M41" s="324"/>
      <c r="N41" s="324"/>
      <c r="O41" s="324"/>
      <c r="P41" s="324"/>
      <c r="Q41" s="324"/>
      <c r="R41" s="324"/>
    </row>
    <row r="42" spans="7:18" s="339" customFormat="1">
      <c r="G42" s="324"/>
      <c r="H42" s="322"/>
      <c r="I42" s="322"/>
      <c r="J42" s="322"/>
      <c r="K42" s="324"/>
      <c r="L42" s="322"/>
      <c r="M42" s="324"/>
      <c r="N42" s="324"/>
      <c r="O42" s="324"/>
      <c r="P42" s="324"/>
      <c r="Q42" s="324"/>
      <c r="R42" s="324"/>
    </row>
    <row r="43" spans="7:18" s="339" customFormat="1">
      <c r="G43" s="324"/>
      <c r="H43" s="322"/>
      <c r="I43" s="322"/>
      <c r="J43" s="322"/>
      <c r="K43" s="324"/>
      <c r="L43" s="322"/>
      <c r="M43" s="324"/>
      <c r="N43" s="324"/>
      <c r="O43" s="324"/>
      <c r="P43" s="324"/>
      <c r="Q43" s="324"/>
      <c r="R43" s="324"/>
    </row>
    <row r="44" spans="7:18" s="339" customFormat="1">
      <c r="G44" s="324"/>
      <c r="H44" s="322"/>
      <c r="I44" s="322"/>
      <c r="J44" s="322"/>
      <c r="K44" s="324"/>
      <c r="L44" s="322"/>
      <c r="M44" s="324"/>
      <c r="N44" s="324"/>
      <c r="O44" s="324"/>
      <c r="P44" s="324"/>
      <c r="Q44" s="324"/>
      <c r="R44" s="324"/>
    </row>
    <row r="45" spans="7:18" s="339" customFormat="1">
      <c r="G45" s="324"/>
      <c r="H45" s="322"/>
      <c r="I45" s="322"/>
      <c r="J45" s="322"/>
      <c r="K45" s="324"/>
      <c r="L45" s="322"/>
      <c r="M45" s="324"/>
      <c r="N45" s="324"/>
      <c r="O45" s="324"/>
      <c r="P45" s="324"/>
      <c r="Q45" s="324"/>
      <c r="R45" s="324"/>
    </row>
    <row r="46" spans="7:18" s="339" customFormat="1">
      <c r="G46" s="324"/>
      <c r="H46" s="322"/>
      <c r="I46" s="322"/>
      <c r="J46" s="322"/>
      <c r="K46" s="324"/>
      <c r="L46" s="322"/>
      <c r="M46" s="324"/>
      <c r="N46" s="324"/>
      <c r="O46" s="324"/>
      <c r="P46" s="324"/>
      <c r="Q46" s="324"/>
      <c r="R46" s="324"/>
    </row>
    <row r="47" spans="7:18" s="339" customFormat="1">
      <c r="G47" s="324"/>
      <c r="H47" s="322"/>
      <c r="I47" s="322"/>
      <c r="J47" s="322"/>
      <c r="K47" s="324"/>
      <c r="L47" s="322"/>
      <c r="M47" s="324"/>
      <c r="N47" s="324"/>
      <c r="O47" s="324"/>
      <c r="P47" s="324"/>
      <c r="Q47" s="324"/>
      <c r="R47" s="324"/>
    </row>
    <row r="48" spans="7:18" s="339" customFormat="1">
      <c r="G48" s="324"/>
      <c r="H48" s="322"/>
      <c r="I48" s="322"/>
      <c r="J48" s="322"/>
      <c r="K48" s="324"/>
      <c r="L48" s="322"/>
      <c r="M48" s="324"/>
      <c r="N48" s="324"/>
      <c r="O48" s="324"/>
      <c r="P48" s="324"/>
      <c r="Q48" s="324"/>
      <c r="R48" s="324"/>
    </row>
    <row r="49" spans="7:18" s="339" customFormat="1">
      <c r="G49" s="324"/>
      <c r="H49" s="322"/>
      <c r="I49" s="322"/>
      <c r="J49" s="322"/>
      <c r="K49" s="324"/>
      <c r="L49" s="322"/>
      <c r="M49" s="324"/>
      <c r="N49" s="324"/>
      <c r="O49" s="324"/>
      <c r="P49" s="324"/>
      <c r="Q49" s="324"/>
      <c r="R49" s="324"/>
    </row>
    <row r="50" spans="7:18" s="339" customFormat="1">
      <c r="G50" s="324"/>
      <c r="H50" s="322"/>
      <c r="I50" s="322"/>
      <c r="J50" s="322"/>
      <c r="K50" s="324"/>
      <c r="L50" s="322"/>
      <c r="M50" s="324"/>
      <c r="N50" s="324"/>
      <c r="O50" s="324"/>
      <c r="P50" s="324"/>
      <c r="Q50" s="324"/>
      <c r="R50" s="324"/>
    </row>
    <row r="51" spans="7:18" s="339" customFormat="1">
      <c r="G51" s="324"/>
      <c r="H51" s="322"/>
      <c r="I51" s="322"/>
      <c r="J51" s="322"/>
      <c r="K51" s="324"/>
      <c r="L51" s="322"/>
      <c r="M51" s="324"/>
      <c r="N51" s="324"/>
      <c r="O51" s="324"/>
      <c r="P51" s="324"/>
      <c r="Q51" s="324"/>
      <c r="R51" s="324"/>
    </row>
    <row r="52" spans="7:18" s="339" customFormat="1">
      <c r="G52" s="324"/>
      <c r="H52" s="322"/>
      <c r="I52" s="322"/>
      <c r="J52" s="322"/>
      <c r="K52" s="324"/>
      <c r="L52" s="322"/>
      <c r="M52" s="324"/>
      <c r="N52" s="324"/>
      <c r="O52" s="324"/>
      <c r="P52" s="324"/>
      <c r="Q52" s="324"/>
      <c r="R52" s="324"/>
    </row>
    <row r="53" spans="7:18" s="339" customFormat="1">
      <c r="G53" s="324"/>
      <c r="H53" s="322"/>
      <c r="I53" s="322"/>
      <c r="J53" s="322"/>
      <c r="K53" s="324"/>
      <c r="L53" s="322"/>
      <c r="M53" s="324"/>
      <c r="N53" s="324"/>
      <c r="O53" s="324"/>
      <c r="P53" s="324"/>
      <c r="Q53" s="324"/>
      <c r="R53" s="324"/>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802C19"/>
  </sheetPr>
  <dimension ref="A1:R48"/>
  <sheetViews>
    <sheetView topLeftCell="A8" zoomScale="85" zoomScaleNormal="85" workbookViewId="0">
      <selection activeCell="I11" sqref="I11:J14"/>
    </sheetView>
  </sheetViews>
  <sheetFormatPr defaultColWidth="8.81640625" defaultRowHeight="13"/>
  <cols>
    <col min="1" max="1" width="10.1796875" style="329" customWidth="1"/>
    <col min="2" max="2" width="63.81640625" style="329" customWidth="1"/>
    <col min="3" max="4" width="21.453125" style="329" customWidth="1"/>
    <col min="5" max="5" width="48.453125" style="329" customWidth="1"/>
    <col min="6" max="6" width="30.1796875" style="329" customWidth="1"/>
    <col min="7" max="7" width="21.453125" style="324" customWidth="1"/>
    <col min="8" max="9" width="8.81640625" style="322"/>
    <col min="10" max="18" width="8.81640625" style="324"/>
    <col min="19" max="16384" width="8.81640625" style="329"/>
  </cols>
  <sheetData>
    <row r="1" spans="1:18" s="139" customFormat="1" ht="26">
      <c r="A1" s="321" t="s">
        <v>175</v>
      </c>
      <c r="B1" s="322"/>
      <c r="C1" s="323"/>
      <c r="D1" s="322"/>
      <c r="E1" s="322"/>
      <c r="F1" s="322"/>
      <c r="G1" s="324"/>
      <c r="H1" s="322"/>
      <c r="I1" s="322"/>
      <c r="J1" s="324"/>
      <c r="K1" s="324"/>
      <c r="L1" s="324"/>
      <c r="M1" s="324"/>
      <c r="N1" s="324"/>
      <c r="O1" s="324"/>
      <c r="P1" s="324"/>
      <c r="Q1" s="324"/>
      <c r="R1" s="324"/>
    </row>
    <row r="2" spans="1:18" s="137" customFormat="1" ht="26">
      <c r="A2" s="321" t="s">
        <v>1954</v>
      </c>
      <c r="B2" s="322"/>
      <c r="C2" s="323"/>
      <c r="D2" s="322"/>
      <c r="E2" s="322"/>
      <c r="F2" s="322"/>
      <c r="G2" s="324"/>
      <c r="H2" s="322"/>
      <c r="I2" s="322"/>
      <c r="J2" s="324"/>
      <c r="K2" s="324"/>
      <c r="L2" s="324"/>
      <c r="M2" s="324"/>
      <c r="N2" s="324"/>
      <c r="O2" s="324"/>
      <c r="P2" s="324"/>
      <c r="Q2" s="324"/>
      <c r="R2" s="324"/>
    </row>
    <row r="3" spans="1:18" s="346" customFormat="1">
      <c r="A3" s="325" t="s">
        <v>456</v>
      </c>
      <c r="B3" s="322" t="s">
        <v>176</v>
      </c>
      <c r="C3" s="322"/>
      <c r="D3" s="322"/>
      <c r="E3" s="322"/>
      <c r="F3" s="322"/>
      <c r="G3" s="324"/>
      <c r="H3" s="322"/>
      <c r="I3" s="322"/>
      <c r="J3" s="324"/>
      <c r="K3" s="324"/>
      <c r="L3" s="324"/>
      <c r="M3" s="324"/>
      <c r="N3" s="324"/>
      <c r="O3" s="324"/>
      <c r="P3" s="324"/>
      <c r="Q3" s="324"/>
      <c r="R3" s="324"/>
    </row>
    <row r="4" spans="1:18" s="139" customFormat="1">
      <c r="A4" s="325" t="s">
        <v>1724</v>
      </c>
      <c r="B4" s="322" t="s">
        <v>1955</v>
      </c>
      <c r="C4" s="322"/>
      <c r="D4" s="322"/>
      <c r="E4" s="322"/>
      <c r="F4" s="322"/>
      <c r="G4" s="324"/>
      <c r="H4" s="322"/>
      <c r="I4" s="322"/>
      <c r="J4" s="324"/>
      <c r="K4" s="324"/>
      <c r="L4" s="324"/>
      <c r="M4" s="324"/>
      <c r="N4" s="324"/>
      <c r="O4" s="324"/>
      <c r="P4" s="324"/>
      <c r="Q4" s="324"/>
      <c r="R4" s="324"/>
    </row>
    <row r="5" spans="1:18" s="137" customFormat="1">
      <c r="A5" s="322" t="s">
        <v>457</v>
      </c>
      <c r="B5" s="322" t="s">
        <v>177</v>
      </c>
      <c r="C5" s="322"/>
      <c r="D5" s="322"/>
      <c r="E5" s="322"/>
      <c r="F5" s="322"/>
      <c r="G5" s="324"/>
      <c r="H5" s="322"/>
      <c r="I5" s="322"/>
      <c r="J5" s="324"/>
      <c r="K5" s="324"/>
      <c r="L5" s="324"/>
      <c r="M5" s="324"/>
      <c r="N5" s="324"/>
      <c r="O5" s="324"/>
      <c r="P5" s="324"/>
      <c r="Q5" s="324"/>
      <c r="R5" s="324"/>
    </row>
    <row r="6" spans="1:18" s="346" customFormat="1">
      <c r="A6" s="322" t="s">
        <v>1726</v>
      </c>
      <c r="B6" s="322" t="s">
        <v>1956</v>
      </c>
      <c r="C6" s="322"/>
      <c r="D6" s="322"/>
      <c r="E6" s="322"/>
      <c r="F6" s="322"/>
      <c r="G6" s="324"/>
      <c r="H6" s="322"/>
      <c r="I6" s="322"/>
      <c r="J6" s="324"/>
      <c r="K6" s="324"/>
      <c r="L6" s="324"/>
      <c r="M6" s="324"/>
      <c r="N6" s="324"/>
      <c r="O6" s="324"/>
      <c r="P6" s="324"/>
      <c r="Q6" s="324"/>
      <c r="R6" s="324"/>
    </row>
    <row r="7" spans="1:18" s="139" customFormat="1">
      <c r="A7" s="329"/>
      <c r="B7" s="329"/>
      <c r="C7" s="329"/>
      <c r="D7" s="329"/>
      <c r="E7" s="322"/>
      <c r="F7" s="322"/>
      <c r="G7" s="359"/>
      <c r="H7" s="322"/>
      <c r="I7" s="322"/>
      <c r="J7" s="324"/>
      <c r="K7" s="324"/>
      <c r="L7" s="324"/>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45"/>
      <c r="K9" s="345"/>
      <c r="L9" s="345"/>
      <c r="M9" s="345"/>
      <c r="N9" s="345"/>
      <c r="O9" s="345"/>
      <c r="P9" s="345"/>
      <c r="Q9" s="345"/>
      <c r="R9" s="345"/>
    </row>
    <row r="10" spans="1:18" s="346" customFormat="1" ht="26">
      <c r="A10" s="22" t="s">
        <v>178</v>
      </c>
      <c r="B10" s="22" t="s">
        <v>1957</v>
      </c>
      <c r="C10" s="22"/>
      <c r="D10" s="22"/>
      <c r="E10" s="347" t="s">
        <v>1582</v>
      </c>
      <c r="F10" s="347"/>
      <c r="G10" s="348"/>
      <c r="H10" s="322"/>
      <c r="I10" s="322"/>
      <c r="J10" s="345"/>
      <c r="K10" s="345"/>
      <c r="L10" s="345"/>
      <c r="M10" s="345"/>
      <c r="N10" s="345"/>
      <c r="O10" s="345"/>
      <c r="P10" s="345"/>
      <c r="Q10" s="345"/>
      <c r="R10" s="345"/>
    </row>
    <row r="11" spans="1:18" s="139" customFormat="1">
      <c r="A11" s="342" t="s">
        <v>54</v>
      </c>
      <c r="B11" s="342"/>
      <c r="C11" s="343"/>
      <c r="D11" s="343"/>
      <c r="E11" s="343" t="s">
        <v>1833</v>
      </c>
      <c r="F11" s="343"/>
      <c r="G11" s="344"/>
      <c r="H11" s="322"/>
      <c r="I11" s="322"/>
      <c r="J11" s="345"/>
      <c r="K11" s="345"/>
      <c r="L11" s="345"/>
      <c r="M11" s="345"/>
      <c r="N11" s="345"/>
      <c r="O11" s="345"/>
      <c r="P11" s="345"/>
      <c r="Q11" s="345"/>
      <c r="R11" s="345"/>
    </row>
    <row r="12" spans="1:18" s="139" customFormat="1" ht="52">
      <c r="A12" s="22" t="s">
        <v>179</v>
      </c>
      <c r="B12" s="22" t="s">
        <v>1958</v>
      </c>
      <c r="C12" s="22"/>
      <c r="D12" s="22"/>
      <c r="E12" s="347" t="s">
        <v>1583</v>
      </c>
      <c r="F12" s="347"/>
      <c r="G12" s="348"/>
      <c r="H12" s="322"/>
      <c r="I12" s="322"/>
      <c r="J12" s="345"/>
      <c r="K12" s="345"/>
      <c r="L12" s="345"/>
      <c r="M12" s="345"/>
      <c r="N12" s="345"/>
      <c r="O12" s="345"/>
      <c r="P12" s="345"/>
      <c r="Q12" s="345"/>
      <c r="R12" s="345"/>
    </row>
    <row r="13" spans="1:18" s="137" customFormat="1" ht="65">
      <c r="A13" s="22" t="s">
        <v>180</v>
      </c>
      <c r="B13" s="22" t="s">
        <v>1959</v>
      </c>
      <c r="C13" s="22"/>
      <c r="D13" s="22"/>
      <c r="E13" s="347" t="s">
        <v>1584</v>
      </c>
      <c r="F13" s="347"/>
      <c r="G13" s="348"/>
      <c r="H13" s="322"/>
      <c r="I13" s="322"/>
      <c r="J13" s="345"/>
      <c r="K13" s="345"/>
      <c r="L13" s="345"/>
      <c r="M13" s="345"/>
      <c r="N13" s="345"/>
      <c r="O13" s="345"/>
      <c r="P13" s="345"/>
      <c r="Q13" s="345"/>
      <c r="R13" s="345"/>
    </row>
    <row r="14" spans="1:18" s="346" customFormat="1" ht="39">
      <c r="A14" s="22" t="s">
        <v>181</v>
      </c>
      <c r="B14" s="22" t="s">
        <v>1960</v>
      </c>
      <c r="C14" s="22"/>
      <c r="D14" s="22"/>
      <c r="E14" s="347" t="s">
        <v>1585</v>
      </c>
      <c r="F14" s="347"/>
      <c r="G14" s="348"/>
      <c r="H14" s="322"/>
      <c r="I14" s="322"/>
      <c r="J14" s="345"/>
      <c r="K14" s="345"/>
      <c r="L14" s="345"/>
      <c r="M14" s="345"/>
      <c r="N14" s="345"/>
      <c r="O14" s="345"/>
      <c r="P14" s="345"/>
      <c r="Q14" s="345"/>
      <c r="R14" s="345"/>
    </row>
    <row r="15" spans="1:18" s="139" customFormat="1" ht="52">
      <c r="A15" s="22" t="s">
        <v>182</v>
      </c>
      <c r="B15" s="22" t="s">
        <v>1961</v>
      </c>
      <c r="C15" s="22"/>
      <c r="D15" s="22"/>
      <c r="E15" s="347" t="s">
        <v>183</v>
      </c>
      <c r="F15" s="347"/>
      <c r="G15" s="348"/>
      <c r="H15" s="322"/>
      <c r="I15" s="322"/>
      <c r="J15" s="345"/>
      <c r="K15" s="345"/>
      <c r="L15" s="345"/>
      <c r="M15" s="345"/>
      <c r="N15" s="345"/>
      <c r="O15" s="345"/>
      <c r="P15" s="345"/>
      <c r="Q15" s="345"/>
      <c r="R15" s="345"/>
    </row>
    <row r="16" spans="1:18" s="139" customFormat="1" ht="65">
      <c r="A16" s="22" t="s">
        <v>184</v>
      </c>
      <c r="B16" s="22" t="s">
        <v>1962</v>
      </c>
      <c r="C16" s="22"/>
      <c r="D16" s="22"/>
      <c r="E16" s="22" t="s">
        <v>1963</v>
      </c>
      <c r="F16" s="22"/>
      <c r="G16" s="348"/>
      <c r="H16" s="322"/>
      <c r="I16" s="322"/>
      <c r="J16" s="345"/>
      <c r="K16" s="345"/>
      <c r="L16" s="345"/>
      <c r="M16" s="345"/>
      <c r="N16" s="345"/>
      <c r="O16" s="345"/>
      <c r="P16" s="345"/>
      <c r="Q16" s="345"/>
      <c r="R16" s="345"/>
    </row>
    <row r="17" spans="1:18" s="137" customFormat="1" ht="52">
      <c r="A17" s="22" t="s">
        <v>185</v>
      </c>
      <c r="B17" s="22" t="s">
        <v>1964</v>
      </c>
      <c r="C17" s="22"/>
      <c r="D17" s="22"/>
      <c r="E17" s="22" t="s">
        <v>1965</v>
      </c>
      <c r="F17" s="22"/>
      <c r="G17" s="348"/>
      <c r="H17" s="322"/>
      <c r="I17" s="322"/>
      <c r="J17" s="345"/>
      <c r="K17" s="345"/>
      <c r="L17" s="345"/>
      <c r="M17" s="345"/>
      <c r="N17" s="345"/>
      <c r="O17" s="345"/>
      <c r="P17" s="345"/>
      <c r="Q17" s="345"/>
      <c r="R17" s="345"/>
    </row>
    <row r="18" spans="1:18" s="346" customFormat="1">
      <c r="A18" s="342" t="s">
        <v>56</v>
      </c>
      <c r="B18" s="342"/>
      <c r="C18" s="343"/>
      <c r="D18" s="343"/>
      <c r="E18" s="343" t="s">
        <v>1833</v>
      </c>
      <c r="F18" s="343"/>
      <c r="G18" s="344"/>
      <c r="H18" s="322"/>
      <c r="I18" s="322"/>
      <c r="J18" s="345"/>
      <c r="K18" s="345"/>
      <c r="L18" s="345"/>
      <c r="M18" s="345"/>
      <c r="N18" s="345"/>
      <c r="O18" s="345"/>
      <c r="P18" s="345"/>
      <c r="Q18" s="345"/>
      <c r="R18" s="345"/>
    </row>
    <row r="19" spans="1:18" s="139" customFormat="1" ht="39">
      <c r="A19" s="22" t="s">
        <v>186</v>
      </c>
      <c r="B19" s="22" t="s">
        <v>1966</v>
      </c>
      <c r="C19" s="22"/>
      <c r="D19" s="22"/>
      <c r="E19" s="22" t="s">
        <v>1967</v>
      </c>
      <c r="F19" s="22"/>
      <c r="G19" s="348"/>
      <c r="H19" s="322"/>
      <c r="I19" s="322"/>
      <c r="J19" s="345"/>
      <c r="K19" s="345"/>
      <c r="L19" s="345"/>
      <c r="M19" s="345"/>
      <c r="N19" s="345"/>
      <c r="O19" s="345"/>
      <c r="P19" s="345"/>
      <c r="Q19" s="345"/>
      <c r="R19" s="345"/>
    </row>
    <row r="20" spans="1:18" s="139" customFormat="1" ht="39">
      <c r="A20" s="22" t="s">
        <v>187</v>
      </c>
      <c r="B20" s="22" t="s">
        <v>1968</v>
      </c>
      <c r="C20" s="22"/>
      <c r="D20" s="22"/>
      <c r="E20" s="347" t="s">
        <v>1586</v>
      </c>
      <c r="F20" s="347"/>
      <c r="G20" s="348"/>
      <c r="H20" s="322"/>
      <c r="I20" s="322"/>
      <c r="J20" s="345"/>
      <c r="K20" s="345"/>
      <c r="L20" s="345"/>
      <c r="M20" s="345"/>
      <c r="N20" s="345"/>
      <c r="O20" s="345"/>
      <c r="P20" s="345"/>
      <c r="Q20" s="345"/>
      <c r="R20" s="345"/>
    </row>
    <row r="21" spans="1:18" s="137" customFormat="1" ht="26">
      <c r="A21" s="22" t="s">
        <v>188</v>
      </c>
      <c r="B21" s="22" t="s">
        <v>1969</v>
      </c>
      <c r="C21" s="22"/>
      <c r="D21" s="22"/>
      <c r="E21" s="347" t="s">
        <v>189</v>
      </c>
      <c r="F21" s="347"/>
      <c r="G21" s="348"/>
      <c r="H21" s="322"/>
      <c r="I21" s="322"/>
      <c r="J21" s="345"/>
      <c r="K21" s="345"/>
      <c r="L21" s="345"/>
      <c r="M21" s="345"/>
      <c r="N21" s="345"/>
      <c r="O21" s="345"/>
      <c r="P21" s="345"/>
      <c r="Q21" s="345"/>
      <c r="R21" s="345"/>
    </row>
    <row r="22" spans="1:18" s="346" customFormat="1" ht="39">
      <c r="A22" s="22" t="s">
        <v>190</v>
      </c>
      <c r="B22" s="22" t="s">
        <v>1970</v>
      </c>
      <c r="C22" s="22"/>
      <c r="D22" s="22"/>
      <c r="E22" s="347" t="s">
        <v>1587</v>
      </c>
      <c r="F22" s="347"/>
      <c r="G22" s="348"/>
      <c r="H22" s="322"/>
      <c r="I22" s="322"/>
      <c r="J22" s="345"/>
      <c r="K22" s="345"/>
      <c r="L22" s="345"/>
      <c r="M22" s="345"/>
      <c r="N22" s="345"/>
      <c r="O22" s="345"/>
      <c r="P22" s="345"/>
      <c r="Q22" s="345"/>
      <c r="R22" s="345"/>
    </row>
    <row r="23" spans="1:18" s="139" customFormat="1" ht="39">
      <c r="A23" s="22" t="s">
        <v>191</v>
      </c>
      <c r="B23" s="22" t="s">
        <v>1971</v>
      </c>
      <c r="C23" s="22"/>
      <c r="D23" s="22"/>
      <c r="E23" s="347" t="s">
        <v>1588</v>
      </c>
      <c r="F23" s="347"/>
      <c r="G23" s="348"/>
      <c r="H23" s="322"/>
      <c r="I23" s="322"/>
      <c r="J23" s="345"/>
      <c r="K23" s="345"/>
      <c r="L23" s="345"/>
      <c r="M23" s="345"/>
      <c r="N23" s="345"/>
      <c r="O23" s="345"/>
      <c r="P23" s="345"/>
      <c r="Q23" s="345"/>
      <c r="R23" s="345"/>
    </row>
    <row r="24" spans="1:18" s="139" customFormat="1" ht="26">
      <c r="A24" s="22" t="s">
        <v>192</v>
      </c>
      <c r="B24" s="22" t="s">
        <v>1972</v>
      </c>
      <c r="C24" s="22"/>
      <c r="D24" s="22"/>
      <c r="E24" s="347" t="s">
        <v>193</v>
      </c>
      <c r="F24" s="347"/>
      <c r="G24" s="348"/>
      <c r="H24" s="322"/>
      <c r="I24" s="322"/>
      <c r="J24" s="345"/>
      <c r="K24" s="345"/>
      <c r="L24" s="345"/>
      <c r="M24" s="345"/>
      <c r="N24" s="345"/>
      <c r="O24" s="345"/>
      <c r="P24" s="345"/>
      <c r="Q24" s="345"/>
      <c r="R24" s="345"/>
    </row>
    <row r="25" spans="1:18" s="137" customFormat="1" ht="65">
      <c r="A25" s="22" t="s">
        <v>194</v>
      </c>
      <c r="B25" s="22" t="s">
        <v>1973</v>
      </c>
      <c r="C25" s="22"/>
      <c r="D25" s="22"/>
      <c r="E25" s="347" t="s">
        <v>1589</v>
      </c>
      <c r="F25" s="347"/>
      <c r="G25" s="348"/>
      <c r="H25" s="322"/>
      <c r="I25" s="322"/>
      <c r="J25" s="345"/>
      <c r="K25" s="345"/>
      <c r="L25" s="345"/>
      <c r="M25" s="345"/>
      <c r="N25" s="345"/>
      <c r="O25" s="345"/>
      <c r="P25" s="345"/>
      <c r="Q25" s="345"/>
      <c r="R25" s="345"/>
    </row>
    <row r="26" spans="1:18" s="339" customFormat="1">
      <c r="G26" s="324"/>
      <c r="H26" s="322"/>
      <c r="I26" s="322"/>
      <c r="J26" s="324"/>
      <c r="K26" s="324"/>
      <c r="L26" s="324"/>
      <c r="M26" s="324"/>
      <c r="N26" s="324"/>
      <c r="O26" s="324"/>
      <c r="P26" s="324"/>
      <c r="Q26" s="324"/>
      <c r="R26" s="324"/>
    </row>
    <row r="27" spans="1:18" s="339" customFormat="1">
      <c r="G27" s="324"/>
      <c r="H27" s="322"/>
      <c r="I27" s="322"/>
      <c r="J27" s="324"/>
      <c r="K27" s="324"/>
      <c r="L27" s="324"/>
      <c r="M27" s="324"/>
      <c r="N27" s="324"/>
      <c r="O27" s="324"/>
      <c r="P27" s="324"/>
      <c r="Q27" s="324"/>
      <c r="R27" s="324"/>
    </row>
    <row r="28" spans="1:18" s="340" customFormat="1">
      <c r="G28" s="324"/>
      <c r="H28" s="322"/>
      <c r="I28" s="322"/>
      <c r="J28" s="324"/>
      <c r="K28" s="324"/>
      <c r="L28" s="324"/>
      <c r="M28" s="324"/>
      <c r="N28" s="324"/>
      <c r="O28" s="324"/>
      <c r="P28" s="324"/>
      <c r="Q28" s="324"/>
      <c r="R28" s="324"/>
    </row>
    <row r="29" spans="1:18" s="340" customFormat="1">
      <c r="G29" s="324"/>
      <c r="H29" s="322"/>
      <c r="I29" s="322"/>
      <c r="J29" s="324"/>
      <c r="K29" s="324"/>
      <c r="L29" s="324"/>
      <c r="M29" s="324"/>
      <c r="N29" s="324"/>
      <c r="O29" s="324"/>
      <c r="P29" s="324"/>
      <c r="Q29" s="324"/>
      <c r="R29" s="324"/>
    </row>
    <row r="30" spans="1:18" s="340" customFormat="1">
      <c r="G30" s="324"/>
      <c r="H30" s="322"/>
      <c r="I30" s="322"/>
      <c r="J30" s="324"/>
      <c r="K30" s="324"/>
      <c r="L30" s="324"/>
      <c r="M30" s="324"/>
      <c r="N30" s="324"/>
      <c r="O30" s="324"/>
      <c r="P30" s="324"/>
      <c r="Q30" s="324"/>
      <c r="R30" s="324"/>
    </row>
    <row r="31" spans="1:18" s="340" customFormat="1">
      <c r="G31" s="324"/>
      <c r="H31" s="322"/>
      <c r="I31" s="322"/>
      <c r="J31" s="324"/>
      <c r="K31" s="324"/>
      <c r="L31" s="324"/>
      <c r="M31" s="324"/>
      <c r="N31" s="324"/>
      <c r="O31" s="324"/>
      <c r="P31" s="324"/>
      <c r="Q31" s="324"/>
      <c r="R31" s="324"/>
    </row>
    <row r="32" spans="1:18" s="340" customFormat="1">
      <c r="G32" s="324"/>
      <c r="H32" s="322"/>
      <c r="I32" s="322"/>
      <c r="J32" s="324"/>
      <c r="K32" s="324"/>
      <c r="L32" s="324"/>
      <c r="M32" s="324"/>
      <c r="N32" s="324"/>
      <c r="O32" s="324"/>
      <c r="P32" s="324"/>
      <c r="Q32" s="324"/>
      <c r="R32" s="324"/>
    </row>
    <row r="33" spans="7:18" s="340" customFormat="1">
      <c r="G33" s="324"/>
      <c r="H33" s="322"/>
      <c r="I33" s="322"/>
      <c r="J33" s="324"/>
      <c r="K33" s="324"/>
      <c r="L33" s="324"/>
      <c r="M33" s="324"/>
      <c r="N33" s="324"/>
      <c r="O33" s="324"/>
      <c r="P33" s="324"/>
      <c r="Q33" s="324"/>
      <c r="R33" s="324"/>
    </row>
    <row r="34" spans="7:18" s="340" customFormat="1">
      <c r="G34" s="324"/>
      <c r="H34" s="322"/>
      <c r="I34" s="322"/>
      <c r="J34" s="324"/>
      <c r="K34" s="324"/>
      <c r="L34" s="324"/>
      <c r="M34" s="324"/>
      <c r="N34" s="324"/>
      <c r="O34" s="324"/>
      <c r="P34" s="324"/>
      <c r="Q34" s="324"/>
      <c r="R34" s="324"/>
    </row>
    <row r="35" spans="7:18" s="340" customFormat="1">
      <c r="G35" s="324"/>
      <c r="H35" s="322"/>
      <c r="I35" s="322"/>
      <c r="J35" s="324"/>
      <c r="K35" s="324"/>
      <c r="L35" s="324"/>
      <c r="M35" s="324"/>
      <c r="N35" s="324"/>
      <c r="O35" s="324"/>
      <c r="P35" s="324"/>
      <c r="Q35" s="324"/>
      <c r="R35" s="324"/>
    </row>
    <row r="36" spans="7:18" s="340" customFormat="1">
      <c r="G36" s="324"/>
      <c r="H36" s="322"/>
      <c r="I36" s="322"/>
      <c r="J36" s="324"/>
      <c r="K36" s="324"/>
      <c r="L36" s="324"/>
      <c r="M36" s="324"/>
      <c r="N36" s="324"/>
      <c r="O36" s="324"/>
      <c r="P36" s="324"/>
      <c r="Q36" s="324"/>
      <c r="R36" s="324"/>
    </row>
    <row r="37" spans="7:18" s="340" customFormat="1">
      <c r="G37" s="324"/>
      <c r="H37" s="322"/>
      <c r="I37" s="322"/>
      <c r="J37" s="324"/>
      <c r="K37" s="324"/>
      <c r="L37" s="324"/>
      <c r="M37" s="324"/>
      <c r="N37" s="324"/>
      <c r="O37" s="324"/>
      <c r="P37" s="324"/>
      <c r="Q37" s="324"/>
      <c r="R37" s="324"/>
    </row>
    <row r="38" spans="7:18" s="340" customFormat="1">
      <c r="G38" s="324"/>
      <c r="H38" s="322"/>
      <c r="I38" s="322"/>
      <c r="J38" s="324"/>
      <c r="K38" s="324"/>
      <c r="L38" s="324"/>
      <c r="M38" s="324"/>
      <c r="N38" s="324"/>
      <c r="O38" s="324"/>
      <c r="P38" s="324"/>
      <c r="Q38" s="324"/>
      <c r="R38" s="324"/>
    </row>
    <row r="39" spans="7:18" s="340" customFormat="1">
      <c r="G39" s="324"/>
      <c r="H39" s="322"/>
      <c r="I39" s="322"/>
      <c r="J39" s="324"/>
      <c r="K39" s="324"/>
      <c r="L39" s="324"/>
      <c r="M39" s="324"/>
      <c r="N39" s="324"/>
      <c r="O39" s="324"/>
      <c r="P39" s="324"/>
      <c r="Q39" s="324"/>
      <c r="R39" s="324"/>
    </row>
    <row r="40" spans="7:18" s="340" customFormat="1">
      <c r="G40" s="324"/>
      <c r="H40" s="322"/>
      <c r="I40" s="322"/>
      <c r="J40" s="324"/>
      <c r="K40" s="324"/>
      <c r="L40" s="324"/>
      <c r="M40" s="324"/>
      <c r="N40" s="324"/>
      <c r="O40" s="324"/>
      <c r="P40" s="324"/>
      <c r="Q40" s="324"/>
      <c r="R40" s="324"/>
    </row>
    <row r="41" spans="7:18" s="340" customFormat="1">
      <c r="G41" s="324"/>
      <c r="H41" s="322"/>
      <c r="I41" s="322"/>
      <c r="J41" s="324"/>
      <c r="K41" s="324"/>
      <c r="L41" s="324"/>
      <c r="M41" s="324"/>
      <c r="N41" s="324"/>
      <c r="O41" s="324"/>
      <c r="P41" s="324"/>
      <c r="Q41" s="324"/>
      <c r="R41" s="324"/>
    </row>
    <row r="42" spans="7:18" s="340" customFormat="1">
      <c r="G42" s="324"/>
      <c r="H42" s="322"/>
      <c r="I42" s="322"/>
      <c r="J42" s="324"/>
      <c r="K42" s="324"/>
      <c r="L42" s="324"/>
      <c r="M42" s="324"/>
      <c r="N42" s="324"/>
      <c r="O42" s="324"/>
      <c r="P42" s="324"/>
      <c r="Q42" s="324"/>
      <c r="R42" s="324"/>
    </row>
    <row r="43" spans="7:18" s="340" customFormat="1">
      <c r="G43" s="324"/>
      <c r="H43" s="322"/>
      <c r="I43" s="322"/>
      <c r="J43" s="324"/>
      <c r="K43" s="324"/>
      <c r="L43" s="324"/>
      <c r="M43" s="324"/>
      <c r="N43" s="324"/>
      <c r="O43" s="324"/>
      <c r="P43" s="324"/>
      <c r="Q43" s="324"/>
      <c r="R43" s="324"/>
    </row>
    <row r="44" spans="7:18" s="340" customFormat="1">
      <c r="G44" s="324"/>
      <c r="H44" s="322"/>
      <c r="I44" s="322"/>
      <c r="J44" s="324"/>
      <c r="K44" s="324"/>
      <c r="L44" s="324"/>
      <c r="M44" s="324"/>
      <c r="N44" s="324"/>
      <c r="O44" s="324"/>
      <c r="P44" s="324"/>
      <c r="Q44" s="324"/>
      <c r="R44" s="324"/>
    </row>
    <row r="45" spans="7:18" s="340" customFormat="1">
      <c r="G45" s="324"/>
      <c r="H45" s="322"/>
      <c r="I45" s="322"/>
      <c r="J45" s="324"/>
      <c r="K45" s="324"/>
      <c r="L45" s="324"/>
      <c r="M45" s="324"/>
      <c r="N45" s="324"/>
      <c r="O45" s="324"/>
      <c r="P45" s="324"/>
      <c r="Q45" s="324"/>
      <c r="R45" s="324"/>
    </row>
    <row r="46" spans="7:18" s="340" customFormat="1">
      <c r="G46" s="324"/>
      <c r="H46" s="322"/>
      <c r="I46" s="322"/>
      <c r="J46" s="324"/>
      <c r="K46" s="324"/>
      <c r="L46" s="324"/>
      <c r="M46" s="324"/>
      <c r="N46" s="324"/>
      <c r="O46" s="324"/>
      <c r="P46" s="324"/>
      <c r="Q46" s="324"/>
      <c r="R46" s="324"/>
    </row>
    <row r="47" spans="7:18" s="340" customFormat="1">
      <c r="G47" s="324"/>
      <c r="H47" s="322"/>
      <c r="I47" s="322"/>
      <c r="J47" s="324"/>
      <c r="K47" s="324"/>
      <c r="L47" s="324"/>
      <c r="M47" s="324"/>
      <c r="N47" s="324"/>
      <c r="O47" s="324"/>
      <c r="P47" s="324"/>
      <c r="Q47" s="324"/>
      <c r="R47" s="324"/>
    </row>
    <row r="48" spans="7:18" s="340" customFormat="1">
      <c r="G48" s="324"/>
      <c r="H48" s="322"/>
      <c r="I48" s="322"/>
      <c r="J48" s="324"/>
      <c r="K48" s="324"/>
      <c r="L48" s="324"/>
      <c r="M48" s="324"/>
      <c r="N48" s="324"/>
      <c r="O48" s="324"/>
      <c r="P48" s="324"/>
      <c r="Q48" s="324"/>
      <c r="R48" s="324"/>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F05A22"/>
  </sheetPr>
  <dimension ref="A1:R68"/>
  <sheetViews>
    <sheetView zoomScale="85" zoomScaleNormal="85" workbookViewId="0">
      <selection activeCell="I11" sqref="I11:J14"/>
    </sheetView>
  </sheetViews>
  <sheetFormatPr defaultColWidth="8.81640625" defaultRowHeight="13"/>
  <cols>
    <col min="1" max="1" width="10.1796875" style="329" customWidth="1"/>
    <col min="2" max="2" width="63.81640625" style="329" customWidth="1"/>
    <col min="3" max="4" width="21.453125" style="329" customWidth="1"/>
    <col min="5" max="5" width="45.1796875" style="329" customWidth="1"/>
    <col min="6" max="6" width="31.54296875" style="329" customWidth="1"/>
    <col min="7" max="7" width="21.453125" style="324" customWidth="1"/>
    <col min="8" max="8" width="8.81640625" style="322"/>
    <col min="9" max="10" width="8.81640625" style="322" customWidth="1"/>
    <col min="11" max="18" width="8.81640625" style="324"/>
    <col min="19" max="16384" width="8.81640625" style="329"/>
  </cols>
  <sheetData>
    <row r="1" spans="1:18" s="139" customFormat="1" ht="26">
      <c r="A1" s="321" t="s">
        <v>123</v>
      </c>
      <c r="B1" s="322"/>
      <c r="C1" s="323"/>
      <c r="D1" s="322"/>
      <c r="E1" s="322"/>
      <c r="F1" s="322"/>
      <c r="G1" s="324"/>
      <c r="H1" s="322"/>
      <c r="I1" s="322"/>
      <c r="J1" s="322"/>
      <c r="K1" s="324"/>
      <c r="L1" s="324"/>
      <c r="M1" s="324"/>
      <c r="N1" s="324"/>
      <c r="O1" s="324"/>
      <c r="P1" s="324"/>
      <c r="Q1" s="324"/>
      <c r="R1" s="324"/>
    </row>
    <row r="2" spans="1:18" s="137" customFormat="1" ht="26">
      <c r="A2" s="321" t="s">
        <v>1974</v>
      </c>
      <c r="B2" s="322"/>
      <c r="C2" s="323"/>
      <c r="D2" s="322"/>
      <c r="E2" s="322"/>
      <c r="F2" s="322"/>
      <c r="G2" s="324"/>
      <c r="H2" s="322"/>
      <c r="I2" s="322"/>
      <c r="J2" s="322"/>
      <c r="K2" s="324"/>
      <c r="L2" s="324"/>
      <c r="M2" s="324"/>
      <c r="N2" s="324"/>
      <c r="O2" s="324"/>
      <c r="P2" s="324"/>
      <c r="Q2" s="324"/>
      <c r="R2" s="324"/>
    </row>
    <row r="3" spans="1:18" s="346" customFormat="1">
      <c r="A3" s="325" t="s">
        <v>456</v>
      </c>
      <c r="B3" s="322" t="s">
        <v>124</v>
      </c>
      <c r="C3" s="322"/>
      <c r="D3" s="322"/>
      <c r="E3" s="322"/>
      <c r="F3" s="322"/>
      <c r="G3" s="324"/>
      <c r="H3" s="322"/>
      <c r="I3" s="322"/>
      <c r="J3" s="322"/>
      <c r="K3" s="324"/>
      <c r="L3" s="324"/>
      <c r="M3" s="324"/>
      <c r="N3" s="324"/>
      <c r="O3" s="324"/>
      <c r="P3" s="324"/>
      <c r="Q3" s="324"/>
      <c r="R3" s="324"/>
    </row>
    <row r="4" spans="1:18" s="139" customFormat="1">
      <c r="A4" s="325" t="s">
        <v>1724</v>
      </c>
      <c r="B4" s="322" t="s">
        <v>1975</v>
      </c>
      <c r="C4" s="322"/>
      <c r="D4" s="322"/>
      <c r="E4" s="322"/>
      <c r="F4" s="322"/>
      <c r="G4" s="324"/>
      <c r="H4" s="322"/>
      <c r="I4" s="322"/>
      <c r="J4" s="322"/>
      <c r="K4" s="324"/>
      <c r="L4" s="324"/>
      <c r="M4" s="324"/>
      <c r="N4" s="324"/>
      <c r="O4" s="324"/>
      <c r="P4" s="324"/>
      <c r="Q4" s="324"/>
      <c r="R4" s="324"/>
    </row>
    <row r="5" spans="1:18" s="346" customFormat="1">
      <c r="A5" s="322" t="s">
        <v>457</v>
      </c>
      <c r="B5" s="322" t="s">
        <v>125</v>
      </c>
      <c r="C5" s="322"/>
      <c r="D5" s="322"/>
      <c r="E5" s="322"/>
      <c r="F5" s="322"/>
      <c r="G5" s="324"/>
      <c r="H5" s="322"/>
      <c r="I5" s="322"/>
      <c r="J5" s="322"/>
      <c r="K5" s="324"/>
      <c r="L5" s="324"/>
      <c r="M5" s="324"/>
      <c r="N5" s="324"/>
      <c r="O5" s="324"/>
      <c r="P5" s="324"/>
      <c r="Q5" s="324"/>
      <c r="R5" s="324"/>
    </row>
    <row r="6" spans="1:18" s="139" customFormat="1">
      <c r="A6" s="322" t="s">
        <v>1726</v>
      </c>
      <c r="B6" s="322" t="s">
        <v>1976</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7"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346" customFormat="1">
      <c r="A9" s="342" t="s">
        <v>47</v>
      </c>
      <c r="B9" s="342"/>
      <c r="C9" s="343"/>
      <c r="D9" s="343"/>
      <c r="E9" s="343"/>
      <c r="F9" s="343"/>
      <c r="G9" s="344"/>
      <c r="H9" s="322"/>
      <c r="I9" s="322"/>
      <c r="J9" s="322"/>
      <c r="K9" s="345"/>
      <c r="L9" s="345"/>
      <c r="M9" s="345"/>
      <c r="N9" s="345"/>
      <c r="O9" s="345"/>
      <c r="P9" s="345"/>
      <c r="Q9" s="345"/>
      <c r="R9" s="345"/>
    </row>
    <row r="10" spans="1:18" s="346" customFormat="1" ht="39">
      <c r="A10" s="22" t="s">
        <v>126</v>
      </c>
      <c r="B10" s="22" t="s">
        <v>1977</v>
      </c>
      <c r="C10" s="22"/>
      <c r="D10" s="22"/>
      <c r="E10" s="347" t="s">
        <v>127</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26">
      <c r="A12" s="22" t="s">
        <v>128</v>
      </c>
      <c r="B12" s="22" t="s">
        <v>1978</v>
      </c>
      <c r="C12" s="22"/>
      <c r="D12" s="22"/>
      <c r="E12" s="347" t="s">
        <v>129</v>
      </c>
      <c r="F12" s="347"/>
      <c r="G12" s="348"/>
      <c r="H12" s="322"/>
      <c r="I12" s="322"/>
      <c r="J12" s="322"/>
      <c r="K12" s="345"/>
      <c r="L12" s="345"/>
      <c r="M12" s="345"/>
      <c r="N12" s="345"/>
      <c r="O12" s="345"/>
      <c r="P12" s="345"/>
      <c r="Q12" s="345"/>
      <c r="R12" s="345"/>
    </row>
    <row r="13" spans="1:18" s="137" customFormat="1" ht="26">
      <c r="A13" s="22" t="s">
        <v>130</v>
      </c>
      <c r="B13" s="22" t="s">
        <v>1979</v>
      </c>
      <c r="C13" s="22"/>
      <c r="D13" s="22"/>
      <c r="E13" s="347" t="s">
        <v>131</v>
      </c>
      <c r="F13" s="347"/>
      <c r="G13" s="348"/>
      <c r="H13" s="322"/>
      <c r="I13" s="322"/>
      <c r="J13" s="322"/>
      <c r="K13" s="345"/>
      <c r="L13" s="345"/>
      <c r="M13" s="345"/>
      <c r="N13" s="345"/>
      <c r="O13" s="345"/>
      <c r="P13" s="345"/>
      <c r="Q13" s="345"/>
      <c r="R13" s="345"/>
    </row>
    <row r="14" spans="1:18" s="346" customFormat="1" ht="39">
      <c r="A14" s="22" t="s">
        <v>132</v>
      </c>
      <c r="B14" s="22" t="s">
        <v>1980</v>
      </c>
      <c r="C14" s="22"/>
      <c r="D14" s="22"/>
      <c r="E14" s="347" t="s">
        <v>133</v>
      </c>
      <c r="F14" s="347"/>
      <c r="G14" s="348"/>
      <c r="H14" s="322"/>
      <c r="I14" s="322"/>
      <c r="J14" s="322"/>
      <c r="K14" s="345"/>
      <c r="L14" s="345"/>
      <c r="M14" s="345"/>
      <c r="N14" s="345"/>
      <c r="O14" s="345"/>
      <c r="P14" s="345"/>
      <c r="Q14" s="345"/>
      <c r="R14" s="345"/>
    </row>
    <row r="15" spans="1:18" s="139" customFormat="1" ht="65">
      <c r="A15" s="22" t="s">
        <v>134</v>
      </c>
      <c r="B15" s="22" t="s">
        <v>1981</v>
      </c>
      <c r="C15" s="22"/>
      <c r="D15" s="22"/>
      <c r="E15" s="347" t="s">
        <v>1982</v>
      </c>
      <c r="F15" s="347"/>
      <c r="G15" s="348"/>
      <c r="H15" s="322"/>
      <c r="I15" s="322"/>
      <c r="J15" s="322"/>
      <c r="K15" s="345"/>
      <c r="L15" s="345"/>
      <c r="M15" s="345"/>
      <c r="N15" s="345"/>
      <c r="O15" s="345"/>
      <c r="P15" s="345"/>
      <c r="Q15" s="345"/>
      <c r="R15" s="345"/>
    </row>
    <row r="16" spans="1:18" s="139" customFormat="1" ht="52">
      <c r="A16" s="22" t="s">
        <v>135</v>
      </c>
      <c r="B16" s="22" t="s">
        <v>1983</v>
      </c>
      <c r="C16" s="22"/>
      <c r="D16" s="22"/>
      <c r="E16" s="347" t="s">
        <v>1562</v>
      </c>
      <c r="F16" s="347"/>
      <c r="G16" s="348"/>
      <c r="H16" s="322"/>
      <c r="I16" s="322"/>
      <c r="J16" s="322"/>
      <c r="K16" s="345"/>
      <c r="L16" s="345"/>
      <c r="M16" s="345"/>
      <c r="N16" s="345"/>
      <c r="O16" s="345"/>
      <c r="P16" s="345"/>
      <c r="Q16" s="345"/>
      <c r="R16" s="345"/>
    </row>
    <row r="17" spans="1:18" s="137" customFormat="1" ht="26">
      <c r="A17" s="22" t="s">
        <v>136</v>
      </c>
      <c r="B17" s="22" t="s">
        <v>1984</v>
      </c>
      <c r="C17" s="22"/>
      <c r="D17" s="22"/>
      <c r="E17" s="347" t="s">
        <v>1563</v>
      </c>
      <c r="F17" s="347"/>
      <c r="G17" s="348"/>
      <c r="H17" s="322"/>
      <c r="I17" s="322"/>
      <c r="J17" s="322"/>
      <c r="K17" s="345"/>
      <c r="L17" s="345"/>
      <c r="M17" s="345"/>
      <c r="N17" s="345"/>
      <c r="O17" s="345"/>
      <c r="P17" s="345"/>
      <c r="Q17" s="345"/>
      <c r="R17" s="345"/>
    </row>
    <row r="18" spans="1:18" s="346" customFormat="1">
      <c r="A18" s="342" t="s">
        <v>56</v>
      </c>
      <c r="B18" s="342"/>
      <c r="C18" s="343"/>
      <c r="D18" s="343"/>
      <c r="E18" s="343" t="s">
        <v>1833</v>
      </c>
      <c r="F18" s="343"/>
      <c r="G18" s="344"/>
      <c r="H18" s="322"/>
      <c r="I18" s="322"/>
      <c r="J18" s="322"/>
      <c r="K18" s="345"/>
      <c r="L18" s="345"/>
      <c r="M18" s="345"/>
      <c r="N18" s="345"/>
      <c r="O18" s="345"/>
      <c r="P18" s="345"/>
      <c r="Q18" s="345"/>
      <c r="R18" s="345"/>
    </row>
    <row r="19" spans="1:18" s="139" customFormat="1" ht="54" customHeight="1">
      <c r="A19" s="22" t="s">
        <v>137</v>
      </c>
      <c r="B19" s="22" t="s">
        <v>424</v>
      </c>
      <c r="C19" s="22"/>
      <c r="D19" s="22"/>
      <c r="E19" s="347" t="s">
        <v>1564</v>
      </c>
      <c r="F19" s="347"/>
      <c r="G19" s="348"/>
      <c r="H19" s="322"/>
      <c r="I19" s="322"/>
      <c r="J19" s="322"/>
      <c r="K19" s="345"/>
      <c r="L19" s="345"/>
      <c r="M19" s="345"/>
      <c r="N19" s="345"/>
      <c r="O19" s="345"/>
      <c r="P19" s="345"/>
      <c r="Q19" s="345"/>
      <c r="R19" s="345"/>
    </row>
    <row r="20" spans="1:18" s="139" customFormat="1" ht="65">
      <c r="A20" s="22" t="s">
        <v>138</v>
      </c>
      <c r="B20" s="22" t="s">
        <v>139</v>
      </c>
      <c r="C20" s="22"/>
      <c r="D20" s="22"/>
      <c r="E20" s="347" t="s">
        <v>1565</v>
      </c>
      <c r="F20" s="347"/>
      <c r="G20" s="348"/>
      <c r="H20" s="322"/>
      <c r="I20" s="322"/>
      <c r="J20" s="322"/>
      <c r="K20" s="345"/>
      <c r="L20" s="345"/>
      <c r="M20" s="345"/>
      <c r="N20" s="345"/>
      <c r="O20" s="345"/>
      <c r="P20" s="345"/>
      <c r="Q20" s="345"/>
      <c r="R20" s="345"/>
    </row>
    <row r="21" spans="1:18" s="137" customFormat="1" ht="39">
      <c r="A21" s="22" t="s">
        <v>140</v>
      </c>
      <c r="B21" s="22" t="s">
        <v>1985</v>
      </c>
      <c r="C21" s="22"/>
      <c r="D21" s="22"/>
      <c r="E21" s="347" t="s">
        <v>1566</v>
      </c>
      <c r="F21" s="347"/>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F05A22"/>
  </sheetPr>
  <dimension ref="A1:R68"/>
  <sheetViews>
    <sheetView topLeftCell="A13" workbookViewId="0">
      <selection activeCell="I11" sqref="I11:J14"/>
    </sheetView>
  </sheetViews>
  <sheetFormatPr defaultColWidth="8.81640625" defaultRowHeight="13"/>
  <cols>
    <col min="1" max="1" width="10.1796875" style="329" customWidth="1"/>
    <col min="2" max="2" width="62.453125" style="329" customWidth="1"/>
    <col min="3" max="4" width="21.453125" style="329" customWidth="1"/>
    <col min="5" max="6" width="28.81640625" style="329" customWidth="1"/>
    <col min="7" max="7" width="21.453125" style="324" customWidth="1"/>
    <col min="8" max="10" width="8.81640625" style="322"/>
    <col min="11" max="18" width="8.81640625" style="324"/>
    <col min="19" max="16384" width="8.81640625" style="329"/>
  </cols>
  <sheetData>
    <row r="1" spans="1:18" s="139" customFormat="1" ht="26">
      <c r="A1" s="321" t="s">
        <v>141</v>
      </c>
      <c r="B1" s="322"/>
      <c r="C1" s="323"/>
      <c r="D1" s="322"/>
      <c r="E1" s="322"/>
      <c r="F1" s="322"/>
      <c r="G1" s="324"/>
      <c r="H1" s="322"/>
      <c r="I1" s="322"/>
      <c r="J1" s="322"/>
      <c r="K1" s="324"/>
      <c r="L1" s="324"/>
      <c r="M1" s="324"/>
      <c r="N1" s="324"/>
      <c r="O1" s="324"/>
      <c r="P1" s="324"/>
      <c r="Q1" s="324"/>
      <c r="R1" s="324"/>
    </row>
    <row r="2" spans="1:18" s="137" customFormat="1" ht="26">
      <c r="A2" s="321" t="s">
        <v>1986</v>
      </c>
      <c r="B2" s="322"/>
      <c r="C2" s="323"/>
      <c r="D2" s="322"/>
      <c r="E2" s="322"/>
      <c r="F2" s="322"/>
      <c r="G2" s="324"/>
      <c r="H2" s="322"/>
      <c r="I2" s="322"/>
      <c r="J2" s="322"/>
      <c r="K2" s="324"/>
      <c r="L2" s="324"/>
      <c r="M2" s="324"/>
      <c r="N2" s="324"/>
      <c r="O2" s="324"/>
      <c r="P2" s="324"/>
      <c r="Q2" s="324"/>
      <c r="R2" s="324"/>
    </row>
    <row r="3" spans="1:18" s="346" customFormat="1">
      <c r="A3" s="325" t="s">
        <v>456</v>
      </c>
      <c r="B3" s="322" t="s">
        <v>142</v>
      </c>
      <c r="C3" s="322"/>
      <c r="D3" s="322"/>
      <c r="E3" s="322"/>
      <c r="F3" s="322"/>
      <c r="G3" s="324"/>
      <c r="H3" s="322"/>
      <c r="I3" s="322"/>
      <c r="J3" s="322"/>
      <c r="K3" s="324"/>
      <c r="L3" s="324"/>
      <c r="M3" s="324"/>
      <c r="N3" s="324"/>
      <c r="O3" s="324"/>
      <c r="P3" s="324"/>
      <c r="Q3" s="324"/>
      <c r="R3" s="324"/>
    </row>
    <row r="4" spans="1:18" s="139" customFormat="1">
      <c r="A4" s="325" t="s">
        <v>1724</v>
      </c>
      <c r="B4" s="322" t="s">
        <v>1987</v>
      </c>
      <c r="C4" s="322"/>
      <c r="D4" s="322"/>
      <c r="E4" s="322"/>
      <c r="F4" s="322"/>
      <c r="G4" s="324"/>
      <c r="H4" s="322"/>
      <c r="I4" s="322"/>
      <c r="J4" s="322"/>
      <c r="K4" s="324"/>
      <c r="L4" s="324"/>
      <c r="M4" s="324"/>
      <c r="N4" s="324"/>
      <c r="O4" s="324"/>
      <c r="P4" s="324"/>
      <c r="Q4" s="324"/>
      <c r="R4" s="324"/>
    </row>
    <row r="5" spans="1:18" s="137" customFormat="1">
      <c r="A5" s="322" t="s">
        <v>457</v>
      </c>
      <c r="B5" s="322" t="s">
        <v>453</v>
      </c>
      <c r="C5" s="322"/>
      <c r="D5" s="322"/>
      <c r="E5" s="322"/>
      <c r="F5" s="322"/>
      <c r="G5" s="324"/>
      <c r="H5" s="322"/>
      <c r="I5" s="322"/>
      <c r="J5" s="322"/>
      <c r="K5" s="324"/>
      <c r="L5" s="324"/>
      <c r="M5" s="324"/>
      <c r="N5" s="324"/>
      <c r="O5" s="324"/>
      <c r="P5" s="324"/>
      <c r="Q5" s="324"/>
      <c r="R5" s="324"/>
    </row>
    <row r="6" spans="1:18" s="346" customFormat="1">
      <c r="A6" s="322" t="s">
        <v>1726</v>
      </c>
      <c r="B6" s="322" t="s">
        <v>1988</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22"/>
      <c r="K9" s="345"/>
      <c r="L9" s="345"/>
      <c r="M9" s="345"/>
      <c r="N9" s="345"/>
      <c r="O9" s="345"/>
      <c r="P9" s="345"/>
      <c r="Q9" s="345"/>
      <c r="R9" s="345"/>
    </row>
    <row r="10" spans="1:18" s="346" customFormat="1" ht="52">
      <c r="A10" s="22" t="s">
        <v>143</v>
      </c>
      <c r="B10" s="22" t="s">
        <v>1989</v>
      </c>
      <c r="C10" s="22"/>
      <c r="D10" s="22"/>
      <c r="E10" s="347" t="s">
        <v>144</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65">
      <c r="A12" s="22" t="s">
        <v>145</v>
      </c>
      <c r="B12" s="22" t="s">
        <v>1990</v>
      </c>
      <c r="C12" s="22"/>
      <c r="D12" s="22"/>
      <c r="E12" s="347" t="s">
        <v>146</v>
      </c>
      <c r="F12" s="347"/>
      <c r="G12" s="348"/>
      <c r="H12" s="322"/>
      <c r="I12" s="322"/>
      <c r="J12" s="322"/>
      <c r="K12" s="345"/>
      <c r="L12" s="345"/>
      <c r="M12" s="345"/>
      <c r="N12" s="345"/>
      <c r="O12" s="345"/>
      <c r="P12" s="345"/>
      <c r="Q12" s="345"/>
      <c r="R12" s="345"/>
    </row>
    <row r="13" spans="1:18" s="137" customFormat="1" ht="52">
      <c r="A13" s="22" t="s">
        <v>147</v>
      </c>
      <c r="B13" s="22" t="s">
        <v>1991</v>
      </c>
      <c r="C13" s="22"/>
      <c r="D13" s="22"/>
      <c r="E13" s="347" t="s">
        <v>1567</v>
      </c>
      <c r="F13" s="347"/>
      <c r="G13" s="348"/>
      <c r="H13" s="322"/>
      <c r="I13" s="322"/>
      <c r="J13" s="322"/>
      <c r="K13" s="345"/>
      <c r="L13" s="345"/>
      <c r="M13" s="345"/>
      <c r="N13" s="345"/>
      <c r="O13" s="345"/>
      <c r="P13" s="345"/>
      <c r="Q13" s="345"/>
      <c r="R13" s="345"/>
    </row>
    <row r="14" spans="1:18" s="346" customFormat="1" ht="65">
      <c r="A14" s="22" t="s">
        <v>148</v>
      </c>
      <c r="B14" s="22" t="s">
        <v>1992</v>
      </c>
      <c r="C14" s="22"/>
      <c r="D14" s="22"/>
      <c r="E14" s="347" t="s">
        <v>1568</v>
      </c>
      <c r="F14" s="347"/>
      <c r="G14" s="348"/>
      <c r="H14" s="322"/>
      <c r="I14" s="322"/>
      <c r="J14" s="322"/>
      <c r="K14" s="345"/>
      <c r="L14" s="345"/>
      <c r="M14" s="345"/>
      <c r="N14" s="345"/>
      <c r="O14" s="345"/>
      <c r="P14" s="345"/>
      <c r="Q14" s="345"/>
      <c r="R14" s="345"/>
    </row>
    <row r="15" spans="1:18" s="139" customFormat="1">
      <c r="A15" s="342" t="s">
        <v>56</v>
      </c>
      <c r="B15" s="342"/>
      <c r="C15" s="343"/>
      <c r="D15" s="343"/>
      <c r="E15" s="343" t="s">
        <v>1833</v>
      </c>
      <c r="F15" s="343"/>
      <c r="G15" s="344"/>
      <c r="H15" s="322"/>
      <c r="I15" s="322"/>
      <c r="J15" s="322"/>
      <c r="K15" s="345"/>
      <c r="L15" s="345"/>
      <c r="M15" s="345"/>
      <c r="N15" s="345"/>
      <c r="O15" s="345"/>
      <c r="P15" s="345"/>
      <c r="Q15" s="345"/>
      <c r="R15" s="345"/>
    </row>
    <row r="16" spans="1:18" s="139" customFormat="1" ht="39">
      <c r="A16" s="22" t="s">
        <v>149</v>
      </c>
      <c r="B16" s="22" t="s">
        <v>1993</v>
      </c>
      <c r="C16" s="22"/>
      <c r="D16" s="22"/>
      <c r="E16" s="347" t="s">
        <v>1569</v>
      </c>
      <c r="F16" s="347"/>
      <c r="G16" s="348"/>
      <c r="H16" s="322"/>
      <c r="I16" s="322"/>
      <c r="J16" s="322"/>
      <c r="K16" s="345"/>
      <c r="L16" s="345"/>
      <c r="M16" s="345"/>
      <c r="N16" s="345"/>
      <c r="O16" s="345"/>
      <c r="P16" s="345"/>
      <c r="Q16" s="345"/>
      <c r="R16" s="345"/>
    </row>
    <row r="17" spans="1:18" s="137" customFormat="1" ht="52">
      <c r="A17" s="22" t="s">
        <v>150</v>
      </c>
      <c r="B17" s="22" t="s">
        <v>1994</v>
      </c>
      <c r="C17" s="22"/>
      <c r="D17" s="22"/>
      <c r="E17" s="347" t="s">
        <v>1570</v>
      </c>
      <c r="F17" s="347"/>
      <c r="G17" s="348"/>
      <c r="H17" s="322"/>
      <c r="I17" s="360"/>
      <c r="J17" s="322"/>
      <c r="K17" s="345"/>
      <c r="L17" s="345"/>
      <c r="M17" s="345"/>
      <c r="N17" s="345"/>
      <c r="O17" s="345"/>
      <c r="P17" s="345"/>
      <c r="Q17" s="345"/>
      <c r="R17" s="345"/>
    </row>
    <row r="18" spans="1:18" s="346" customFormat="1" ht="39">
      <c r="A18" s="22" t="s">
        <v>151</v>
      </c>
      <c r="B18" s="22" t="s">
        <v>1995</v>
      </c>
      <c r="C18" s="22"/>
      <c r="D18" s="22"/>
      <c r="E18" s="347" t="s">
        <v>1571</v>
      </c>
      <c r="F18" s="347"/>
      <c r="G18" s="348"/>
      <c r="H18" s="322"/>
      <c r="I18" s="322"/>
      <c r="J18" s="322"/>
      <c r="K18" s="345"/>
      <c r="L18" s="345"/>
      <c r="M18" s="345"/>
      <c r="N18" s="345"/>
      <c r="O18" s="345"/>
      <c r="P18" s="345"/>
      <c r="Q18" s="345"/>
      <c r="R18" s="345"/>
    </row>
    <row r="19" spans="1:18" s="139" customFormat="1" ht="39">
      <c r="A19" s="22" t="s">
        <v>152</v>
      </c>
      <c r="B19" s="22" t="s">
        <v>1996</v>
      </c>
      <c r="C19" s="22"/>
      <c r="D19" s="22"/>
      <c r="E19" s="347" t="s">
        <v>1572</v>
      </c>
      <c r="F19" s="347"/>
      <c r="G19" s="348"/>
      <c r="H19" s="322"/>
      <c r="I19" s="322"/>
      <c r="J19" s="322"/>
      <c r="K19" s="345"/>
      <c r="L19" s="345"/>
      <c r="M19" s="345"/>
      <c r="N19" s="345"/>
      <c r="O19" s="345"/>
      <c r="P19" s="345"/>
      <c r="Q19" s="345"/>
      <c r="R19" s="345"/>
    </row>
    <row r="20" spans="1:18" s="139" customFormat="1" ht="65">
      <c r="A20" s="22" t="s">
        <v>153</v>
      </c>
      <c r="B20" s="22" t="s">
        <v>1997</v>
      </c>
      <c r="C20" s="22"/>
      <c r="D20" s="22"/>
      <c r="E20" s="347" t="s">
        <v>1573</v>
      </c>
      <c r="F20" s="347"/>
      <c r="G20" s="348"/>
      <c r="H20" s="322"/>
      <c r="I20" s="322"/>
      <c r="J20" s="322"/>
      <c r="K20" s="345"/>
      <c r="L20" s="345"/>
      <c r="M20" s="345"/>
      <c r="N20" s="345"/>
      <c r="O20" s="345"/>
      <c r="P20" s="345"/>
      <c r="Q20" s="345"/>
      <c r="R20" s="345"/>
    </row>
    <row r="21" spans="1:18" s="137" customFormat="1" ht="65">
      <c r="A21" s="22" t="s">
        <v>154</v>
      </c>
      <c r="B21" s="22" t="s">
        <v>1998</v>
      </c>
      <c r="C21" s="22"/>
      <c r="D21" s="22"/>
      <c r="E21" s="22" t="s">
        <v>1999</v>
      </c>
      <c r="F21" s="22"/>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802C19"/>
  </sheetPr>
  <dimension ref="A1:R40"/>
  <sheetViews>
    <sheetView workbookViewId="0">
      <selection activeCell="I11" sqref="I11:J14"/>
    </sheetView>
  </sheetViews>
  <sheetFormatPr defaultColWidth="8.81640625" defaultRowHeight="13"/>
  <cols>
    <col min="1" max="1" width="10.1796875" style="329" customWidth="1"/>
    <col min="2" max="2" width="64.1796875" style="329" customWidth="1"/>
    <col min="3" max="4" width="21.453125" style="329" customWidth="1"/>
    <col min="5" max="5" width="39" style="329" customWidth="1"/>
    <col min="6" max="6" width="36.453125" style="329" customWidth="1"/>
    <col min="7" max="7" width="21.453125" style="324" customWidth="1"/>
    <col min="8" max="18" width="8.81640625" style="324"/>
    <col min="19" max="16384" width="8.81640625" style="329"/>
  </cols>
  <sheetData>
    <row r="1" spans="1:18" s="139" customFormat="1" ht="26">
      <c r="A1" s="321" t="s">
        <v>195</v>
      </c>
      <c r="B1" s="322"/>
      <c r="C1" s="323"/>
      <c r="D1" s="322"/>
      <c r="E1" s="322"/>
      <c r="F1" s="322"/>
      <c r="G1" s="324"/>
      <c r="H1" s="324"/>
      <c r="I1" s="324"/>
      <c r="J1" s="324"/>
      <c r="K1" s="324"/>
      <c r="L1" s="324"/>
      <c r="M1" s="324"/>
      <c r="N1" s="324"/>
      <c r="O1" s="324"/>
      <c r="P1" s="324"/>
      <c r="Q1" s="324"/>
      <c r="R1" s="324"/>
    </row>
    <row r="2" spans="1:18" s="139" customFormat="1" ht="26">
      <c r="A2" s="321" t="s">
        <v>2000</v>
      </c>
      <c r="B2" s="322"/>
      <c r="C2" s="323"/>
      <c r="D2" s="322"/>
      <c r="E2" s="322"/>
      <c r="F2" s="322"/>
      <c r="G2" s="324"/>
      <c r="H2" s="324"/>
      <c r="I2" s="324"/>
      <c r="J2" s="324"/>
      <c r="K2" s="324"/>
      <c r="L2" s="324"/>
      <c r="M2" s="324"/>
      <c r="N2" s="324"/>
      <c r="O2" s="324"/>
      <c r="P2" s="324"/>
      <c r="Q2" s="324"/>
      <c r="R2" s="324"/>
    </row>
    <row r="3" spans="1:18" s="137" customFormat="1" ht="65">
      <c r="A3" s="325" t="s">
        <v>456</v>
      </c>
      <c r="B3" s="325" t="s">
        <v>196</v>
      </c>
      <c r="C3" s="322"/>
      <c r="D3" s="322"/>
      <c r="E3" s="322"/>
      <c r="F3" s="322"/>
      <c r="G3" s="324"/>
      <c r="H3" s="324"/>
      <c r="I3" s="324"/>
      <c r="J3" s="324"/>
      <c r="K3" s="324"/>
      <c r="L3" s="324"/>
      <c r="M3" s="324"/>
      <c r="N3" s="324"/>
      <c r="O3" s="324"/>
      <c r="P3" s="324"/>
      <c r="Q3" s="324"/>
      <c r="R3" s="324"/>
    </row>
    <row r="4" spans="1:18" s="346" customFormat="1">
      <c r="A4" s="325" t="s">
        <v>1724</v>
      </c>
      <c r="B4" s="325" t="s">
        <v>2001</v>
      </c>
      <c r="C4" s="322"/>
      <c r="D4" s="322"/>
      <c r="E4" s="322"/>
      <c r="F4" s="322"/>
      <c r="G4" s="324"/>
      <c r="H4" s="324"/>
      <c r="I4" s="324"/>
      <c r="J4" s="324"/>
      <c r="K4" s="324"/>
      <c r="L4" s="324"/>
      <c r="M4" s="324"/>
      <c r="N4" s="324"/>
      <c r="O4" s="324"/>
      <c r="P4" s="324"/>
      <c r="Q4" s="324"/>
      <c r="R4" s="324"/>
    </row>
    <row r="5" spans="1:18" s="137" customFormat="1">
      <c r="A5" s="322" t="s">
        <v>457</v>
      </c>
      <c r="B5" s="322" t="s">
        <v>197</v>
      </c>
      <c r="C5" s="322"/>
      <c r="D5" s="322"/>
      <c r="E5" s="322"/>
      <c r="F5" s="322"/>
      <c r="G5" s="324"/>
      <c r="H5" s="324"/>
      <c r="I5" s="324"/>
      <c r="J5" s="324"/>
      <c r="K5" s="324"/>
      <c r="L5" s="324"/>
      <c r="M5" s="324"/>
      <c r="N5" s="324"/>
      <c r="O5" s="324"/>
      <c r="P5" s="324"/>
      <c r="Q5" s="324"/>
      <c r="R5" s="324"/>
    </row>
    <row r="6" spans="1:18" s="346" customFormat="1">
      <c r="A6" s="329" t="s">
        <v>1726</v>
      </c>
      <c r="B6" s="329" t="s">
        <v>2002</v>
      </c>
      <c r="C6" s="329"/>
      <c r="D6" s="329"/>
      <c r="E6" s="322"/>
      <c r="F6" s="322"/>
      <c r="G6" s="324"/>
      <c r="H6" s="324"/>
      <c r="I6" s="324"/>
      <c r="J6" s="324"/>
      <c r="K6" s="324"/>
      <c r="L6" s="324"/>
      <c r="M6" s="324"/>
      <c r="N6" s="324"/>
      <c r="O6" s="324"/>
      <c r="P6" s="324"/>
      <c r="Q6" s="324"/>
      <c r="R6" s="324"/>
    </row>
    <row r="7" spans="1:18" s="139" customFormat="1">
      <c r="A7" s="329"/>
      <c r="B7" s="329"/>
      <c r="C7" s="329"/>
      <c r="D7" s="329"/>
      <c r="E7" s="322"/>
      <c r="F7" s="322"/>
      <c r="G7" s="359" t="e">
        <f>#REF!</f>
        <v>#REF!</v>
      </c>
      <c r="H7" s="324"/>
      <c r="I7" s="324"/>
      <c r="J7" s="324"/>
      <c r="K7" s="324"/>
      <c r="L7" s="324"/>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7" customFormat="1">
      <c r="A9" s="342" t="s">
        <v>47</v>
      </c>
      <c r="B9" s="342"/>
      <c r="C9" s="343"/>
      <c r="D9" s="343"/>
      <c r="E9" s="343"/>
      <c r="F9" s="343"/>
      <c r="G9" s="344"/>
      <c r="H9" s="345"/>
      <c r="I9" s="345"/>
      <c r="J9" s="345"/>
      <c r="K9" s="345"/>
      <c r="L9" s="345"/>
      <c r="M9" s="345"/>
      <c r="N9" s="345"/>
      <c r="O9" s="345"/>
      <c r="P9" s="345"/>
      <c r="Q9" s="345"/>
      <c r="R9" s="345"/>
    </row>
    <row r="10" spans="1:18" s="346" customFormat="1" ht="39">
      <c r="A10" s="22" t="s">
        <v>198</v>
      </c>
      <c r="B10" s="22" t="s">
        <v>2003</v>
      </c>
      <c r="C10" s="22"/>
      <c r="D10" s="22"/>
      <c r="E10" s="347" t="s">
        <v>2004</v>
      </c>
      <c r="F10" s="22"/>
      <c r="G10" s="348"/>
      <c r="H10" s="345"/>
      <c r="I10" s="345"/>
      <c r="J10" s="345"/>
      <c r="K10" s="345"/>
      <c r="L10" s="345"/>
      <c r="M10" s="345"/>
      <c r="N10" s="345"/>
      <c r="O10" s="345"/>
      <c r="P10" s="345"/>
      <c r="Q10" s="345"/>
      <c r="R10" s="345"/>
    </row>
    <row r="11" spans="1:18" s="346" customFormat="1" ht="65">
      <c r="A11" s="22" t="s">
        <v>199</v>
      </c>
      <c r="B11" s="22" t="s">
        <v>2005</v>
      </c>
      <c r="C11" s="22"/>
      <c r="D11" s="22"/>
      <c r="E11" s="347" t="s">
        <v>1590</v>
      </c>
      <c r="F11" s="347"/>
      <c r="G11" s="348"/>
      <c r="H11" s="345"/>
      <c r="I11" s="345"/>
      <c r="J11" s="345"/>
      <c r="K11" s="345"/>
      <c r="L11" s="345"/>
      <c r="M11" s="345"/>
      <c r="N11" s="345"/>
      <c r="O11" s="345"/>
      <c r="P11" s="345"/>
      <c r="Q11" s="345"/>
      <c r="R11" s="345"/>
    </row>
    <row r="12" spans="1:18" s="139" customFormat="1">
      <c r="A12" s="342" t="s">
        <v>54</v>
      </c>
      <c r="B12" s="342"/>
      <c r="C12" s="343"/>
      <c r="D12" s="343"/>
      <c r="E12" s="343" t="s">
        <v>1833</v>
      </c>
      <c r="F12" s="343"/>
      <c r="G12" s="344"/>
      <c r="H12" s="345"/>
      <c r="I12" s="345"/>
      <c r="J12" s="345"/>
      <c r="K12" s="345"/>
      <c r="L12" s="345"/>
      <c r="M12" s="345"/>
      <c r="N12" s="345"/>
      <c r="O12" s="345"/>
      <c r="P12" s="345"/>
      <c r="Q12" s="345"/>
      <c r="R12" s="345"/>
    </row>
    <row r="13" spans="1:18" s="139" customFormat="1" ht="52">
      <c r="A13" s="22" t="s">
        <v>200</v>
      </c>
      <c r="B13" s="22" t="s">
        <v>2006</v>
      </c>
      <c r="C13" s="22"/>
      <c r="D13" s="22"/>
      <c r="E13" s="347" t="s">
        <v>1591</v>
      </c>
      <c r="F13" s="347"/>
      <c r="G13" s="348"/>
      <c r="H13" s="345"/>
      <c r="I13" s="345"/>
      <c r="J13" s="345"/>
      <c r="K13" s="345"/>
      <c r="L13" s="345"/>
      <c r="M13" s="345"/>
      <c r="N13" s="345"/>
      <c r="O13" s="345"/>
      <c r="P13" s="345"/>
      <c r="Q13" s="345"/>
      <c r="R13" s="345"/>
    </row>
    <row r="14" spans="1:18" s="137" customFormat="1" ht="65">
      <c r="A14" s="22" t="s">
        <v>201</v>
      </c>
      <c r="B14" s="22" t="s">
        <v>2007</v>
      </c>
      <c r="C14" s="22"/>
      <c r="D14" s="22"/>
      <c r="E14" s="347" t="s">
        <v>1592</v>
      </c>
      <c r="F14" s="347"/>
      <c r="G14" s="348"/>
      <c r="H14" s="345"/>
      <c r="I14" s="345"/>
      <c r="J14" s="345"/>
      <c r="K14" s="345"/>
      <c r="L14" s="345"/>
      <c r="M14" s="345"/>
      <c r="N14" s="345"/>
      <c r="O14" s="345"/>
      <c r="P14" s="345"/>
      <c r="Q14" s="345"/>
      <c r="R14" s="345"/>
    </row>
    <row r="15" spans="1:18" s="346" customFormat="1" ht="65">
      <c r="A15" s="22" t="s">
        <v>202</v>
      </c>
      <c r="B15" s="22" t="s">
        <v>2008</v>
      </c>
      <c r="C15" s="22"/>
      <c r="D15" s="22"/>
      <c r="E15" s="347" t="s">
        <v>2009</v>
      </c>
      <c r="F15" s="347"/>
      <c r="G15" s="348"/>
      <c r="H15" s="345"/>
      <c r="I15" s="345"/>
      <c r="J15" s="345"/>
      <c r="K15" s="345"/>
      <c r="L15" s="345"/>
      <c r="M15" s="345"/>
      <c r="N15" s="345"/>
      <c r="O15" s="345"/>
      <c r="P15" s="345"/>
      <c r="Q15" s="345"/>
      <c r="R15" s="345"/>
    </row>
    <row r="16" spans="1:18" s="139" customFormat="1">
      <c r="A16" s="342" t="s">
        <v>56</v>
      </c>
      <c r="B16" s="342"/>
      <c r="C16" s="343"/>
      <c r="D16" s="343"/>
      <c r="E16" s="343" t="s">
        <v>1833</v>
      </c>
      <c r="F16" s="343"/>
      <c r="G16" s="344"/>
      <c r="H16" s="345"/>
      <c r="I16" s="345"/>
      <c r="J16" s="345"/>
      <c r="K16" s="345"/>
      <c r="L16" s="345"/>
      <c r="M16" s="345"/>
      <c r="N16" s="345"/>
      <c r="O16" s="345"/>
      <c r="P16" s="345"/>
      <c r="Q16" s="345"/>
      <c r="R16" s="345"/>
    </row>
    <row r="17" spans="1:18" s="139" customFormat="1" ht="65">
      <c r="A17" s="22" t="s">
        <v>203</v>
      </c>
      <c r="B17" s="22" t="s">
        <v>2010</v>
      </c>
      <c r="C17" s="22"/>
      <c r="D17" s="22"/>
      <c r="E17" s="347" t="s">
        <v>2011</v>
      </c>
      <c r="F17" s="347"/>
      <c r="G17" s="348"/>
      <c r="H17" s="345"/>
      <c r="I17" s="345"/>
      <c r="J17" s="345"/>
      <c r="K17" s="345"/>
      <c r="L17" s="345"/>
      <c r="M17" s="345"/>
      <c r="N17" s="345"/>
      <c r="O17" s="345"/>
      <c r="P17" s="345"/>
      <c r="Q17" s="345"/>
      <c r="R17" s="345"/>
    </row>
    <row r="18" spans="1:18" s="137" customFormat="1" ht="65">
      <c r="A18" s="22" t="s">
        <v>204</v>
      </c>
      <c r="B18" s="22" t="s">
        <v>2012</v>
      </c>
      <c r="C18" s="22"/>
      <c r="D18" s="22"/>
      <c r="E18" s="347" t="s">
        <v>2013</v>
      </c>
      <c r="F18" s="347"/>
      <c r="G18" s="348"/>
      <c r="H18" s="345"/>
      <c r="I18" s="345"/>
      <c r="J18" s="345"/>
      <c r="K18" s="345"/>
      <c r="L18" s="345"/>
      <c r="M18" s="345"/>
      <c r="N18" s="345"/>
      <c r="O18" s="345"/>
      <c r="P18" s="345"/>
      <c r="Q18" s="345"/>
      <c r="R18" s="345"/>
    </row>
    <row r="19" spans="1:18" s="339" customFormat="1">
      <c r="G19" s="324"/>
      <c r="H19" s="324"/>
      <c r="I19" s="324"/>
      <c r="J19" s="324"/>
      <c r="K19" s="324"/>
      <c r="L19" s="324"/>
      <c r="M19" s="324"/>
      <c r="N19" s="324"/>
      <c r="O19" s="324"/>
      <c r="P19" s="324"/>
      <c r="Q19" s="324"/>
      <c r="R19" s="324"/>
    </row>
    <row r="20" spans="1:18" s="340" customFormat="1">
      <c r="G20" s="324"/>
      <c r="H20" s="324"/>
      <c r="I20" s="324"/>
      <c r="J20" s="324"/>
      <c r="K20" s="324"/>
      <c r="L20" s="324"/>
      <c r="M20" s="324"/>
      <c r="N20" s="324"/>
      <c r="O20" s="324"/>
      <c r="P20" s="324"/>
      <c r="Q20" s="324"/>
      <c r="R20" s="324"/>
    </row>
    <row r="21" spans="1:18" s="340" customFormat="1">
      <c r="G21" s="324"/>
      <c r="H21" s="324"/>
      <c r="I21" s="324"/>
      <c r="J21" s="324"/>
      <c r="K21" s="324"/>
      <c r="L21" s="324"/>
      <c r="M21" s="324"/>
      <c r="N21" s="324"/>
      <c r="O21" s="324"/>
      <c r="P21" s="324"/>
      <c r="Q21" s="324"/>
      <c r="R21" s="324"/>
    </row>
    <row r="22" spans="1:18" s="340" customFormat="1">
      <c r="G22" s="324"/>
      <c r="H22" s="324"/>
      <c r="I22" s="324"/>
      <c r="J22" s="324"/>
      <c r="K22" s="324"/>
      <c r="L22" s="324"/>
      <c r="M22" s="324"/>
      <c r="N22" s="324"/>
      <c r="O22" s="324"/>
      <c r="P22" s="324"/>
      <c r="Q22" s="324"/>
      <c r="R22" s="324"/>
    </row>
    <row r="23" spans="1:18" s="340" customFormat="1">
      <c r="G23" s="324"/>
      <c r="H23" s="324"/>
      <c r="I23" s="324"/>
      <c r="J23" s="324"/>
      <c r="K23" s="324"/>
      <c r="L23" s="324"/>
      <c r="M23" s="324"/>
      <c r="N23" s="324"/>
      <c r="O23" s="324"/>
      <c r="P23" s="324"/>
      <c r="Q23" s="324"/>
      <c r="R23" s="324"/>
    </row>
    <row r="24" spans="1:18" s="340" customFormat="1">
      <c r="G24" s="324"/>
      <c r="H24" s="324"/>
      <c r="I24" s="324"/>
      <c r="J24" s="324"/>
      <c r="K24" s="324"/>
      <c r="L24" s="324"/>
      <c r="M24" s="324"/>
      <c r="N24" s="324"/>
      <c r="O24" s="324"/>
      <c r="P24" s="324"/>
      <c r="Q24" s="324"/>
      <c r="R24" s="324"/>
    </row>
    <row r="25" spans="1:18" s="340"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F9A51A"/>
  </sheetPr>
  <dimension ref="A1:R46"/>
  <sheetViews>
    <sheetView workbookViewId="0">
      <selection activeCell="I11" sqref="I11:J14"/>
    </sheetView>
  </sheetViews>
  <sheetFormatPr defaultColWidth="8.81640625" defaultRowHeight="13"/>
  <cols>
    <col min="1" max="1" width="10.1796875" style="329" customWidth="1"/>
    <col min="2" max="2" width="53.1796875" style="329" customWidth="1"/>
    <col min="3" max="4" width="21.453125" style="329" customWidth="1"/>
    <col min="5" max="5" width="38.1796875" style="329" customWidth="1"/>
    <col min="6" max="6" width="24.453125" style="329" customWidth="1"/>
    <col min="7" max="7" width="21.453125" style="324" customWidth="1"/>
    <col min="8" max="18" width="8.81640625" style="324"/>
    <col min="19" max="16384" width="8.81640625" style="329"/>
  </cols>
  <sheetData>
    <row r="1" spans="1:18" s="139" customFormat="1" ht="26">
      <c r="A1" s="321" t="s">
        <v>2014</v>
      </c>
      <c r="B1" s="322"/>
      <c r="C1" s="323"/>
      <c r="D1" s="322"/>
      <c r="E1" s="322"/>
      <c r="F1" s="322"/>
      <c r="G1" s="324"/>
      <c r="H1" s="324"/>
      <c r="I1" s="324"/>
      <c r="J1" s="324"/>
      <c r="K1" s="324"/>
      <c r="L1" s="324"/>
      <c r="M1" s="324"/>
      <c r="N1" s="324"/>
      <c r="O1" s="324"/>
      <c r="P1" s="324"/>
      <c r="Q1" s="324"/>
      <c r="R1" s="324"/>
    </row>
    <row r="2" spans="1:18" s="139" customFormat="1" ht="26">
      <c r="A2" s="321" t="s">
        <v>2015</v>
      </c>
      <c r="B2" s="322"/>
      <c r="C2" s="323"/>
      <c r="D2" s="322"/>
      <c r="E2" s="322"/>
      <c r="F2" s="322"/>
      <c r="G2" s="324"/>
      <c r="H2" s="324"/>
      <c r="I2" s="324"/>
      <c r="J2" s="324"/>
      <c r="K2" s="324"/>
      <c r="L2" s="324"/>
      <c r="M2" s="324"/>
      <c r="N2" s="324"/>
      <c r="O2" s="324"/>
      <c r="P2" s="324"/>
      <c r="Q2" s="324"/>
      <c r="R2" s="324"/>
    </row>
    <row r="3" spans="1:18" s="137" customFormat="1">
      <c r="A3" s="325" t="s">
        <v>456</v>
      </c>
      <c r="B3" s="322" t="s">
        <v>2016</v>
      </c>
      <c r="C3" s="322"/>
      <c r="D3" s="322"/>
      <c r="E3" s="322"/>
      <c r="F3" s="322"/>
      <c r="G3" s="324"/>
      <c r="H3" s="324"/>
      <c r="I3" s="324"/>
      <c r="J3" s="324"/>
      <c r="K3" s="324"/>
      <c r="L3" s="324"/>
      <c r="M3" s="324"/>
      <c r="N3" s="324"/>
      <c r="O3" s="324"/>
      <c r="P3" s="324"/>
      <c r="Q3" s="324"/>
      <c r="R3" s="324"/>
    </row>
    <row r="4" spans="1:18" s="346" customFormat="1">
      <c r="A4" s="325" t="s">
        <v>1724</v>
      </c>
      <c r="B4" s="322" t="s">
        <v>2017</v>
      </c>
      <c r="C4" s="322"/>
      <c r="D4" s="322"/>
      <c r="E4" s="322"/>
      <c r="F4" s="322"/>
      <c r="G4" s="324"/>
      <c r="H4" s="324"/>
      <c r="I4" s="324"/>
      <c r="J4" s="324"/>
      <c r="K4" s="324"/>
      <c r="L4" s="324"/>
      <c r="M4" s="324"/>
      <c r="N4" s="324"/>
      <c r="O4" s="324"/>
      <c r="P4" s="324"/>
      <c r="Q4" s="324"/>
      <c r="R4" s="324"/>
    </row>
    <row r="5" spans="1:18" s="139" customFormat="1">
      <c r="A5" s="322" t="s">
        <v>457</v>
      </c>
      <c r="B5" s="322" t="s">
        <v>2018</v>
      </c>
      <c r="C5" s="322"/>
      <c r="D5" s="322"/>
      <c r="E5" s="322"/>
      <c r="F5" s="322"/>
      <c r="G5" s="324"/>
      <c r="H5" s="324"/>
      <c r="I5" s="324"/>
      <c r="J5" s="324"/>
      <c r="K5" s="324"/>
      <c r="L5" s="324"/>
      <c r="M5" s="324"/>
      <c r="N5" s="324"/>
      <c r="O5" s="324"/>
      <c r="P5" s="324"/>
      <c r="Q5" s="324"/>
      <c r="R5" s="324"/>
    </row>
    <row r="6" spans="1:18" s="139" customFormat="1">
      <c r="A6" s="322" t="s">
        <v>1726</v>
      </c>
      <c r="B6" s="322" t="s">
        <v>2019</v>
      </c>
      <c r="C6" s="322"/>
      <c r="D6" s="322"/>
      <c r="E6" s="322"/>
      <c r="F6" s="322"/>
      <c r="G6" s="324"/>
      <c r="H6" s="324"/>
      <c r="I6" s="324"/>
      <c r="J6" s="324"/>
      <c r="K6" s="324"/>
      <c r="L6" s="324"/>
      <c r="M6" s="324"/>
      <c r="N6" s="324"/>
      <c r="O6" s="324"/>
      <c r="P6" s="324"/>
      <c r="Q6" s="324"/>
      <c r="R6" s="324"/>
    </row>
    <row r="7" spans="1:18" s="137" customFormat="1">
      <c r="A7" s="329"/>
      <c r="B7" s="329"/>
      <c r="C7" s="329"/>
      <c r="D7" s="329"/>
      <c r="E7" s="329"/>
      <c r="F7" s="329"/>
      <c r="G7" s="322" t="e">
        <f>#REF!</f>
        <v>#REF!</v>
      </c>
      <c r="H7" s="324"/>
      <c r="I7" s="324"/>
      <c r="J7" s="324"/>
      <c r="K7" s="324"/>
      <c r="L7" s="324"/>
      <c r="M7" s="324"/>
      <c r="N7" s="324"/>
      <c r="O7" s="324"/>
      <c r="P7" s="324"/>
      <c r="Q7" s="324"/>
      <c r="R7" s="324"/>
    </row>
    <row r="8" spans="1:18" s="346"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9" customFormat="1">
      <c r="A9" s="342" t="s">
        <v>47</v>
      </c>
      <c r="B9" s="342"/>
      <c r="C9" s="343"/>
      <c r="D9" s="343"/>
      <c r="E9" s="343"/>
      <c r="F9" s="343"/>
      <c r="G9" s="344"/>
      <c r="H9" s="345"/>
      <c r="I9" s="345"/>
      <c r="J9" s="345"/>
      <c r="K9" s="345"/>
      <c r="L9" s="345"/>
      <c r="M9" s="345"/>
      <c r="N9" s="345"/>
      <c r="O9" s="345"/>
      <c r="P9" s="345"/>
      <c r="Q9" s="345"/>
      <c r="R9" s="345"/>
    </row>
    <row r="10" spans="1:18" s="139" customFormat="1" ht="26">
      <c r="A10" s="22" t="s">
        <v>2020</v>
      </c>
      <c r="B10" s="22" t="s">
        <v>2021</v>
      </c>
      <c r="C10" s="22"/>
      <c r="D10" s="22"/>
      <c r="E10" s="347" t="s">
        <v>2022</v>
      </c>
      <c r="F10" s="347"/>
      <c r="G10" s="348"/>
      <c r="H10" s="345"/>
      <c r="I10" s="345"/>
      <c r="J10" s="345"/>
      <c r="K10" s="345"/>
      <c r="L10" s="345"/>
      <c r="M10" s="345"/>
      <c r="N10" s="345"/>
      <c r="O10" s="345"/>
      <c r="P10" s="345"/>
      <c r="Q10" s="345"/>
      <c r="R10" s="345"/>
    </row>
    <row r="11" spans="1:18" s="137" customFormat="1" ht="39">
      <c r="A11" s="22" t="s">
        <v>2023</v>
      </c>
      <c r="B11" s="22" t="s">
        <v>2024</v>
      </c>
      <c r="C11" s="22"/>
      <c r="D11" s="22"/>
      <c r="E11" s="347" t="s">
        <v>2025</v>
      </c>
      <c r="F11" s="347"/>
      <c r="G11" s="348"/>
      <c r="H11" s="345"/>
      <c r="I11" s="345"/>
      <c r="J11" s="345"/>
      <c r="K11" s="345"/>
      <c r="L11" s="345"/>
      <c r="M11" s="345"/>
      <c r="N11" s="345"/>
      <c r="O11" s="345"/>
      <c r="P11" s="345"/>
      <c r="Q11" s="345"/>
      <c r="R11" s="345"/>
    </row>
    <row r="12" spans="1:18" s="346" customFormat="1" ht="26">
      <c r="A12" s="22" t="s">
        <v>2026</v>
      </c>
      <c r="B12" s="22" t="s">
        <v>2027</v>
      </c>
      <c r="C12" s="22"/>
      <c r="D12" s="22"/>
      <c r="E12" s="347" t="s">
        <v>2028</v>
      </c>
      <c r="F12" s="347"/>
      <c r="G12" s="348"/>
      <c r="H12" s="345"/>
      <c r="I12" s="345"/>
      <c r="J12" s="345"/>
      <c r="K12" s="345"/>
      <c r="L12" s="345"/>
      <c r="M12" s="345"/>
      <c r="N12" s="345"/>
      <c r="O12" s="345"/>
      <c r="P12" s="345"/>
      <c r="Q12" s="345"/>
      <c r="R12" s="345"/>
    </row>
    <row r="13" spans="1:18" s="346" customFormat="1">
      <c r="A13" s="342" t="s">
        <v>54</v>
      </c>
      <c r="B13" s="342"/>
      <c r="C13" s="343"/>
      <c r="D13" s="343"/>
      <c r="E13" s="343" t="s">
        <v>1833</v>
      </c>
      <c r="F13" s="343"/>
      <c r="G13" s="344"/>
      <c r="H13" s="345"/>
      <c r="I13" s="345"/>
      <c r="J13" s="345"/>
      <c r="K13" s="345"/>
      <c r="L13" s="345"/>
      <c r="M13" s="345"/>
      <c r="N13" s="345"/>
      <c r="O13" s="345"/>
      <c r="P13" s="345"/>
      <c r="Q13" s="345"/>
      <c r="R13" s="345"/>
    </row>
    <row r="14" spans="1:18" s="139" customFormat="1" ht="65">
      <c r="A14" s="22" t="s">
        <v>2029</v>
      </c>
      <c r="B14" s="22" t="s">
        <v>2030</v>
      </c>
      <c r="C14" s="22"/>
      <c r="D14" s="22"/>
      <c r="E14" s="347" t="s">
        <v>2031</v>
      </c>
      <c r="F14" s="347"/>
      <c r="G14" s="348"/>
      <c r="H14" s="345"/>
      <c r="I14" s="345"/>
      <c r="J14" s="345"/>
      <c r="K14" s="345"/>
      <c r="L14" s="345"/>
      <c r="M14" s="345"/>
      <c r="N14" s="345"/>
      <c r="O14" s="345"/>
      <c r="P14" s="345"/>
      <c r="Q14" s="345"/>
      <c r="R14" s="345"/>
    </row>
    <row r="15" spans="1:18" s="139" customFormat="1" ht="39">
      <c r="A15" s="22" t="s">
        <v>2032</v>
      </c>
      <c r="B15" s="22" t="s">
        <v>2033</v>
      </c>
      <c r="C15" s="22"/>
      <c r="D15" s="22"/>
      <c r="E15" s="347" t="s">
        <v>2034</v>
      </c>
      <c r="F15" s="347"/>
      <c r="G15" s="348"/>
      <c r="H15" s="345"/>
      <c r="I15" s="345"/>
      <c r="J15" s="345"/>
      <c r="K15" s="345"/>
      <c r="L15" s="345"/>
      <c r="M15" s="345"/>
      <c r="N15" s="345"/>
      <c r="O15" s="345"/>
      <c r="P15" s="345"/>
      <c r="Q15" s="345"/>
      <c r="R15" s="345"/>
    </row>
    <row r="16" spans="1:18" s="137" customFormat="1" ht="65">
      <c r="A16" s="22" t="s">
        <v>2035</v>
      </c>
      <c r="B16" s="22" t="s">
        <v>2036</v>
      </c>
      <c r="C16" s="22"/>
      <c r="D16" s="22"/>
      <c r="E16" s="347" t="s">
        <v>2037</v>
      </c>
      <c r="F16" s="347"/>
      <c r="G16" s="348"/>
      <c r="H16" s="345"/>
      <c r="I16" s="345"/>
      <c r="J16" s="345"/>
      <c r="K16" s="345"/>
      <c r="L16" s="345"/>
      <c r="M16" s="345"/>
      <c r="N16" s="345"/>
      <c r="O16" s="345"/>
      <c r="P16" s="345"/>
      <c r="Q16" s="345"/>
      <c r="R16" s="345"/>
    </row>
    <row r="17" spans="1:18" s="346" customFormat="1" ht="65">
      <c r="A17" s="22" t="s">
        <v>2038</v>
      </c>
      <c r="B17" s="22" t="s">
        <v>2039</v>
      </c>
      <c r="C17" s="22"/>
      <c r="D17" s="22"/>
      <c r="E17" s="347" t="s">
        <v>2040</v>
      </c>
      <c r="F17" s="347"/>
      <c r="G17" s="348"/>
      <c r="H17" s="345"/>
      <c r="I17" s="345"/>
      <c r="J17" s="345"/>
      <c r="K17" s="345"/>
      <c r="L17" s="345"/>
      <c r="M17" s="345"/>
      <c r="N17" s="345"/>
      <c r="O17" s="345"/>
      <c r="P17" s="345"/>
      <c r="Q17" s="345"/>
      <c r="R17" s="345"/>
    </row>
    <row r="18" spans="1:18" s="139" customFormat="1">
      <c r="A18" s="342" t="s">
        <v>56</v>
      </c>
      <c r="B18" s="342"/>
      <c r="C18" s="343"/>
      <c r="D18" s="343"/>
      <c r="E18" s="343" t="s">
        <v>1833</v>
      </c>
      <c r="F18" s="343"/>
      <c r="G18" s="344"/>
      <c r="H18" s="345"/>
      <c r="I18" s="345"/>
      <c r="J18" s="345"/>
      <c r="K18" s="345"/>
      <c r="L18" s="345"/>
      <c r="M18" s="345"/>
      <c r="N18" s="345"/>
      <c r="O18" s="345"/>
      <c r="P18" s="345"/>
      <c r="Q18" s="345"/>
      <c r="R18" s="345"/>
    </row>
    <row r="19" spans="1:18" s="139" customFormat="1" ht="91">
      <c r="A19" s="22" t="s">
        <v>2041</v>
      </c>
      <c r="B19" s="22" t="s">
        <v>2042</v>
      </c>
      <c r="C19" s="22"/>
      <c r="D19" s="22"/>
      <c r="E19" s="347" t="s">
        <v>2043</v>
      </c>
      <c r="F19" s="347"/>
      <c r="G19" s="348"/>
      <c r="H19" s="345"/>
      <c r="I19" s="345"/>
      <c r="J19" s="345"/>
      <c r="K19" s="345"/>
      <c r="L19" s="345"/>
      <c r="M19" s="345"/>
      <c r="N19" s="345"/>
      <c r="O19" s="345"/>
      <c r="P19" s="345"/>
      <c r="Q19" s="345"/>
      <c r="R19" s="345"/>
    </row>
    <row r="20" spans="1:18" s="137" customFormat="1" ht="65">
      <c r="A20" s="22" t="s">
        <v>2044</v>
      </c>
      <c r="B20" s="22" t="s">
        <v>2045</v>
      </c>
      <c r="C20" s="22"/>
      <c r="D20" s="22"/>
      <c r="E20" s="347" t="s">
        <v>2046</v>
      </c>
      <c r="F20" s="347"/>
      <c r="G20" s="348"/>
      <c r="H20" s="345"/>
      <c r="I20" s="345"/>
      <c r="J20" s="345"/>
      <c r="K20" s="345"/>
      <c r="L20" s="345"/>
      <c r="M20" s="345"/>
      <c r="N20" s="345"/>
      <c r="O20" s="345"/>
      <c r="P20" s="345"/>
      <c r="Q20" s="345"/>
      <c r="R20" s="345"/>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5"/>
  <sheetData/>
  <phoneticPr fontId="7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4BE83A7B667FC489EA8118951C616CA" ma:contentTypeVersion="15" ma:contentTypeDescription="Create a new document." ma:contentTypeScope="" ma:versionID="c1c8ad57530eb67e05172f73678de378">
  <xsd:schema xmlns:xsd="http://www.w3.org/2001/XMLSchema" xmlns:xs="http://www.w3.org/2001/XMLSchema" xmlns:p="http://schemas.microsoft.com/office/2006/metadata/properties" xmlns:ns2="ec500478-62e0-46fc-87f1-cfa988e486b4" xmlns:ns3="f280a0a6-6f35-4093-b552-b6fe77506267" targetNamespace="http://schemas.microsoft.com/office/2006/metadata/properties" ma:root="true" ma:fieldsID="2884af5022cd6ab377026686de71e4ac" ns2:_="" ns3:_="">
    <xsd:import namespace="ec500478-62e0-46fc-87f1-cfa988e486b4"/>
    <xsd:import namespace="f280a0a6-6f35-4093-b552-b6fe77506267"/>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LengthInSeconds" minOccurs="0"/>
                <xsd:element ref="ns3:MediaServiceDateTaken"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280a0a6-6f35-4093-b552-b6fe77506267"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MediaServiceDateTaken" ma:index="19"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f280a0a6-6f35-4093-b552-b6fe77506267">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2AFFCB8-1D0A-4942-ABCE-EF8EFB586C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500478-62e0-46fc-87f1-cfa988e486b4"/>
    <ds:schemaRef ds:uri="f280a0a6-6f35-4093-b552-b6fe775062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3.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72e3a154-4955-46c3-9573-e9dec3e1f195"/>
    <ds:schemaRef ds:uri="ec500478-62e0-46fc-87f1-cfa988e486b4"/>
    <ds:schemaRef ds:uri="f280a0a6-6f35-4093-b552-b6fe7750626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Template2</vt:lpstr>
      <vt:lpstr>ATM</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Melanie Van Zyl</cp:lastModifiedBy>
  <cp:revision/>
  <dcterms:created xsi:type="dcterms:W3CDTF">2020-10-06T16:24:00Z</dcterms:created>
  <dcterms:modified xsi:type="dcterms:W3CDTF">2023-07-25T13:35:59Z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